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55d0c8d9b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938a0c3e724143"/>
    <x:sheet xmlns:r="http://schemas.openxmlformats.org/officeDocument/2006/relationships" name="Mailing Shortlist" sheetId="2" r:id="R3d225de4e2f94bba"/>
    <x:sheet xmlns:r="http://schemas.openxmlformats.org/officeDocument/2006/relationships" name="DOS Entity Matches" sheetId="3" r:id="R86f980801ad44b02"/>
    <x:sheet xmlns:r="http://schemas.openxmlformats.org/officeDocument/2006/relationships" name="Methodology" sheetId="4" r:id="R92794c6fc334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sz val="9"/>
      <x:color rgb="FF0563C1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17365D"/>
      <x:name val="Aptos"/>
    </x:font>
    <x:font>
      <x:b/>
      <x:sz val="11"/>
      <x:color rgb="FFFFFFFF"/>
      <x:name val="Aptos"/>
    </x:font>
    <x:font>
      <x:sz val="11"/>
      <x:color rgb="FF17365D"/>
      <x:name val="Aptos"/>
    </x:font>
    <x:font>
      <x:b/>
      <x:sz val="11"/>
      <x:color rgb="FF17365D"/>
      <x:name val="Aptos"/>
    </x:font>
    <x:font>
      <x:b/>
      <x:sz val="11"/>
      <x:color rgb="FF7F6000"/>
      <x:name val="Aptos"/>
    </x:font>
    <x:font>
      <x:sz val="11"/>
      <x:color rgb="FF7F6000"/>
      <x:name val="Aptos"/>
    </x:font>
    <x:font>
      <x:sz val="9"/>
      <x:color rgb="FF0563C1"/>
      <x:name val="Aptos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9">
    <x:border/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bottom style="double">
        <x:color rgb="FF17365D"/>
      </x:bottom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0" fontId="4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right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200" fontId="5" fillId="3" borderId="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4" fillId="0" borderId="0" xfId="0" applyNumberFormat="1" applyFont="1" applyFill="1" applyBorder="1" applyAlignment="1">
      <x:alignment horizontal="right"/>
    </x:xf>
    <x:xf numFmtId="200" fontId="14" fillId="0" borderId="0" xfId="0" applyNumberFormat="1" applyFont="1" applyFill="1" applyBorder="1" applyAlignment="1">
      <x:alignment horizontal="right"/>
    </x:xf>
    <x:xf numFmtId="0" fontId="13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right"/>
    </x:xf>
    <x:xf numFmtId="0" fontId="12" fillId="4" borderId="3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/>
    <x:xf numFmtId="0" fontId="14" fillId="3" borderId="4" xfId="0" applyNumberFormat="1" applyFont="1" applyFill="1" applyBorder="1"/>
    <x:xf numFmtId="200" fontId="14" fillId="3" borderId="4" xfId="0" applyNumberFormat="1" applyFont="1" applyFill="1" applyBorder="1"/>
    <x:xf numFmtId="0" fontId="15" fillId="6" borderId="0" xfId="0" applyNumberFormat="1" applyFont="1" applyFill="1" applyBorder="1"/>
    <x:xf numFmtId="0" fontId="16" fillId="7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8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18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7df04b02c4ce9" /><Relationship Type="http://schemas.openxmlformats.org/officeDocument/2006/relationships/theme" Target="/xl/theme/theme1.xml" Id="R2dac77f3bc49436c" /><Relationship Type="http://schemas.openxmlformats.org/officeDocument/2006/relationships/sharedStrings" Target="/xl/sharedStrings.xml" Id="R89f58249b86c43fd" /><Relationship Type="http://schemas.openxmlformats.org/officeDocument/2006/relationships/worksheet" Target="/xl/worksheets/sheet1.xml" Id="R44938a0c3e724143" /><Relationship Type="http://schemas.openxmlformats.org/officeDocument/2006/relationships/worksheet" Target="/xl/worksheets/sheet2.xml" Id="R3d225de4e2f94bba" /><Relationship Type="http://schemas.openxmlformats.org/officeDocument/2006/relationships/worksheet" Target="/xl/worksheets/sheet3.xml" Id="R86f980801ad44b02" /><Relationship Type="http://schemas.openxmlformats.org/officeDocument/2006/relationships/worksheet" Target="/xl/worksheets/sheet4.xml" Id="R92794c6fc3344541" /></Relationships>
</file>

<file path=xl/tables/table1.xml><?xml version="1.0" encoding="utf-8"?>
<x:table xmlns:x="http://schemas.openxmlformats.org/spreadsheetml/2006/main" id="1" name="MailingShortlistTable" displayName="MailingShortlistTable" ref="A1:V401" headerRowCount="1" totalsRowCount="0" totalsRowShown="0">
  <x:tableColumns count="22">
    <x:tableColumn id="1" name="Cluster ID"/>
    <x:tableColumn id="2" name="Mail Status"/>
    <x:tableColumn id="3" name="Mail Date"/>
    <x:tableColumn id="4" name="Response"/>
    <x:tableColumn id="5" name="Notes"/>
    <x:tableColumn id="6" name="Mailing Tier"/>
    <x:tableColumn id="7" name="Recommended Addressee"/>
    <x:tableColumn id="8" name="Possible Named Addressee"/>
    <x:tableColumn id="9" name="Name Support Count"/>
    <x:tableColumn id="10" name="Mailing Address"/>
    <x:tableColumn id="11" name="Address Source"/>
    <x:tableColumn id="12" name="Distinct LLCs"/>
    <x:tableColumn id="13" name="Properties"/>
    <x:tableColumn id="14" name="LLC Names"/>
    <x:tableColumn id="15" name="Property Addresses"/>
    <x:tableColumn id="16" name="DOS LLCs Matched"/>
    <x:tableColumn id="17" name="DOS Match Rate"/>
    <x:tableColumn id="18" name="DOS Address-Corroborated LLCs"/>
    <x:tableColumn id="19" name="DOS Corroboration"/>
    <x:tableColumn id="20" name="Email/Phone from DOS"/>
    <x:tableColumn id="21" name="Minimum ACRIS Name Match"/>
    <x:tableColumn id="22" name="DOS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sEntityMatchesTable" displayName="DosEntityMatchesTable" ref="A1:Y1801" headerRowCount="1" totalsRowCount="0" totalsRowShown="0">
  <x:tableColumns count="25">
    <x:tableColumn id="1" name="Cluster Id"/>
    <x:tableColumn id="2" name="Tier Llc Count"/>
    <x:tableColumn id="3" name="Acris Shared Mailing Address"/>
    <x:tableColumn id="4" name="Llc Name Normalized"/>
    <x:tableColumn id="5" name="Assessment Name Used"/>
    <x:tableColumn id="6" name="Match Status"/>
    <x:tableColumn id="7" name="Candidate Count"/>
    <x:tableColumn id="8" name="Address Match Score"/>
    <x:tableColumn id="9" name="Dos Id"/>
    <x:tableColumn id="10" name="Current Entity Name"/>
    <x:tableColumn id="11" name="Initial Dos Filing Date"/>
    <x:tableColumn id="12" name="County"/>
    <x:tableColumn id="13" name="Jurisdiction"/>
    <x:tableColumn id="14" name="Entity Type"/>
    <x:tableColumn id="15" name="Dos Process Name"/>
    <x:tableColumn id="16" name="Dos Process Address"/>
    <x:tableColumn id="17" name="Chairman Name"/>
    <x:tableColumn id="18" name="Chairman Address"/>
    <x:tableColumn id="19" name="Registered Agent Name"/>
    <x:tableColumn id="20" name="Registered Agent Address"/>
    <x:tableColumn id="21" name="Location Name"/>
    <x:tableColumn id="22" name="Location Address"/>
    <x:tableColumn id="23" name="Email From Dos"/>
    <x:tableColumn id="24" name="Phone From Dos"/>
    <x:tableColumn id="2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e086e8810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11fe7825d0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</x:cols>
  <x:sheetData>
    <x:row r="1" ht="32" customHeight="1">
      <x:c r="A1" s="38" t="str">
        <x:v>NYC Multi-LLC Mailing Pilot — NY DOS Enrichment</x:v>
      </x:c>
      <x:c r="B1" s="39"/>
      <x:c r="C1" s="39"/>
      <x:c r="D1" s="39"/>
      <x:c r="E1" s="39"/>
      <x:c r="F1" s="39"/>
    </x:row>
    <x:row r="2">
      <x:c r="A2" s="40" t="str">
        <x:v>400 high-confidence shared-address groups, balanced across 3–6 LLC tiers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 ht="30" customHeight="1">
      <x:c r="A4" s="41" t="str">
        <x:v>Key statistic</x:v>
      </x:c>
      <x:c r="B4" s="42" t="str">
        <x:v>Result</x:v>
      </x:c>
      <x:c r="C4" s="39"/>
      <x:c r="D4" s="39"/>
      <x:c r="E4" s="39"/>
      <x:c r="F4" s="39"/>
    </x:row>
    <x:row r="5">
      <x:c r="A5" s="43" t="str">
        <x:v>Mailing addresses</x:v>
      </x:c>
      <x:c r="B5" s="44" t="n">
        <x:f>COUNTA('Mailing Shortlist'!$A$2:$A$401)</x:f>
        <x:v>400</x:v>
      </x:c>
      <x:c r="C5" s="39"/>
      <x:c r="D5" s="39"/>
      <x:c r="E5" s="39"/>
      <x:c r="F5" s="39"/>
    </x:row>
    <x:row r="6">
      <x:c r="A6" s="43" t="str">
        <x:v>LLC rows checked against DOS</x:v>
      </x:c>
      <x:c r="B6" s="44" t="n">
        <x:f>COUNTA('DOS Entity Matches'!$D$2:$D$1801)</x:f>
        <x:v>1800</x:v>
      </x:c>
      <x:c r="C6" s="39"/>
      <x:c r="D6" s="39"/>
      <x:c r="E6" s="39"/>
      <x:c r="F6" s="39"/>
    </x:row>
    <x:row r="7">
      <x:c r="A7" s="43" t="str">
        <x:v>Active DOS matches</x:v>
      </x:c>
      <x:c r="B7" s="44" t="n">
        <x:f>SUM('Mailing Shortlist'!$P$2:$P$401)</x:f>
        <x:v>1691</x:v>
      </x:c>
      <x:c r="C7" s="39"/>
      <x:c r="D7" s="39"/>
      <x:c r="E7" s="39"/>
      <x:c r="F7" s="39"/>
    </x:row>
    <x:row r="8">
      <x:c r="A8" s="43" t="str">
        <x:v>DOS match rate</x:v>
      </x:c>
      <x:c r="B8" s="45" t="n">
        <x:f>B7/B6</x:f>
        <x:v>0.9394444444444444</x:v>
      </x:c>
      <x:c r="C8" s="39"/>
      <x:c r="D8" s="39"/>
      <x:c r="E8" s="39"/>
      <x:c r="F8" s="39"/>
    </x:row>
    <x:row r="9">
      <x:c r="A9" s="43" t="str">
        <x:v>Strong DOS/address-corroborated groups</x:v>
      </x:c>
      <x:c r="B9" s="44" t="n">
        <x:f>COUNTIF('Mailing Shortlist'!$S$2:$S$401,"Strong DOS address corroboration")</x:f>
        <x:v>197</x:v>
      </x:c>
      <x:c r="C9" s="39"/>
      <x:c r="D9" s="39"/>
      <x:c r="E9" s="39"/>
      <x:c r="F9" s="39"/>
    </x:row>
    <x:row r="10">
      <x:c r="A10" s="43" t="str">
        <x:v>Groups with a supported named addressee</x:v>
      </x:c>
      <x:c r="B10" s="44" t="n">
        <x:f>COUNTIF('Mailing Shortlist'!$G$2:$G$401,"&lt;&gt;PROPERTY OWNER")</x:f>
        <x:v>49</x:v>
      </x:c>
      <x:c r="C10" s="39"/>
      <x:c r="D10" s="39"/>
      <x:c r="E10" s="39"/>
      <x:c r="F10" s="39"/>
    </x:row>
    <x:row r="11">
      <x:c r="A11" s="46" t="str">
        <x:v>Email or phone records supplied by DOS</x:v>
      </x:c>
      <x:c r="B11" s="47" t="n">
        <x:f>COUNTIF('Mailing Shortlist'!$T$2:$T$401,"Yes")</x:f>
        <x:v>0</x:v>
      </x:c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 ht="30" customHeight="1">
      <x:c r="A13" s="41" t="str">
        <x:v>Tier</x:v>
      </x:c>
      <x:c r="B13" s="48" t="str">
        <x:v>Addresses</x:v>
      </x:c>
      <x:c r="C13" s="48" t="str">
        <x:v>DOS matches</x:v>
      </x:c>
      <x:c r="D13" s="48" t="str">
        <x:v>LLC rows</x:v>
      </x:c>
      <x:c r="E13" s="42" t="str">
        <x:v>Match rate</x:v>
      </x:c>
      <x:c r="F13" s="39"/>
    </x:row>
    <x:row r="14">
      <x:c r="A14" s="39" t="n">
        <x:v>3</x:v>
      </x:c>
      <x:c r="B14" s="39" t="n">
        <x:f>COUNTIF('Mailing Shortlist'!$F$2:$F$401,A14)</x:f>
        <x:v>100</x:v>
      </x:c>
      <x:c r="C14" s="39" t="n">
        <x:f>SUMIF('Mailing Shortlist'!$F$2:$F$401,A14,'Mailing Shortlist'!$P$2:$P$401)</x:f>
        <x:v>278</x:v>
      </x:c>
      <x:c r="D14" s="39" t="n">
        <x:f>SUMIF('Mailing Shortlist'!$F$2:$F$401,A14,'Mailing Shortlist'!$L$2:$L$401)</x:f>
        <x:v>300</x:v>
      </x:c>
      <x:c r="E14" s="49" t="n">
        <x:f>C14/D14</x:f>
        <x:v>0.9266666666666666</x:v>
      </x:c>
      <x:c r="F14" s="39"/>
    </x:row>
    <x:row r="15">
      <x:c r="A15" s="39" t="n">
        <x:v>4</x:v>
      </x:c>
      <x:c r="B15" s="39" t="n">
        <x:f>COUNTIF('Mailing Shortlist'!$F$2:$F$401,A15)</x:f>
        <x:v>100</x:v>
      </x:c>
      <x:c r="C15" s="39" t="n">
        <x:f>SUMIF('Mailing Shortlist'!$F$2:$F$401,A15,'Mailing Shortlist'!$P$2:$P$401)</x:f>
        <x:v>375</x:v>
      </x:c>
      <x:c r="D15" s="39" t="n">
        <x:f>SUMIF('Mailing Shortlist'!$F$2:$F$401,A15,'Mailing Shortlist'!$L$2:$L$401)</x:f>
        <x:v>400</x:v>
      </x:c>
      <x:c r="E15" s="49" t="n">
        <x:f>C15/D15</x:f>
        <x:v>0.9375</x:v>
      </x:c>
      <x:c r="F15" s="39"/>
    </x:row>
    <x:row r="16">
      <x:c r="A16" s="39" t="n">
        <x:v>5</x:v>
      </x:c>
      <x:c r="B16" s="39" t="n">
        <x:f>COUNTIF('Mailing Shortlist'!$F$2:$F$401,A16)</x:f>
        <x:v>100</x:v>
      </x:c>
      <x:c r="C16" s="39" t="n">
        <x:f>SUMIF('Mailing Shortlist'!$F$2:$F$401,A16,'Mailing Shortlist'!$P$2:$P$401)</x:f>
        <x:v>470</x:v>
      </x:c>
      <x:c r="D16" s="39" t="n">
        <x:f>SUMIF('Mailing Shortlist'!$F$2:$F$401,A16,'Mailing Shortlist'!$L$2:$L$401)</x:f>
        <x:v>500</x:v>
      </x:c>
      <x:c r="E16" s="49" t="n">
        <x:f>C16/D16</x:f>
        <x:v>0.94</x:v>
      </x:c>
      <x:c r="F16" s="39"/>
    </x:row>
    <x:row r="17">
      <x:c r="A17" s="39" t="n">
        <x:v>6</x:v>
      </x:c>
      <x:c r="B17" s="39" t="n">
        <x:f>COUNTIF('Mailing Shortlist'!$F$2:$F$401,A17)</x:f>
        <x:v>100</x:v>
      </x:c>
      <x:c r="C17" s="39" t="n">
        <x:f>SUMIF('Mailing Shortlist'!$F$2:$F$401,A17,'Mailing Shortlist'!$P$2:$P$401)</x:f>
        <x:v>568</x:v>
      </x:c>
      <x:c r="D17" s="39" t="n">
        <x:f>SUMIF('Mailing Shortlist'!$F$2:$F$401,A17,'Mailing Shortlist'!$L$2:$L$401)</x:f>
        <x:v>600</x:v>
      </x:c>
      <x:c r="E17" s="49" t="n">
        <x:f>C17/D17</x:f>
        <x:v>0.9466666666666667</x:v>
      </x:c>
      <x:c r="F17" s="39"/>
    </x:row>
    <x:row r="18">
      <x:c r="A18" s="50" t="str">
        <x:v>Total</x:v>
      </x:c>
      <x:c r="B18" s="50" t="n">
        <x:f>SUM(B14:B17)</x:f>
        <x:v>400</x:v>
      </x:c>
      <x:c r="C18" s="50" t="n">
        <x:f>SUM(C14:C17)</x:f>
        <x:v>1691</x:v>
      </x:c>
      <x:c r="D18" s="50" t="n">
        <x:f>SUM(D14:D17)</x:f>
        <x:v>1800</x:v>
      </x:c>
      <x:c r="E18" s="51" t="n">
        <x:f>C18/D18</x:f>
        <x:v>0.9394444444444444</x:v>
      </x:c>
      <x:c r="F18" s="39"/>
    </x:row>
    <x:row r="19">
      <x:c r="A19" s="39"/>
      <x:c r="B19" s="39"/>
      <x:c r="C19" s="39"/>
      <x:c r="D19" s="39"/>
      <x:c r="E19" s="39"/>
      <x:c r="F19" s="39"/>
    </x:row>
    <x:row r="20" ht="30" customHeight="1">
      <x:c r="A20" s="41" t="str">
        <x:v>DOS corroboration category</x:v>
      </x:c>
      <x:c r="B20" s="42" t="str">
        <x:v>Groups</x:v>
      </x:c>
      <x:c r="C20" s="39"/>
      <x:c r="D20" s="39"/>
      <x:c r="E20" s="39"/>
      <x:c r="F20" s="39"/>
    </x:row>
    <x:row r="21">
      <x:c r="A21" s="39" t="str">
        <x:v>Strong DOS address corroboration</x:v>
      </x:c>
      <x:c r="B21" s="39" t="n">
        <x:f>COUNTIF('Mailing Shortlist'!$S$2:$S$401,A21)</x:f>
        <x:v>197</x:v>
      </x:c>
      <x:c r="C21" s="39"/>
      <x:c r="D21" s="39"/>
      <x:c r="E21" s="39"/>
      <x:c r="F21" s="39"/>
    </x:row>
    <x:row r="22">
      <x:c r="A22" s="39" t="str">
        <x:v>Shared DOS address</x:v>
      </x:c>
      <x:c r="B22" s="39" t="n">
        <x:f>COUNTIF('Mailing Shortlist'!$S$2:$S$401,A22)</x:f>
        <x:v>142</x:v>
      </x:c>
      <x:c r="C22" s="39"/>
      <x:c r="D22" s="39"/>
      <x:c r="E22" s="39"/>
      <x:c r="F22" s="39"/>
    </x:row>
    <x:row r="23">
      <x:c r="A23" s="39" t="str">
        <x:v>Active-name matches only</x:v>
      </x:c>
      <x:c r="B23" s="39" t="n">
        <x:f>COUNTIF('Mailing Shortlist'!$S$2:$S$401,A23)</x:f>
        <x:v>54</x:v>
      </x:c>
      <x:c r="C23" s="39"/>
      <x:c r="D23" s="39"/>
      <x:c r="E23" s="39"/>
      <x:c r="F23" s="39"/>
    </x:row>
    <x:row r="24">
      <x:c r="A24" s="39" t="str">
        <x:v>Needs manual review</x:v>
      </x:c>
      <x:c r="B24" s="39" t="n">
        <x:f>COUNTIF('Mailing Shortlist'!$S$2:$S$401,A24)</x:f>
        <x:v>7</x:v>
      </x:c>
      <x:c r="C24" s="39"/>
      <x:c r="D24" s="39"/>
      <x:c r="E24" s="39"/>
      <x:c r="F24" s="39"/>
    </x:row>
    <x:row r="25">
      <x:c r="A25" s="39"/>
      <x:c r="B25" s="39"/>
      <x:c r="C25" s="39"/>
      <x:c r="D25" s="39"/>
      <x:c r="E25" s="39"/>
      <x:c r="F25" s="39"/>
    </x:row>
    <x:row r="26">
      <x:c r="A26" s="52" t="str">
        <x:v>Important interpretation</x:v>
      </x:c>
      <x:c r="B26" s="39"/>
      <x:c r="C26" s="39"/>
      <x:c r="D26" s="39"/>
      <x:c r="E26" s="39"/>
      <x:c r="F26" s="39"/>
    </x:row>
    <x:row r="27">
      <x:c r="A27" s="53" t="str">
        <x:v>A DOS match confirms an active legal entity and provides service-of-process or agent information; it does not prove that the LLCs have the same beneficial owner. Email and phone are not fields in this DOS dataset. A named addressee is recommended only when the same plausible person appears for at least two LLCs in a group.</x:v>
      </x:c>
      <x:c r="B27" s="39"/>
      <x:c r="C27" s="39"/>
      <x:c r="D27" s="39"/>
      <x:c r="E27" s="39"/>
      <x:c r="F27" s="39"/>
    </x:row>
    <x:row r="28">
      <x:c r="A28" s="39"/>
      <x:c r="B28" s="39"/>
      <x:c r="C28" s="39"/>
      <x:c r="D28" s="39"/>
      <x:c r="E28" s="39"/>
      <x:c r="F28" s="39"/>
    </x:row>
    <x:row r="29">
      <x:c r="A29" s="39"/>
      <x:c r="B29" s="39"/>
      <x:c r="C29" s="39"/>
      <x:c r="D29" s="39"/>
      <x:c r="E29" s="39"/>
      <x:c r="F29" s="39"/>
    </x:row>
    <x:row r="30">
      <x:c r="A30" s="39"/>
      <x:c r="B30" s="39"/>
      <x:c r="C30" s="39"/>
      <x:c r="D30" s="39"/>
      <x:c r="E30" s="39"/>
      <x:c r="F30" s="39"/>
    </x:row>
    <x:row r="31">
      <x:c r="A31" s="39"/>
      <x:c r="B31" s="39"/>
      <x:c r="C31" s="39"/>
      <x:c r="D31" s="39"/>
      <x:c r="E31" s="39"/>
      <x:c r="F31" s="39"/>
    </x:row>
    <x:row r="32">
      <x:c r="A32" s="54" t="str">
        <x:v>Source: https://data.ny.gov/Economic-Development/Active-Corporations-Beginning-1800/n9v6-gdp6</x:v>
      </x:c>
      <x:c r="B32" s="39"/>
      <x:c r="C32" s="39"/>
      <x:c r="D32" s="39"/>
      <x:c r="E32" s="39"/>
      <x:c r="F32" s="39"/>
    </x:row>
  </x:sheetData>
  <x:mergeCells>
    <x:mergeCell ref="A1:F1"/>
    <x:mergeCell ref="A2:F2"/>
    <x:mergeCell ref="A26:F26"/>
    <x:mergeCell ref="A27:F30"/>
    <x:mergeCell ref="A32:F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24" hidden="0" customWidth="1"/>
    <x:col min="6" max="6" width="12" hidden="0" customWidth="1"/>
    <x:col min="7" max="7" width="24" hidden="0" customWidth="1"/>
    <x:col min="8" max="8" width="24" hidden="0" customWidth="1"/>
    <x:col min="9" max="9" width="12" hidden="0" customWidth="1"/>
    <x:col min="10" max="10" width="38" hidden="0" customWidth="1"/>
    <x:col min="11" max="11" width="28" hidden="0" customWidth="1"/>
    <x:col min="12" max="12" width="12" hidden="0" customWidth="1"/>
    <x:col min="13" max="13" width="12" hidden="0" customWidth="1"/>
    <x:col min="14" max="14" width="42" hidden="0" customWidth="1"/>
    <x:col min="15" max="15" width="48" hidden="0" customWidth="1"/>
    <x:col min="16" max="16" width="14" hidden="0" customWidth="1"/>
    <x:col min="17" max="17" width="12" hidden="0" customWidth="1"/>
    <x:col min="18" max="18" width="18" hidden="0" customWidth="1"/>
    <x:col min="19" max="19" width="30" hidden="0" customWidth="1"/>
    <x:col min="20" max="20" width="18" hidden="0" customWidth="1"/>
    <x:col min="21" max="21" width="16" hidden="0" customWidth="1"/>
    <x:col min="22" max="22" width="38" hidden="0" customWidth="1"/>
  </x:cols>
  <x:sheetData>
    <x:row r="1" ht="30" customHeight="1">
      <x:c r="A1" s="41" t="str">
        <x:v>Cluster ID</x:v>
      </x:c>
      <x:c r="B1" s="48" t="str">
        <x:v>Mail Status</x:v>
      </x:c>
      <x:c r="C1" s="48" t="str">
        <x:v>Mail Date</x:v>
      </x:c>
      <x:c r="D1" s="48" t="str">
        <x:v>Response</x:v>
      </x:c>
      <x:c r="E1" s="48" t="str">
        <x:v>Notes</x:v>
      </x:c>
      <x:c r="F1" s="48" t="str">
        <x:v>Mailing Tier</x:v>
      </x:c>
      <x:c r="G1" s="48" t="str">
        <x:v>Recommended Addressee</x:v>
      </x:c>
      <x:c r="H1" s="48" t="str">
        <x:v>Possible Named Addressee</x:v>
      </x:c>
      <x:c r="I1" s="48" t="str">
        <x:v>Name Support Count</x:v>
      </x:c>
      <x:c r="J1" s="48" t="str">
        <x:v>Mailing Address</x:v>
      </x:c>
      <x:c r="K1" s="48" t="str">
        <x:v>Address Source</x:v>
      </x:c>
      <x:c r="L1" s="48" t="str">
        <x:v>Distinct LLCs</x:v>
      </x:c>
      <x:c r="M1" s="48" t="str">
        <x:v>Properties</x:v>
      </x:c>
      <x:c r="N1" s="48" t="str">
        <x:v>LLC Names</x:v>
      </x:c>
      <x:c r="O1" s="48" t="str">
        <x:v>Property Addresses</x:v>
      </x:c>
      <x:c r="P1" s="48" t="str">
        <x:v>DOS LLCs Matched</x:v>
      </x:c>
      <x:c r="Q1" s="48" t="str">
        <x:v>DOS Match Rate</x:v>
      </x:c>
      <x:c r="R1" s="48" t="str">
        <x:v>DOS Address-Corroborated LLCs</x:v>
      </x:c>
      <x:c r="S1" s="48" t="str">
        <x:v>DOS Corroboration</x:v>
      </x:c>
      <x:c r="T1" s="48" t="str">
        <x:v>Email/Phone from DOS</x:v>
      </x:c>
      <x:c r="U1" s="48" t="str">
        <x:v>Minimum ACRIS Name Match</x:v>
      </x:c>
      <x:c r="V1" s="42" t="str">
        <x:v>DOS Source URL</x:v>
      </x:c>
    </x:row>
    <x:row r="2">
      <x:c r="A2" t="str">
        <x:v>DOS-3-001</x:v>
      </x:c>
      <x:c r="B2" t="str">
        <x:v>Not Mailed</x:v>
      </x:c>
      <x:c r="C2" s="55"/>
      <x:c r="D2" t="str">
        <x:v>No Response</x:v>
      </x:c>
      <x:c r="E2" t="str"/>
      <x:c r="F2" t="n">
        <x:v>3</x:v>
      </x:c>
      <x:c r="G2" t="str">
        <x:v>PROPERTY OWNER</x:v>
      </x:c>
      <x:c r="H2" t="str">
        <x:v>JAMIE ANTHONY</x:v>
      </x:c>
      <x:c r="I2" t="n">
        <x:v>1</x:v>
      </x:c>
      <x:c r="J2" t="str">
        <x:v>31 smith street, floor 2, BROOKLYN, NY, 11201</x:v>
      </x:c>
      <x:c r="K2" t="str">
        <x:v>DOS address corroborated by ACRIS</x:v>
      </x:c>
      <x:c r="L2" t="n">
        <x:v>3</x:v>
      </x:c>
      <x:c r="M2" t="n">
        <x:v>100</x:v>
      </x:c>
      <x:c r="N2" t="str">
        <x:v>61 ATLANTIC BUILDING LLC | BOWERY JONES OWNER LLC | COBBLE HILL PARKING LLC</x:v>
      </x:c>
      <x:c r="O2" t="str">
        <x:v>185 PACIFIC STREET APT 1, NY 11201 | 185 PACIFIC STREET APT 10, NY 11201 | 185 PACIFIC STREET APT 106, NY 11201 | 185 PACIFIC STREET APT 107, NY 11201 | 185 PACIFIC STREET APT 108, NY 11201 | 185 PACIFIC STREET APT 11, NY 11201 | 185 PACIFIC STREET APT 110, NY 11201 | 185 PACIFIC STREET APT 113, NY 11201 | 185 PACIFIC STREET APT 114, NY 11201 | 185 PACIFIC STREET APT 115, NY 11201 | 185 PACIFIC STREET APT 117, NY 11201 | 185 PACIFIC STREET APT 119, NY 11201 | 185 PACIFIC STREET APT 12, NY 11201 | 185 PACIFIC STREET APT 121, NY 11201 | 185 PACIFIC STREET APT 123, NY 11201 | 185 PACIFIC STREET APT 124, NY 11201 | 185 PACIFIC STREET APT 126, NY 11201 | 185 PACIFIC STREET APT 127, NY 11201 | 185 PACIFIC STREET APT 128, NY 11201 | 185 PACIFIC STREET APT 129, NY 11201 | 185 PACIFIC STREET APT 13, NY 11201 | 185 PACIFIC STREET APT 130, NY 11201 | 185 PACIFIC STREET APT 131, NY 11201 | 185 PACIFIC STREET APT 132, NY 11201 | 185 PACIFIC STREET APT 133, NY 11201 | 185 PACIFIC STREET APT 134, NY 11201 | 185 PACIFIC STREET APT 135, NY 11201 | 185 PACIFIC STREET APT 136, NY 11201 | 185 PACIFIC STREET APT 14, NY 11201 | 185 PACIFIC STREET APT 15, NY 11201 | 185 PACIFIC STREET APT 16, NY 11201 | 185 PACIFIC STREET APT 17, NY 11201 | 185 PACIFIC STREET APT 18, NY 11201 | 185 PACIFIC STREET APT 19, NY 11201 | 185 PACIFIC STREET APT 2, NY 11201 | 185 PACIFIC STREET APT 20, NY 11201 | 185 PACIFIC STREET APT 204, NY 11201 | 185 PACIFIC STREET APT 206, NY 11201 | 185 PACIFIC STREET APT 208, NY 11201 | 185 PACIFIC STREET APT 21, NY 11201 | 185 PACIFIC STREET APT 211, NY 11201 | 185 PACIFIC STREET APT 212, NY 11201 | 185 PACIFIC STREET APT 213, NY 11201 | 185 PACIFIC STREET APT 214, NY 11201 | 185 PACIFIC STREET APT 215, NY 11201 | 185 PACIFIC STREET APT 216, NY 11201 | 185 PACIFIC STREET APT 222, NY 11201 | 185 PACIFIC STREET APT 225, NY 11201 | 185 PACIFIC STREET APT 227, NY 11201 | 185 PACIFIC STREET APT 23, NY 11201 | 185 PACIFIC STREET APT 230, NY 11201 | 185 PACIFIC STREET APT 231, NY 11201 | 185 PACIFIC STREET APT 232, NY 11201 | 185 PACIFIC STREET APT 233, NY 11201 | 185 PACIFIC STREET APT 237, NY 11201 | 185 PACIFIC STREET APT 24, NY 11201 | 185 PACIFIC STREET APT 25, NY 11201 | 185 PACIFIC STREET APT 26, NY 11201 | 185 PACIFIC STREET APT 27, NY 11201 | 185 PACIFIC STREET APT 28, NY 11201 | 185 PACIFIC STREET APT 29, NY 11201 | 185 PACIFIC STREET APT 30, NY 11201 | 185 PACIFIC STREET APT 303, NY 11201 | 185 PACIFIC STREET APT 304, NY 11201 | 185 PACIFIC STREET APT 305, NY 11201 | 185 PACIFIC STREET APT 306, NY 11201 | 185 PACIFIC STREET APT 307, NY 11201 | 185 PACIFIC STREET APT 308, NY 11201 | 185 PACIFIC STREET APT 31, NY 11201 | 185 PACIFIC STREET APT 311, NY 11201 | 185 PACIFIC STREET APT 313, NY 11201 | 185 PACIFIC STREET APT 314, NY 11201 | 185 PACIFIC STREET APT 315, NY 11201 | 185 PACIFIC STREET APT 317, NY 11201 | 185 PACIFIC STREET APT 318, NY 11201 | 185 PACIFIC STREET APT 319, NY 11201 | 185 PACIFIC STREET APT 32, NY 11201 | 185 PACIFIC STREET APT 326, NY 11201 | 185 PACIFIC STREET APT 327, NY 11201 | 185 PACIFIC STREET APT 328, NY 11201 | 185 PACIFIC STREET APT 329, NY 11201 | 185 PACIFIC STREET APT 33, NY 11201 | 185 PACIFIC STREET APT 330, NY 11201 | 185 PACIFIC STREET APT 332, NY 11201 | 185 PACIFIC STREET APT 334, NY 11201 | 185 PACIFIC STREET APT 335, NY 11201 | 185 PACIFIC STREET APT 34, NY 11201 | 185 PACIFIC STREET APT 35, NY 11201 | 185 PACIFIC STREET APT 36, NY 11201 | 185 PACIFIC STREET APT 37, NY 11201 | 185 PACIFIC STREET APT 38, NY 11201 | 185 PACIFIC STREET APT 6, NY 11201 | 185 PACIFIC STREET APT 7, NY 11201 | 185 PACIFIC STREET APT 8, NY 11201 | 185 PACIFIC STREET APT 9, NY 11201 | 348 BOWERY, NY 10012 | 350 BOWERY, NY 10012 | 352 BOWERY, NY 10012 | 59 ATLANTIC AVENUE, NY 11201 | 61 ATLANTIC AVENUE, NY 11201</x:v>
      </x:c>
      <x:c r="P2" t="n">
        <x:v>3</x:v>
      </x:c>
      <x:c r="Q2" s="15" t="n">
        <x:v>1</x:v>
      </x:c>
      <x:c r="R2" t="n">
        <x:v>1</x:v>
      </x:c>
      <x:c r="S2" t="str">
        <x:v>Shared DOS address</x:v>
      </x:c>
      <x:c r="T2" t="str">
        <x:v>No</x:v>
      </x:c>
      <x:c r="U2" t="n">
        <x:v>100</x:v>
      </x:c>
      <x:c r="V2" t="str">
        <x:v>https://data.ny.gov/Economic-Development/Active-Corporations-Beginning-1800/n9v6-gdp6</x:v>
      </x:c>
    </x:row>
    <x:row r="3">
      <x:c r="A3" t="str">
        <x:v>DOS-3-002</x:v>
      </x:c>
      <x:c r="B3" t="str">
        <x:v>Not Mailed</x:v>
      </x:c>
      <x:c r="C3" s="55"/>
      <x:c r="D3" t="str">
        <x:v>No Response</x:v>
      </x:c>
      <x:c r="E3" t="str"/>
      <x:c r="F3" t="n">
        <x:v>3</x:v>
      </x:c>
      <x:c r="G3" t="str">
        <x:v>PROPERTY OWNER</x:v>
      </x:c>
      <x:c r="H3" t="str"/>
      <x:c r="I3" t="n">
        <x:v>0</x:v>
      </x:c>
      <x:c r="J3" t="str">
        <x:v>231 FULTON STREET W, GRAND RAPIDS, MI, 49503, US</x:v>
      </x:c>
      <x:c r="K3" t="str">
        <x:v>ACRIS deed-party address</x:v>
      </x:c>
      <x:c r="L3" t="n">
        <x:v>3</x:v>
      </x:c>
      <x:c r="M3" t="n">
        <x:v>65</x:v>
      </x:c>
      <x:c r="N3" t="str">
        <x:v>1 PARK ROW COMMERCIAL LLC | 1 PARK ROW OWNER LLC | 1 PARK ROW PH LLC</x:v>
      </x:c>
      <x:c r="O3" t="str">
        <x:v>1 PARK ROW APT 101, NY 10038 | 1 PARK ROW APT 10A, NY 10038 | 1 PARK ROW APT 10B, NY 10038 | 1 PARK ROW APT 10C, NY 10038 | 1 PARK ROW APT 10D, NY 10038 | 1 PARK ROW APT 11A, NY 10038 | 1 PARK ROW APT 11B, NY 10038 | 1 PARK ROW APT 11C, NY 10038 | 1 PARK ROW APT 11D, NY 10038 | 1 PARK ROW APT 12A, NY 10038 | 1 PARK ROW APT 12B, NY 10038 | 1 PARK ROW APT 12C, NY 10038 | 1 PARK ROW APT 12D, NY 10038 | 1 PARK ROW APT 13A, NY 10038 | 1 PARK ROW APT 13B, NY 10038 | 1 PARK ROW APT 13C, NY 10038 | 1 PARK ROW APT 13D, NY 10038 | 1 PARK ROW APT 14A, NY 10038 | 1 PARK ROW APT 14B, NY 10038 | 1 PARK ROW APT 14C, NY 10038 | 1 PARK ROW APT 14D, NY 10038 | 1 PARK ROW APT 15A, NY 10038 | 1 PARK ROW APT 15B, NY 10038 | 1 PARK ROW APT 15C, NY 10038 | 1 PARK ROW APT 15D, NY 10038 | 1 PARK ROW APT 16A, NY 10038 | 1 PARK ROW APT 16B, NY 10038 | 1 PARK ROW APT 16C, NY 10038 | 1 PARK ROW APT 16D, NY 10038 | 1 PARK ROW APT 17A, NY 10038 | 1 PARK ROW APT 17B, NY 10038 | 1 PARK ROW APT 17C, NY 10038 | 1 PARK ROW APT 17D, NY 10038 | 1 PARK ROW APT 18A, NY 10038 | 1 PARK ROW APT 18B, NY 10038 | 1 PARK ROW APT 18C, NY 10038 | 1 PARK ROW APT 18D, NY 10038 | 1 PARK ROW APT 19A, NY 10038 | 1 PARK ROW APT 19B, NY 10038 | 1 PARK ROW APT 19D, NY 10038 | 1 PARK ROW APT 201, NY 10038 | 1 PARK ROW APT 20A, NY 10038 | 1 PARK ROW APT 20B, NY 10038 | 1 PARK ROW APT 20D, NY 10038 | 1 PARK ROW APT 21A, NY 10038 | 1 PARK ROW APT 21B, NY 10038 | 1 PARK ROW APT 21D, NY 10038 | 1 PARK ROW APT 301, NY 10038 | 1 PARK ROW APT 401, NY 10038 | 1 PARK ROW APT 5A, NY 10038 | 1 PARK ROW APT 5B, NY 10038 | 1 PARK ROW APT 5C, NY 10038 | 1 PARK ROW APT 6A, NY 10038 | 1 PARK ROW APT 6B, NY 10038 | 1 PARK ROW APT 6C, NY 10038 | 1 PARK ROW APT 7A, NY 10038 | 1 PARK ROW APT 7B, NY 10038 | 1 PARK ROW APT 8A, NY 10038 | 1 PARK ROW APT 8B, NY 10038 | 1 PARK ROW APT 8C, NY 10038 | 1 PARK ROW APT 8D, NY 10038 | 1 PARK ROW APT 9A, NY 10038 | 1 PARK ROW APT 9B, NY 10038 | 1 PARK ROW APT 9C, NY 10038 | 1 PARK ROW APT PH, NY 10038</x:v>
      </x:c>
      <x:c r="P3" t="n">
        <x:v>3</x:v>
      </x:c>
      <x:c r="Q3" s="15" t="n">
        <x:v>1</x:v>
      </x:c>
      <x:c r="R3" t="n">
        <x:v>0</x:v>
      </x:c>
      <x:c r="S3" t="str">
        <x:v>Shared DOS address</x:v>
      </x:c>
      <x:c r="T3" t="str">
        <x:v>No</x:v>
      </x:c>
      <x:c r="U3" t="n">
        <x:v>100</x:v>
      </x:c>
      <x:c r="V3" t="str">
        <x:v>https://data.ny.gov/Economic-Development/Active-Corporations-Beginning-1800/n9v6-gdp6</x:v>
      </x:c>
    </x:row>
    <x:row r="4">
      <x:c r="A4" t="str">
        <x:v>DOS-3-003</x:v>
      </x:c>
      <x:c r="B4" t="str">
        <x:v>Not Mailed</x:v>
      </x:c>
      <x:c r="C4" s="55"/>
      <x:c r="D4" t="str">
        <x:v>No Response</x:v>
      </x:c>
      <x:c r="E4" t="str"/>
      <x:c r="F4" t="n">
        <x:v>3</x:v>
      </x:c>
      <x:c r="G4" t="str">
        <x:v>PROPERTY OWNER</x:v>
      </x:c>
      <x:c r="H4" t="str"/>
      <x:c r="I4" t="n">
        <x:v>0</x:v>
      </x:c>
      <x:c r="J4" t="str">
        <x:v>11 MIDDLE NECK ROAD, GREAT NECK, NY, 11021, US</x:v>
      </x:c>
      <x:c r="K4" t="str">
        <x:v>ACRIS deed-party address</x:v>
      </x:c>
      <x:c r="L4" t="n">
        <x:v>3</x:v>
      </x:c>
      <x:c r="M4" t="n">
        <x:v>61</x:v>
      </x:c>
      <x:c r="N4" t="str">
        <x:v>202 SPRING RETAIL LLC | 2333 BEAUMONT BH LLC | SG 31 LLC</x:v>
      </x:c>
      <x:c r="O4" t="str">
        <x:v>2333 BEAUMONT AVENUE, NY 10458 | 3135 31 STREET APT P-1, NY 11106 | 3135 31 STREET APT P-10, NY 11106 | 3135 31 STREET APT P-11, NY 11106 | 3135 31 STREET APT P-12, NY 11106 | 3135 31 STREET APT P-13, NY 11106 | 3135 31 STREET APT P-14, NY 11106 | 3135 31 STREET APT P-15, NY 11106 | 3135 31 STREET APT P-16, NY 11106 | 3135 31 STREET APT P-17, NY 11106 | 3135 31 STREET APT P-18, NY 11106 | 3135 31 STREET APT P-19, NY 11106 | 3135 31 STREET APT P-2, NY 11106 | 3135 31 STREET APT P-20, NY 11106 | 3135 31 STREET APT P-21, NY 11106 | 3135 31 STREET APT P-26, NY 11106 | 3135 31 STREET APT P-27, NY 11106 | 3135 31 STREET APT P-28, NY 11106 | 3135 31 STREET APT P-29, NY 11106 | 3135 31 STREET APT P-3, NY 11106 | 3135 31 STREET APT P-30, NY 11106 | 3135 31 STREET APT P-31, NY 11106 | 3135 31 STREET APT P-32, NY 11106 | 3135 31 STREET APT P-33, NY 11106 | 3135 31 STREET APT P-34, NY 11106 | 3135 31 STREET APT P-35, NY 11106 | 3135 31 STREET APT P-36, NY 11106 | 3135 31 STREET APT P-37, NY 11106 | 3135 31 STREET APT P-38, NY 11106 | 3135 31 STREET APT P-39, NY 11106 | 3135 31 STREET APT P-4, NY 11106 | 3135 31 STREET APT P-40, NY 11106 | 3135 31 STREET APT P-41, NY 11106 | 3135 31 STREET APT P-42, NY 11106 | 3135 31 STREET APT P-43, NY 11106 | 3135 31 STREET APT P-44, NY 11106 | 3135 31 STREET APT P-45, NY 11106 | 3135 31 STREET APT P-46, NY 11106 | 3135 31 STREET APT P-47, NY 11106 | 3135 31 STREET APT P-48, NY 11106 | 3135 31 STREET APT P-49, NY 11106 | 3135 31 STREET APT P-5, NY 11106 | 3135 31 STREET APT P-50, NY 11106 | 3135 31 STREET APT P-51, NY 11106 | 3135 31 STREET APT P-52, NY 11106 | 3135 31 STREET APT P-53, NY 11106 | 3135 31 STREET APT P-54, NY 11106 | 3135 31 STREET APT P-55, NY 11106 | 3135 31 STREET APT P-56, NY 11106 | 3135 31 STREET APT P-57, NY 11106 | 3135 31 STREET APT P-58, NY 11106 | 3135 31 STREET APT P-59, NY 11106 | 3135 31 STREET APT P-6, NY 11106 | 3135 31 STREET APT P-60, NY 11106 | 3135 31 STREET APT P-61, NY 11106 | 3135 31 STREET APT P-62, NY 11106 | 3135 31 STREET APT P-63, NY 11106 | 3135 31 STREET APT P-7, NY 11106 | 3135 31 STREET APT P-8, NY 11106 | 3135 31 STREET APT P-9, NY 11106 | 84-90 SULLIVAN STREET APT RETL, NY 10012</x:v>
      </x:c>
      <x:c r="P4" t="n">
        <x:v>3</x:v>
      </x:c>
      <x:c r="Q4" s="15" t="n">
        <x:v>1</x:v>
      </x:c>
      <x:c r="R4" t="n">
        <x:v>0</x:v>
      </x:c>
      <x:c r="S4" t="str">
        <x:v>Shared DOS address</x:v>
      </x:c>
      <x:c r="T4" t="str">
        <x:v>No</x:v>
      </x:c>
      <x:c r="U4" t="n">
        <x:v>100</x:v>
      </x:c>
      <x:c r="V4" t="str">
        <x:v>https://data.ny.gov/Economic-Development/Active-Corporations-Beginning-1800/n9v6-gdp6</x:v>
      </x:c>
    </x:row>
    <x:row r="5">
      <x:c r="A5" t="str">
        <x:v>DOS-3-004</x:v>
      </x:c>
      <x:c r="B5" t="str">
        <x:v>Not Mailed</x:v>
      </x:c>
      <x:c r="C5" s="55"/>
      <x:c r="D5" t="str">
        <x:v>No Response</x:v>
      </x:c>
      <x:c r="E5" t="str"/>
      <x:c r="F5" t="n">
        <x:v>3</x:v>
      </x:c>
      <x:c r="G5" t="str">
        <x:v>PROPERTY OWNER</x:v>
      </x:c>
      <x:c r="H5" t="str"/>
      <x:c r="I5" t="n">
        <x:v>0</x:v>
      </x:c>
      <x:c r="J5" t="str">
        <x:v>136-40 39TH AVENUE,  SUITE  403, FLUSHING, NY, 11354, US</x:v>
      </x:c>
      <x:c r="K5" t="str">
        <x:v>ACRIS deed-party address</x:v>
      </x:c>
      <x:c r="L5" t="n">
        <x:v>3</x:v>
      </x:c>
      <x:c r="M5" t="n">
        <x:v>59</x:v>
      </x:c>
      <x:c r="N5" t="str">
        <x:v>100 PARK ASSOCIATES LLC | 82 PARK WEST LLC | GREYSTONE CAPITAL GROUP LLC</x:v>
      </x:c>
      <x:c r="O5" t="str">
        <x:v>124 WEST 93 STREET APT 1E, NY 10025 | 124 WEST 93 STREET APT 3B, NY 10025 | 124 WEST 93 STREET APT 3C, NY 10025 | 124 WEST 93 STREET APT 3D, NY 10025 | 124 WEST 93 STREET APT 8D, NY 10025 | 125-129 WEST 82 STREET APT 2A, NY 10024 | 127 WEST 82 STREET APT 1C, NY 10024 | 127 WEST 82 STREET APT 2D, NY 10024 | 127 WEST 82 STREET APT 4A, NY 10024 | 127 WEST 82 STREET APT 4B, NY 10024 | 127 WEST 82 STREET APT 4C, NY 10024 | 127 WEST 82 STREET APT 4D, NY 10024 | 127 WEST 82 STREET APT 5A, NY 10024 | 127 WEST 82 STREET APT 5B, NY 10024 | 127 WEST 82 STREET APT 6A, NY 10024 | 127 WEST 82 STREET APT 6D, NY 10024 | 127 WEST 82 STREET APT 7A, NY 10024 | 127 WEST 82 STREET APT 7C, NY 10024 | 127 WEST 82 STREET APT 8D, NY 10024 | 127 WEST 82 STREET APT 9C, NY 10024 | 127 WEST 82 STREET APT 9D, NY 10024 | 42-25 80 STREET APT 1B, NY 11373 | 42-25 80 STREET APT 1J, NY 11373 | 42-25 80 STREET APT 1L, NY 11373 | 42-25 80 STREET APT 1O, NY 11373 | 42-25 80 STREET APT 1V, NY 11373 | 42-25 80 STREET APT 1Y, NY 11373 | 42-25 80 STREET APT 1Z, NY 11373 | 42-25 80 STREET APT 2A, NY 11373 | 42-25 80 STREET APT 2H, NY 11373 | 42-25 80 STREET APT 2R, NY 11373 | 42-25 80 STREET APT 2U, NY 11373 | 42-25 80 STREET APT 2V, NY 11373 | 42-25 80 STREET APT 2W, NY 11373 | 42-25 80 STREET APT 2Z, NY 11373 | 42-25 80 STREET APT 3E, NY 11373 | 42-25 80 STREET APT 3F, NY 11373 | 42-25 80 STREET APT 3G, NY 11373 | 42-25 80 STREET APT 3K, NY 11373 | 42-25 80 STREET APT 3N, NY 11373 | 42-25 80 STREET APT 4C, NY 11373 | 42-25 80 STREET APT 4D, NY 11373 | 42-25 80 STREET APT 4G, NY 11373 | 42-25 80 STREET APT 4J, NY 11373 | 42-25 80 STREET APT 4K, NY 11373 | 42-25 80 STREET APT 4M, NY 11373 | 42-25 80 STREET APT 4O, NY 11373 | 42-25 80 STREET APT 4P, NY 11373 | 42-25 80 STREET APT 5H, NY 11373 | 42-25 80 STREET APT 5K, NY 11373 | 42-25 80 STREET APT 5O, NY 11373 | 42-25 80 STREET APT 5S, NY 11373 | 42-25 80 STREET APT 5V, NY 11373 | 42-25 80 STREET APT 5W, NY 11373 | 42-25 80 STREET APT 5Z, NY 11373 | 42-25 80 STREET APT 6A, NY 11373 | 42-25 80 STREET APT 6H, NY 11373 | 42-25 80 STREET APT 6N, NY 11373 | 42-25 80 STREET APT 6Z, NY 11373</x:v>
      </x:c>
      <x:c r="P5" t="n">
        <x:v>3</x:v>
      </x:c>
      <x:c r="Q5" s="15" t="n">
        <x:v>1</x:v>
      </x:c>
      <x:c r="R5" t="n">
        <x:v>0</x:v>
      </x:c>
      <x:c r="S5" t="str">
        <x:v>Shared DOS address</x:v>
      </x:c>
      <x:c r="T5" t="str">
        <x:v>No</x:v>
      </x:c>
      <x:c r="U5" t="n">
        <x:v>100</x:v>
      </x:c>
      <x:c r="V5" t="str">
        <x:v>https://data.ny.gov/Economic-Development/Active-Corporations-Beginning-1800/n9v6-gdp6</x:v>
      </x:c>
    </x:row>
    <x:row r="6">
      <x:c r="A6" t="str">
        <x:v>DOS-3-005</x:v>
      </x:c>
      <x:c r="B6" t="str">
        <x:v>Not Mailed</x:v>
      </x:c>
      <x:c r="C6" s="55"/>
      <x:c r="D6" t="str">
        <x:v>No Response</x:v>
      </x:c>
      <x:c r="E6" t="str"/>
      <x:c r="F6" t="n">
        <x:v>3</x:v>
      </x:c>
      <x:c r="G6" t="str">
        <x:v>PROPERTY OWNER</x:v>
      </x:c>
      <x:c r="H6" t="str"/>
      <x:c r="I6" t="n">
        <x:v>0</x:v>
      </x:c>
      <x:c r="J6" t="str">
        <x:v>390 PARK AVENUE, 3RD FLOOR, NEW YORK, NY, 10022, US</x:v>
      </x:c>
      <x:c r="K6" t="str">
        <x:v>ACRIS deed-party address</x:v>
      </x:c>
      <x:c r="L6" t="n">
        <x:v>3</x:v>
      </x:c>
      <x:c r="M6" t="n">
        <x:v>50</x:v>
      </x:c>
      <x:c r="N6" t="str">
        <x:v>530 PARK RESIDENTIAL HOLDINGS LLC | R AND F 55TH STREET COMMERCIAL OWNER LLC | TENTH STREET HOLDINGS LLC</x:v>
      </x:c>
      <x:c r="O6" t="str">
        <x:v>28 EAST 10 STREET APT 10F, NY 10003 | 28 EAST 10 STREET APT 11K, NY 10003 | 28 EAST 10 STREET APT 11L, NY 10003 | 28 EAST 10 STREET APT 12A, NY 10003 | 28 EAST 10 STREET APT 12K, NY 10003 | 28 EAST 10 STREET APT 12L, NY 10003 | 28 EAST 10 STREET APT 2C, NY 10003 | 28 EAST 10 STREET APT 2D, NY 10003 | 28 EAST 10 STREET APT 3E, NY 10003 | 28 EAST 10 STREET APT 3F, NY 10003 | 28 EAST 10 STREET APT 3G, NY 10003 | 28 EAST 10 STREET APT 5B, NY 10003 | 28 EAST 10 STREET APT 6E, NY 10003 | 28 EAST 10 STREET APT 7C, NY 10003 | 28 EAST 10 STREET APT 7E, NY 10003 | 28 EAST 10 STREET APT 7G, NY 10003 | 28 EAST 10 STREET APT 7H, NY 10003 | 28 EAST 10 STREET APT 7J, NY 10003 | 28 EAST 10 STREET APT 7L, NY 10003 | 28 EAST 10 STREET APT 8K, NY 10003 | 28 EAST 10 STREET APT 8L, NY 10003 | 28 EAST 10 STREET APT 9E, NY 10003 | 28 EAST 10 STREET APT PHC, NY 10003 | 28 EAST 10 STREET APT PHH, NY 10003 | 530 PARK AVENUE APT 10G, NY 10065 | 530 PARK AVENUE APT 14F, NY 10065 | 530 PARK AVENUE APT 14G, NY 10065 | 530 PARK AVENUE APT 15E, NY 10065 | 530 PARK AVENUE APT 15G, NY 10065 | 530 PARK AVENUE APT 15J, NY 10065 | 530 PARK AVENUE APT 16A, NY 10065 | 530 PARK AVENUE APT 16J, NY 10065 | 530 PARK AVENUE APT 17D, NY 10065 | 530 PARK AVENUE APT 17E, NY 10065 | 530 PARK AVENUE APT 19E, NY 10065 | 530 PARK AVENUE APT 2J, NY 10065 | 530 PARK AVENUE APT 3C, NY 10065 | 530 PARK AVENUE APT 4F, NY 10065 | 530 PARK AVENUE APT 6J, NY 10065 | 530 PARK AVENUE APT 7D, NY 10065 | 530 PARK AVENUE APT 7H, NY 10065 | 530 PARK AVENUE APT 8A, NY 10065 | 530 PARK AVENUE APT 8G, NY 10065 | 530 PARK AVENUE APT 9D, NY 10065 | 530 PARK AVENUE APT PHA, NY 10065 | 530 PARK AVENUE APT PHB, NY 10065 | 60 EAST 55 STREET APT CELLA, NY 10022 | 60 EAST 55 STREET APT CLUB, NY 10022 | 60 EAST 55 STREET APT GARGE, NY 10022 | 60 EAST 55 STREET APT REST, NY 10022</x:v>
      </x:c>
      <x:c r="P6" t="n">
        <x:v>3</x:v>
      </x:c>
      <x:c r="Q6" s="15" t="n">
        <x:v>1</x:v>
      </x:c>
      <x:c r="R6" t="n">
        <x:v>0</x:v>
      </x:c>
      <x:c r="S6" t="str">
        <x:v>Active-name matches only</x:v>
      </x:c>
      <x:c r="T6" t="str">
        <x:v>No</x:v>
      </x:c>
      <x:c r="U6" t="n">
        <x:v>100</x:v>
      </x:c>
      <x:c r="V6" t="str">
        <x:v>https://data.ny.gov/Economic-Development/Active-Corporations-Beginning-1800/n9v6-gdp6</x:v>
      </x:c>
    </x:row>
    <x:row r="7">
      <x:c r="A7" t="str">
        <x:v>DOS-3-006</x:v>
      </x:c>
      <x:c r="B7" t="str">
        <x:v>Not Mailed</x:v>
      </x:c>
      <x:c r="C7" s="55"/>
      <x:c r="D7" t="str">
        <x:v>No Response</x:v>
      </x:c>
      <x:c r="E7" t="str"/>
      <x:c r="F7" t="n">
        <x:v>3</x:v>
      </x:c>
      <x:c r="G7" t="str">
        <x:v>PROPERTY OWNER</x:v>
      </x:c>
      <x:c r="H7" t="str"/>
      <x:c r="I7" t="n">
        <x:v>0</x:v>
      </x:c>
      <x:c r="J7" t="str">
        <x:v>315  CENTRAL PARK WEST, NEW YORK, NY, US</x:v>
      </x:c>
      <x:c r="K7" t="str">
        <x:v>ACRIS deed-party address</x:v>
      </x:c>
      <x:c r="L7" t="n">
        <x:v>3</x:v>
      </x:c>
      <x:c r="M7" t="n">
        <x:v>38</x:v>
      </x:c>
      <x:c r="N7" t="str">
        <x:v>WINSTON TOWER LLC | WINSTON TOWERS LLC | WINSTONE TOWER LLC</x:v>
      </x:c>
      <x:c r="O7" t="str">
        <x:v>143-40 38 AVENUE APT 105, NY 11354 | 143-40 38 AVENUE APT 202, NY 11354 | 143-40 38 AVENUE APT 205, NY 11354 | 143-40 38 AVENUE APT 206, NY 11354 | 143-40 38 AVENUE APT 303, NY 11354 | 143-40 38 AVENUE APT 307, NY 11354 | 143-51 ROOSEVELT AVENUE APT 10G, NY 11354 | 143-51 ROOSEVELT AVENUE APT 11F, NY 11354 | 143-51 ROOSEVELT AVENUE APT 12B, NY 11354 | 143-51 ROOSEVELT AVENUE APT 12C, NY 11354 | 143-51 ROOSEVELT AVENUE APT 14D, NY 11354 | 143-51 ROOSEVELT AVENUE APT 15D, NY 11354 | 143-51 ROOSEVELT AVENUE APT 2F, NY 11354 | 143-51 ROOSEVELT AVENUE APT 3C, NY 11354 | 143-51 ROOSEVELT AVENUE APT 4A, NY 11354 | 143-51 ROOSEVELT AVENUE APT 5E, NY 11354 | 143-51 ROOSEVELT AVENUE APT 5G, NY 11354 | 143-51 ROOSEVELT AVENUE APT 7D, NY 11354 | 143-51 ROOSEVELT AVENUE APT G111, NY 11354 | 143-51 ROOSEVELT AVENUE APT G114, NY 11354 | 143-51 ROOSEVELT AVENUE APT G119, NY 11354 | 143-51 ROOSEVELT AVENUE APT G123, NY 11354 | 143-51 ROOSEVELT AVENUE APT G124, NY 11354 | 143-51 ROOSEVELT AVENUE APT G138, NY 11354 | 143-51 ROOSEVELT AVENUE APT G15, NY 11354 | 143-51 ROOSEVELT AVENUE APT G16, NY 11354 | 143-51 ROOSEVELT AVENUE APT G17, NY 11354 | 143-51 ROOSEVELT AVENUE APT G18, NY 11354 | 143-51 ROOSEVELT AVENUE APT G19, NY 11354 | 143-51 ROOSEVELT AVENUE APT G27, NY 11354 | 143-51 ROOSEVELT AVENUE APT G38, NY 11354 | 143-51 ROOSEVELT AVENUE APT G40, NY 11354 | 143-51 ROOSEVELT AVENUE APT G63, NY 11354 | 143-51 ROOSEVELT AVENUE APT G71, NY 11354 | 143-51 ROOSEVELT AVENUE APT G73, NY 11354 | 143-51 ROOSEVELT AVENUE APT G74, NY 11354 | 143-51 ROOSEVELT AVENUE APT G75, NY 11354 | 143-51 ROOSEVELT AVENUE APT PHD, NY 11354</x:v>
      </x:c>
      <x:c r="P7" t="n">
        <x:v>1</x:v>
      </x:c>
      <x:c r="Q7" s="15" t="n">
        <x:v>0.3333333333333333</x:v>
      </x:c>
      <x:c r="R7" t="n">
        <x:v>0</x:v>
      </x:c>
      <x:c r="S7" t="str">
        <x:v>Needs manual review</x:v>
      </x:c>
      <x:c r="T7" t="str">
        <x:v>No</x:v>
      </x:c>
      <x:c r="U7" t="n">
        <x:v>100</x:v>
      </x:c>
      <x:c r="V7" t="str">
        <x:v>https://data.ny.gov/Economic-Development/Active-Corporations-Beginning-1800/n9v6-gdp6</x:v>
      </x:c>
    </x:row>
    <x:row r="8">
      <x:c r="A8" t="str">
        <x:v>DOS-3-007</x:v>
      </x:c>
      <x:c r="B8" t="str">
        <x:v>Not Mailed</x:v>
      </x:c>
      <x:c r="C8" s="55"/>
      <x:c r="D8" t="str">
        <x:v>No Response</x:v>
      </x:c>
      <x:c r="E8" t="str"/>
      <x:c r="F8" t="n">
        <x:v>3</x:v>
      </x:c>
      <x:c r="G8" t="str">
        <x:v>PROPERTY OWNER</x:v>
      </x:c>
      <x:c r="H8" t="str"/>
      <x:c r="I8" t="n">
        <x:v>0</x:v>
      </x:c>
      <x:c r="J8" t="str">
        <x:v>500A EAST 87TH STREET, NEW YORK, NY, 10128, US</x:v>
      </x:c>
      <x:c r="K8" t="str">
        <x:v>ACRIS deed-party address</x:v>
      </x:c>
      <x:c r="L8" t="n">
        <x:v>3</x:v>
      </x:c>
      <x:c r="M8" t="n">
        <x:v>33</x:v>
      </x:c>
      <x:c r="N8" t="str">
        <x:v>500A EAST 87TH STREET PARENT A LLC | 500A EAST 87TH STREET PARENT B LLC | 500A EAST 87TH STREET PARENT C LLC</x:v>
      </x:c>
      <x:c r="O8" t="str">
        <x:v>500A EAST 87 STREET APT 10E, NY 10128 | 500A EAST 87 STREET APT 10F, NY 10128 | 500A EAST 87 STREET APT 10G, NY 10128 | 500A EAST 87 STREET APT 11B, NY 10128 | 500A EAST 87 STREET APT 12A, NY 10128 | 500A EAST 87 STREET APT 14B, NY 10128 | 500A EAST 87 STREET APT 14C, NY 10128 | 500A EAST 87 STREET APT 14F, NY 10128 | 500A EAST 87 STREET APT 15A, NY 10128 | 500A EAST 87 STREET APT 15GG, NY 10128 | 500A EAST 87 STREET APT 16E, NY 10128 | 500A EAST 87 STREET APT 17B, NY 10128 | 500A EAST 87 STREET APT 17E, NY 10128 | 500A EAST 87 STREET APT 2G, NY 10128 | 500A EAST 87 STREET APT 3B, NY 10128 | 500A EAST 87 STREET APT 3C, NY 10128 | 500A EAST 87 STREET APT 3F, NY 10128 | 500A EAST 87 STREET APT 3G, NY 10128 | 500A EAST 87 STREET APT 4E, NY 10128 | 500A EAST 87 STREET APT 5E, NY 10128 | 500A EAST 87 STREET APT 5G, NY 10128 | 500A EAST 87 STREET APT 6B, NY 10128 | 500A EAST 87 STREET APT 7B, NY 10128 | 500A EAST 87 STREET APT 7CC, NY 10128 | 500A EAST 87 STREET APT 7E, NY 10128 | 500A EAST 87 STREET APT 8A, NY 10128 | 500A EAST 87 STREET APT 8E, NY 10128 | 500A EAST 87 STREET APT 8GG, NY 10128 | 500A EAST 87 STREET APT 9CC, NY 10128 | 500A EAST 87 STREET APT 9G, NY 10128 | 500A EAST 87 STREET APT CU-2, NY 10128 | 500A EAST 87 STREET APT CU-3, NY 10128 | 500A EAST 87 STREET APT CU-4, NY 10128</x:v>
      </x:c>
      <x:c r="P8" t="n">
        <x:v>3</x:v>
      </x:c>
      <x:c r="Q8" s="15" t="n">
        <x:v>1</x:v>
      </x:c>
      <x:c r="R8" t="n">
        <x:v>0</x:v>
      </x:c>
      <x:c r="S8" t="str">
        <x:v>Active-name matches only</x:v>
      </x:c>
      <x:c r="T8" t="str">
        <x:v>No</x:v>
      </x:c>
      <x:c r="U8" t="n">
        <x:v>100</x:v>
      </x:c>
      <x:c r="V8" t="str">
        <x:v>https://data.ny.gov/Economic-Development/Active-Corporations-Beginning-1800/n9v6-gdp6</x:v>
      </x:c>
    </x:row>
    <x:row r="9">
      <x:c r="A9" t="str">
        <x:v>DOS-3-008</x:v>
      </x:c>
      <x:c r="B9" t="str">
        <x:v>Not Mailed</x:v>
      </x:c>
      <x:c r="C9" s="55"/>
      <x:c r="D9" t="str">
        <x:v>No Response</x:v>
      </x:c>
      <x:c r="E9" t="str"/>
      <x:c r="F9" t="n">
        <x:v>3</x:v>
      </x:c>
      <x:c r="G9" t="str">
        <x:v>PROPERTY OWNER</x:v>
      </x:c>
      <x:c r="H9" t="str"/>
      <x:c r="I9" t="n">
        <x:v>0</x:v>
      </x:c>
      <x:c r="J9" t="str">
        <x:v>420 LEXINGTON AVENUE, NEW YORK, NY, 10170, US</x:v>
      </x:c>
      <x:c r="K9" t="str">
        <x:v>ACRIS deed-party address</x:v>
      </x:c>
      <x:c r="L9" t="n">
        <x:v>3</x:v>
      </x:c>
      <x:c r="M9" t="n">
        <x:v>32</x:v>
      </x:c>
      <x:c r="N9" t="str">
        <x:v>50 EAST 72 OWNER LLC | SLG 220 NEWS LESSEE LLC | SLG 810 SEVENTH LESSEE LLC</x:v>
      </x:c>
      <x:c r="O9" t="str">
        <x:v>1680-1688 BROADWAY, NY 10019 | 220 EAST 42 STREET APT 1, NY 10017 | 220 EAST 42 STREET APT 10, NY 10017 | 220 EAST 42 STREET APT 11, NY 10017 | 220 EAST 42 STREET APT 12, NY 10017 | 220 EAST 42 STREET APT 13, NY 10017 | 220 EAST 42 STREET APT 14, NY 10017 | 220 EAST 42 STREET APT 15, NY 10017 | 220 EAST 42 STREET APT 17, NY 10017 | 220 EAST 42 STREET APT 18, NY 10017 | 220 EAST 42 STREET APT 19, NY 10017 | 220 EAST 42 STREET APT 20, NY 10017 | 220 EAST 42 STREET APT 21, NY 10017 | 220 EAST 42 STREET APT 22, NY 10017 | 220 EAST 42 STREET APT 23, NY 10017 | 220 EAST 42 STREET APT 24, NY 10017 | 220 EAST 42 STREET APT 25, NY 10017 | 220 EAST 42 STREET APT 26, NY 10017 | 220 EAST 42 STREET APT 28, NY 10017 | 220 EAST 42 STREET APT 29, NY 10017 | 220 EAST 42 STREET APT 2N, NY 10017 | 220 EAST 42 STREET APT 30, NY 10017 | 220 EAST 42 STREET APT 31, NY 10017 | 220 EAST 42 STREET APT 32, NY 10017 | 220 EAST 42 STREET APT 33, NY 10017 | 220 EAST 42 STREET APT 34, NY 10017 | 220 EAST 42 STREET APT 35, NY 10017 | 220 EAST 42 STREET APT 36, NY 10017 | 220 EAST 42 STREET APT 37, NY 10017 | 220 EAST 42 STREET APT 4W, NY 10017 | 220 EAST 42 STREET APT 9, NY 10017 | 50 EAST 72 STREET APT 2A, NY 10021</x:v>
      </x:c>
      <x:c r="P9" t="n">
        <x:v>2</x:v>
      </x:c>
      <x:c r="Q9" s="15" t="n">
        <x:v>0.6666666666666666</x:v>
      </x:c>
      <x:c r="R9" t="n">
        <x:v>0</x:v>
      </x:c>
      <x:c r="S9" t="str">
        <x:v>Shared DOS address</x:v>
      </x:c>
      <x:c r="T9" t="str">
        <x:v>No</x:v>
      </x:c>
      <x:c r="U9" t="n">
        <x:v>100</x:v>
      </x:c>
      <x:c r="V9" t="str">
        <x:v>https://data.ny.gov/Economic-Development/Active-Corporations-Beginning-1800/n9v6-gdp6</x:v>
      </x:c>
    </x:row>
    <x:row r="10">
      <x:c r="A10" t="str">
        <x:v>DOS-3-009</x:v>
      </x:c>
      <x:c r="B10" t="str">
        <x:v>Not Mailed</x:v>
      </x:c>
      <x:c r="C10" s="55"/>
      <x:c r="D10" t="str">
        <x:v>No Response</x:v>
      </x:c>
      <x:c r="E10" t="str"/>
      <x:c r="F10" t="n">
        <x:v>3</x:v>
      </x:c>
      <x:c r="G10" t="str">
        <x:v>PROPERTY OWNER</x:v>
      </x:c>
      <x:c r="H10" t="str"/>
      <x:c r="I10" t="n">
        <x:v>0</x:v>
      </x:c>
      <x:c r="J10" t="str">
        <x:v>299 BEDFORD AVENUE, BROOKLYN, NY, 11211, US</x:v>
      </x:c>
      <x:c r="K10" t="str">
        <x:v>ACRIS deed-party address</x:v>
      </x:c>
      <x:c r="L10" t="n">
        <x:v>3</x:v>
      </x:c>
      <x:c r="M10" t="n">
        <x:v>29</x:v>
      </x:c>
      <x:c r="N10" t="str">
        <x:v>BAY RIDGE LUXURY CONDOS LLC | GOVLI HOLDINGS LLC | SUPER APARTMENTS LLC</x:v>
      </x:c>
      <x:c r="O10" t="str">
        <x:v>1712 10TH AVENUE APT 1F, NY 11228 | 1712 10TH AVENUE APT 2E, NY 11228 | 1712 10TH AVENUE APT 2F, NY 11228 | 1712 10TH AVENUE APT P1, NY 11228 | 1712 10TH AVENUE APT P11, NY 11228 | 1712 10TH AVENUE APT P5, NY 11228 | 1712 10TH AVENUE APT P6, NY 11228 | 436 97 STREET, NY 11209 | 556 STATE STREET APT 7E-S, NY 11217 | 695 6 AVENUE APT 1D, NY 11215 | 695 6 AVENUE APT PK-8, NY 11215 | 730 HICKS STREET APT 1C, NY 11231 | 730 HICKS STREET APT 1E, NY 11231 | 730 HICKS STREET APT P10, NY 11231 | 730 HICKS STREET APT P5, NY 11231 | 730 HICKS STREET APT S1, NY 11231 | 730 HICKS STREET APT S13, NY 11231 | 730 HICKS STREET APT S15, NY 11231 | 730 HICKS STREET APT S8, NY 11231 | 730 HICKS STREET APT S9, NY 11231 | 76 CONGRESS STREET APT 2A, NY 11201 | 76 CONGRESS STREET APT 4A, NY 11201 | 76 CONGRESS STREET APT 6A, NY 11201 | 76 CONGRESS STREET APT P1, NY 11201 | 76 CONGRESS STREET APT P3, NY 11201 | 76 CONGRESS STREET APT P4, NY 11201 | 76 CONGRESS STREET APT P5, NY 11201 | 76 CONGRESS STREET APT P6, NY 11201 | 76 CONGRESS STREET APT P8, NY 11201</x:v>
      </x:c>
      <x:c r="P10" t="n">
        <x:v>3</x:v>
      </x:c>
      <x:c r="Q10" s="15" t="n">
        <x:v>1</x:v>
      </x:c>
      <x:c r="R10" t="n">
        <x:v>0</x:v>
      </x:c>
      <x:c r="S10" t="str">
        <x:v>Shared DOS address</x:v>
      </x:c>
      <x:c r="T10" t="str">
        <x:v>No</x:v>
      </x:c>
      <x:c r="U10" t="n">
        <x:v>100</x:v>
      </x:c>
      <x:c r="V10" t="str">
        <x:v>https://data.ny.gov/Economic-Development/Active-Corporations-Beginning-1800/n9v6-gdp6</x:v>
      </x:c>
    </x:row>
    <x:row r="11">
      <x:c r="A11" t="str">
        <x:v>DOS-3-010</x:v>
      </x:c>
      <x:c r="B11" t="str">
        <x:v>Not Mailed</x:v>
      </x:c>
      <x:c r="C11" s="55"/>
      <x:c r="D11" t="str">
        <x:v>No Response</x:v>
      </x:c>
      <x:c r="E11" t="str"/>
      <x:c r="F11" t="n">
        <x:v>3</x:v>
      </x:c>
      <x:c r="G11" t="str">
        <x:v>PROPERTY OWNER</x:v>
      </x:c>
      <x:c r="H11" t="str"/>
      <x:c r="I11" t="n">
        <x:v>0</x:v>
      </x:c>
      <x:c r="J11" t="str">
        <x:v>37 WEST 65TH STREET, NEW YORK, NY, 10023, US</x:v>
      </x:c>
      <x:c r="K11" t="str">
        <x:v>ACRIS deed-party address</x:v>
      </x:c>
      <x:c r="L11" t="n">
        <x:v>3</x:v>
      </x:c>
      <x:c r="M11" t="n">
        <x:v>29</x:v>
      </x:c>
      <x:c r="N11" t="str">
        <x:v>116 DEVELOPMENT EQUITIES LLC | 2173 EQUITIES LLC | BROWNSTONE PARKING LLC</x:v>
      </x:c>
      <x:c r="O11" t="str">
        <x:v>2149 FREDRICK DOUGLASS BL, NY 10026 | 2173 FREDRICK DOUGLASS BL, NY 10026 | 309 WEST 118 STREET APT 1, NY 10026 | 309 WEST 118 STREET APT 10, NY 10026 | 309 WEST 118 STREET APT 11, NY 10026 | 309 WEST 118 STREET APT 12, NY 10026 | 309 WEST 118 STREET APT 13, NY 10026 | 309 WEST 118 STREET APT 14, NY 10026 | 309 WEST 118 STREET APT 15, NY 10026 | 309 WEST 118 STREET APT 16, NY 10026 | 309 WEST 118 STREET APT 17, NY 10026 | 309 WEST 118 STREET APT 18, NY 10026 | 309 WEST 118 STREET APT 19, NY 10026 | 309 WEST 118 STREET APT 2, NY 10026 | 309 WEST 118 STREET APT 20, NY 10026 | 309 WEST 118 STREET APT 21, NY 10026 | 309 WEST 118 STREET APT 22, NY 10026 | 309 WEST 118 STREET APT 23, NY 10026 | 309 WEST 118 STREET APT 24, NY 10026 | 309 WEST 118 STREET APT 3, NY 10026 | 309 WEST 118 STREET APT 4, NY 10026 | 309 WEST 118 STREET APT 5, NY 10026 | 309 WEST 118 STREET APT 6, NY 10026 | 309 WEST 118 STREET APT 7, NY 10026 | 309 WEST 118 STREET APT 8, NY 10026 | 309 WEST 118 STREET APT 9, NY 10026 | 313 WEST 119 STREET APT PKING, NY 10026 | 313 WEST 119 STREET APT STORG, NY 10026 | 314 WEST 118 STREET, NY 10026</x:v>
      </x:c>
      <x:c r="P11" t="n">
        <x:v>3</x:v>
      </x:c>
      <x:c r="Q11" s="15" t="n">
        <x:v>1</x:v>
      </x:c>
      <x:c r="R11" t="n">
        <x:v>0</x:v>
      </x:c>
      <x:c r="S11" t="str">
        <x:v>Active-name matches only</x:v>
      </x:c>
      <x:c r="T11" t="str">
        <x:v>No</x:v>
      </x:c>
      <x:c r="U11" t="n">
        <x:v>100</x:v>
      </x:c>
      <x:c r="V11" t="str">
        <x:v>https://data.ny.gov/Economic-Development/Active-Corporations-Beginning-1800/n9v6-gdp6</x:v>
      </x:c>
    </x:row>
    <x:row r="12">
      <x:c r="A12" t="str">
        <x:v>DOS-3-011</x:v>
      </x:c>
      <x:c r="B12" t="str">
        <x:v>Not Mailed</x:v>
      </x:c>
      <x:c r="C12" s="55"/>
      <x:c r="D12" t="str">
        <x:v>No Response</x:v>
      </x:c>
      <x:c r="E12" t="str"/>
      <x:c r="F12" t="n">
        <x:v>3</x:v>
      </x:c>
      <x:c r="G12" t="str">
        <x:v>PROPERTY OWNER</x:v>
      </x:c>
      <x:c r="H12" t="str"/>
      <x:c r="I12" t="n">
        <x:v>0</x:v>
      </x:c>
      <x:c r="J12" t="str">
        <x:v>152 RUTLEDGE STREET, BROOKLYN, NY, 11211, US</x:v>
      </x:c>
      <x:c r="K12" t="str">
        <x:v>ACRIS deed-party address</x:v>
      </x:c>
      <x:c r="L12" t="n">
        <x:v>3</x:v>
      </x:c>
      <x:c r="M12" t="n">
        <x:v>19</x:v>
      </x:c>
      <x:c r="N12" t="str">
        <x:v>25 ISRAEL ZUPNICK DRIVE LLC | 431 MARCY AVENUE LLC | HATZLACHA LLC</x:v>
      </x:c>
      <x:c r="O12" t="str">
        <x:v>109 SKILLMAN STREET APT 4R, NY 11205 | 145 SOUTH 9 STREET APT 269, NY 11211 | 154 SKILLMAN STREET APT 2, NY 11205 | 190 BROADWAY APT 1A, NY 11211 | 190 BROADWAY APT 1B, NY 11211 | 24 WALTON STREET APT 3B, NY 11206 | 24 WALTON STREET APT 4A, NY 11206 | 24 WALTON STREET APT 4B, NY 11206 | 260 SKILLMAN STREET APT 2A, NY 11205 | 284 WALLABOUT STREET APT 5A, NY 11206 | 32 WALTON STREET APT 2A, NY 11206 | 32 WALTON STREET APT 2B, NY 11206 | 37 THROOP AVENUE APT 9L, NY 11206 | 515 FLUSHING AVENUE APT 3A, NY 11205 | 515 FLUSHING AVENUE APT 3B, NY 11205 | 515 FLUSHING AVENUE APT 3C, NY 11205 | 515 FLUSHING AVENUE APT 3D, NY 11205 | 577 FLUSHING AVENUE APT 7R, NY 11206 | 593 FLUSHING AVENUE APT 2A, NY 11206</x:v>
      </x:c>
      <x:c r="P12" t="n">
        <x:v>2</x:v>
      </x:c>
      <x:c r="Q12" s="15" t="n">
        <x:v>0.6666666666666666</x:v>
      </x:c>
      <x:c r="R12" t="n">
        <x:v>2</x:v>
      </x:c>
      <x:c r="S12" t="str">
        <x:v>Strong DOS address corroboration</x:v>
      </x:c>
      <x:c r="T12" t="str">
        <x:v>No</x:v>
      </x:c>
      <x:c r="U12" t="n">
        <x:v>100</x:v>
      </x:c>
      <x:c r="V12" t="str">
        <x:v>https://data.ny.gov/Economic-Development/Active-Corporations-Beginning-1800/n9v6-gdp6</x:v>
      </x:c>
    </x:row>
    <x:row r="13">
      <x:c r="A13" t="str">
        <x:v>DOS-3-012</x:v>
      </x:c>
      <x:c r="B13" t="str">
        <x:v>Not Mailed</x:v>
      </x:c>
      <x:c r="C13" s="55"/>
      <x:c r="D13" t="str">
        <x:v>No Response</x:v>
      </x:c>
      <x:c r="E13" t="str"/>
      <x:c r="F13" t="n">
        <x:v>3</x:v>
      </x:c>
      <x:c r="G13" t="str">
        <x:v>PROPERTY OWNER</x:v>
      </x:c>
      <x:c r="H13" t="str"/>
      <x:c r="I13" t="n">
        <x:v>0</x:v>
      </x:c>
      <x:c r="J13" t="str">
        <x:v>1652 PARK AVENUE, SUITE LL, NEW YORK, NY, 10035</x:v>
      </x:c>
      <x:c r="K13" t="str">
        <x:v>DOS address corroborated by ACRIS</x:v>
      </x:c>
      <x:c r="L13" t="n">
        <x:v>3</x:v>
      </x:c>
      <x:c r="M13" t="n">
        <x:v>17</x:v>
      </x:c>
      <x:c r="N13" t="str">
        <x:v>BROOKLYN PARK TERRACE LLC | CLAREMONT HOMES LLC | LENOX TWINS LLC</x:v>
      </x:c>
      <x:c r="O13" t="str">
        <x:v>1125 BOSTON ROAD, NY 10456 | 1142 FRANKLIN AVENUE, NY 10456 | 1233 BOSTON ROAD, NY 10456 | 1254 FRANKLIN AVENUE, NY 10456 | 2108 REGENT PLACE APT 12, NY 11226 | 2112 REGENT PLACE APT 12, NY 11226 | 2116 REGENT PLACE APT 12, NY 11226 | 2322 BEDFORD AVENUE APT 12, NY 11226 | 25 EAST 21 STREET, NY 11226 | 348 LENOX AVENUE, NY 10027 | 350 LENOX AVENUE, NY 10027 | 369 EAST 21 STREET APT 4, NY 11226 | 584 EAST 167 STREET, NY 10456 | 600 EAST 22 STREET APT 13, NY 11226 | 605 EAST 168 STREET, NY 10456 | 612 EAST 168 STREET, NY 10456 | 90 EAST 18 STREET APT 53, NY 11226</x:v>
      </x:c>
      <x:c r="P13" t="n">
        <x:v>3</x:v>
      </x:c>
      <x:c r="Q13" s="15" t="n">
        <x:v>1</x:v>
      </x:c>
      <x:c r="R13" t="n">
        <x:v>2</x:v>
      </x:c>
      <x:c r="S13" t="str">
        <x:v>Strong DOS address corroboration</x:v>
      </x:c>
      <x:c r="T13" t="str">
        <x:v>No</x:v>
      </x:c>
      <x:c r="U13" t="n">
        <x:v>100</x:v>
      </x:c>
      <x:c r="V13" t="str">
        <x:v>https://data.ny.gov/Economic-Development/Active-Corporations-Beginning-1800/n9v6-gdp6</x:v>
      </x:c>
    </x:row>
    <x:row r="14">
      <x:c r="A14" t="str">
        <x:v>DOS-3-013</x:v>
      </x:c>
      <x:c r="B14" t="str">
        <x:v>Not Mailed</x:v>
      </x:c>
      <x:c r="C14" s="55"/>
      <x:c r="D14" t="str">
        <x:v>No Response</x:v>
      </x:c>
      <x:c r="E14" t="str"/>
      <x:c r="F14" t="n">
        <x:v>3</x:v>
      </x:c>
      <x:c r="G14" t="str">
        <x:v>PROPERTY OWNER</x:v>
      </x:c>
      <x:c r="H14" t="str">
        <x:v>JIASHU XU</x:v>
      </x:c>
      <x:c r="I14" t="n">
        <x:v>1</x:v>
      </x:c>
      <x:c r="J14" t="str">
        <x:v>112-15 NORTHERN BOULEVARD #2, CORONA, NY, 11368, US</x:v>
      </x:c>
      <x:c r="K14" t="str">
        <x:v>ACRIS deed-party address</x:v>
      </x:c>
      <x:c r="L14" t="n">
        <x:v>3</x:v>
      </x:c>
      <x:c r="M14" t="n">
        <x:v>16</x:v>
      </x:c>
      <x:c r="N14" t="str">
        <x:v>CITIVIEW GARAGE LLC | CITIVIEW RETAIL LLC | COURT SQUARE PROPERTY LLC</x:v>
      </x:c>
      <x:c r="O14" t="str">
        <x:v>23-15 44TH DRIVE APT 1111, NY 11101 | 23-15 44TH DRIVE APT 1811, NY 11101 | 23-15 44TH DRIVE APT 3510, NY 11101 | 23-15 44TH DRIVE APT 3511, NY 11101 | 23-15 44TH DRIVE APT 3611, NY 11101 | 23-15 44TH DRIVE APT 4811, NY 11101 | 23-15 44TH DRIVE APT 6211, NY 11101 | 23-15 44TH DRIVE APT 702, NY 11101 | 23-15 44TH DRIVE APT GAR, NY 11101 | 23-15 44TH DRIVE APT PH106, NY 11101 | 23-15 44TH DRIVE APT PH108, NY 11101 | 23-15 44TH DRIVE APT PH109, NY 11101 | 23-15 44TH DRIVE APT PH401, NY 11101 | 23-15 44TH DRIVE APT PH404, NY 11101 | 23-15 44TH DRIVE APT PH407, NY 11101 | 23-15 44TH DRIVE APT RET, NY 11101</x:v>
      </x:c>
      <x:c r="P14" t="n">
        <x:v>3</x:v>
      </x:c>
      <x:c r="Q14" s="15" t="n">
        <x:v>1</x:v>
      </x:c>
      <x:c r="R14" t="n">
        <x:v>0</x:v>
      </x:c>
      <x:c r="S14" t="str">
        <x:v>Shared DOS address</x:v>
      </x:c>
      <x:c r="T14" t="str">
        <x:v>No</x:v>
      </x:c>
      <x:c r="U14" t="n">
        <x:v>100</x:v>
      </x:c>
      <x:c r="V14" t="str">
        <x:v>https://data.ny.gov/Economic-Development/Active-Corporations-Beginning-1800/n9v6-gdp6</x:v>
      </x:c>
    </x:row>
    <x:row r="15">
      <x:c r="A15" t="str">
        <x:v>DOS-3-014</x:v>
      </x:c>
      <x:c r="B15" t="str">
        <x:v>Not Mailed</x:v>
      </x:c>
      <x:c r="C15" s="55"/>
      <x:c r="D15" t="str">
        <x:v>No Response</x:v>
      </x:c>
      <x:c r="E15" t="str"/>
      <x:c r="F15" t="n">
        <x:v>3</x:v>
      </x:c>
      <x:c r="G15" t="str">
        <x:v>PROPERTY OWNER</x:v>
      </x:c>
      <x:c r="H15" t="str"/>
      <x:c r="I15" t="n">
        <x:v>0</x:v>
      </x:c>
      <x:c r="J15" t="str">
        <x:v>39 HEYWARD STREET, BROOKLYN, NY, 11211, US</x:v>
      </x:c>
      <x:c r="K15" t="str">
        <x:v>ACRIS deed-party address</x:v>
      </x:c>
      <x:c r="L15" t="n">
        <x:v>3</x:v>
      </x:c>
      <x:c r="M15" t="n">
        <x:v>15</x:v>
      </x:c>
      <x:c r="N15" t="str">
        <x:v>200 WALLABOUT LLC | 210 WALLABOUT LLC | HOPE STREET HOLDINGS LLC</x:v>
      </x:c>
      <x:c r="O15" t="str">
        <x:v>156-170 HOPE STREET, NY 11211 | 200 WALLABOUT STREET APT 1B, NY 11206 | 200 WALLABOUT STREET APT 2D, NY 11206 | 200 WALLABOUT STREET APT 3E, NY 11206 | 200 WALLABOUT STREET APT 4E, NY 11206 | 200 WALLABOUT STREET APT 5B, NY 11206 | 200-210 WALLABOUT STREET APT 6D, NY 11206 | 210 WALLABOUT STREET APT 2D, NY 11206 | 210 WALLABOUT STREET APT 2E, NY 11206 | 210 WALLABOUT STREET APT 3E, NY 11206 | 210 WALLABOUT STREET APT 4C, NY 11206 | 210 WALLABOUT STREET APT 4E, NY 11206 | 210 WALLABOUT STREET APT 5A, NY 11206 | 210 WALLABOUT STREET APT 6A, NY 11206 | 210 WALLABOUT STREET APT 6D, NY 11206</x:v>
      </x:c>
      <x:c r="P15" t="n">
        <x:v>3</x:v>
      </x:c>
      <x:c r="Q15" s="15" t="n">
        <x:v>1</x:v>
      </x:c>
      <x:c r="R15" t="n">
        <x:v>0</x:v>
      </x:c>
      <x:c r="S15" t="str">
        <x:v>Shared DOS address</x:v>
      </x:c>
      <x:c r="T15" t="str">
        <x:v>No</x:v>
      </x:c>
      <x:c r="U15" t="n">
        <x:v>100</x:v>
      </x:c>
      <x:c r="V15" t="str">
        <x:v>https://data.ny.gov/Economic-Development/Active-Corporations-Beginning-1800/n9v6-gdp6</x:v>
      </x:c>
    </x:row>
    <x:row r="16">
      <x:c r="A16" t="str">
        <x:v>DOS-3-015</x:v>
      </x:c>
      <x:c r="B16" t="str">
        <x:v>Not Mailed</x:v>
      </x:c>
      <x:c r="C16" s="55"/>
      <x:c r="D16" t="str">
        <x:v>No Response</x:v>
      </x:c>
      <x:c r="E16" t="str"/>
      <x:c r="F16" t="n">
        <x:v>3</x:v>
      </x:c>
      <x:c r="G16" t="str">
        <x:v>PROPERTY OWNER</x:v>
      </x:c>
      <x:c r="H16" t="str"/>
      <x:c r="I16" t="n">
        <x:v>0</x:v>
      </x:c>
      <x:c r="J16" t="str">
        <x:v>97-14 ATLANTIC AVENUE, OZONE PARK, NY, 11416</x:v>
      </x:c>
      <x:c r="K16" t="str">
        <x:v>DOS address corroborated by ACRIS</x:v>
      </x:c>
      <x:c r="L16" t="n">
        <x:v>3</x:v>
      </x:c>
      <x:c r="M16" t="n">
        <x:v>15</x:v>
      </x:c>
      <x:c r="N16" t="str">
        <x:v>20 50 POWELL STREET LLC | 28 POWELL STREET LLC | 95 01 98TH ST LLC</x:v>
      </x:c>
      <x:c r="O16" t="str">
        <x:v>20 POWELL STREET, NY 11212 | 28 POWELL STREET, NY 11212 | 30 POWELL STREET, NY 11212 | 34 POWELL STREET, NY 11212 | 40 POWELL STREET, NY 11212 | 44 POWELL STREET, NY 11212 | 48 POWELL STREET, NY 11212 | 50 POWELL STREET, NY 11212 | 95-01 98 STREET, NY 11416 | 97-17 95 AVENUE, NY 11416 | POWELL STREET | POWELL STREET, NY 11212</x:v>
      </x:c>
      <x:c r="P16" t="n">
        <x:v>3</x:v>
      </x:c>
      <x:c r="Q16" s="15" t="n">
        <x:v>1</x:v>
      </x:c>
      <x:c r="R16" t="n">
        <x:v>3</x:v>
      </x:c>
      <x:c r="S16" t="str">
        <x:v>Strong DOS address corroboration</x:v>
      </x:c>
      <x:c r="T16" t="str">
        <x:v>No</x:v>
      </x:c>
      <x:c r="U16" t="n">
        <x:v>100</x:v>
      </x:c>
      <x:c r="V16" t="str">
        <x:v>https://data.ny.gov/Economic-Development/Active-Corporations-Beginning-1800/n9v6-gdp6</x:v>
      </x:c>
    </x:row>
    <x:row r="17">
      <x:c r="A17" t="str">
        <x:v>DOS-3-016</x:v>
      </x:c>
      <x:c r="B17" t="str">
        <x:v>Not Mailed</x:v>
      </x:c>
      <x:c r="C17" s="55"/>
      <x:c r="D17" t="str">
        <x:v>No Response</x:v>
      </x:c>
      <x:c r="E17" t="str"/>
      <x:c r="F17" t="n">
        <x:v>3</x:v>
      </x:c>
      <x:c r="G17" t="str">
        <x:v>PROPERTY OWNER</x:v>
      </x:c>
      <x:c r="H17" t="str"/>
      <x:c r="I17" t="n">
        <x:v>0</x:v>
      </x:c>
      <x:c r="J17" t="str">
        <x:v>1 HESS PLAZA, WOODBRIDGE, NJ, 07095, US</x:v>
      </x:c>
      <x:c r="K17" t="str">
        <x:v>ACRIS deed-party address</x:v>
      </x:c>
      <x:c r="L17" t="n">
        <x:v>3</x:v>
      </x:c>
      <x:c r="M17" t="n">
        <x:v>14</x:v>
      </x:c>
      <x:c r="N17" t="str">
        <x:v>HESS REATAIL STORES LLC | HESS REATIL STORES LLC | HESS RETAIL STORES LLC</x:v>
      </x:c>
      <x:c r="O17" t="str">
        <x:v>117-08 SPRINGFIELD BLVD, NY 11411 | 1201 WEBSTER AVENUE, NY 10456 | 16-20 ERASMUS STREET, NY 11226 | 1622 NEPTUNE AVENUE, NY 11224 | 219-24 HILLSIDE AVENUE, NY 11427 | 2394 FLATBUSH AVENUE, NY 11234 | 281 EAST 233 STREET, NY 10470 | 3701-3715 18 AVENUE, NY 11218 | 39-02-39-08 QUEENS BOULEVARD, NY 11104 | 484 REMSEN AVENUE, NY 11236 | 530-546 UTICA AVENUE, NY 11203 | 58-14 COOPER AVENUE, NY 11385 | 610 NEREID AVENUE, NY 10470 | 97-15 NORTHERN BOULEVARD, NY 11368</x:v>
      </x:c>
      <x:c r="P17" t="n">
        <x:v>0</x:v>
      </x:c>
      <x:c r="Q17" s="15" t="n">
        <x:v>0</x:v>
      </x:c>
      <x:c r="R17" t="n">
        <x:v>0</x:v>
      </x:c>
      <x:c r="S17" t="str">
        <x:v>Needs manual review</x:v>
      </x:c>
      <x:c r="T17" t="str">
        <x:v>No</x:v>
      </x:c>
      <x:c r="U17" t="n">
        <x:v>100</x:v>
      </x:c>
      <x:c r="V17" t="str">
        <x:v>https://data.ny.gov/Economic-Development/Active-Corporations-Beginning-1800/n9v6-gdp6</x:v>
      </x:c>
    </x:row>
    <x:row r="18">
      <x:c r="A18" t="str">
        <x:v>DOS-3-017</x:v>
      </x:c>
      <x:c r="B18" t="str">
        <x:v>Not Mailed</x:v>
      </x:c>
      <x:c r="C18" s="55"/>
      <x:c r="D18" t="str">
        <x:v>No Response</x:v>
      </x:c>
      <x:c r="E18" t="str"/>
      <x:c r="F18" t="n">
        <x:v>3</x:v>
      </x:c>
      <x:c r="G18" t="str">
        <x:v>PROPERTY OWNER</x:v>
      </x:c>
      <x:c r="H18" t="str">
        <x:v>SUNIL K. AGARWAL, P.C.</x:v>
      </x:c>
      <x:c r="I18" t="n">
        <x:v>1</x:v>
      </x:c>
      <x:c r="J18" t="str">
        <x:v>1501 ST. LAWRENCE AVE., BRONX, NY, 10460</x:v>
      </x:c>
      <x:c r="K18" t="str">
        <x:v>DOS address corroborated by ACRIS</x:v>
      </x:c>
      <x:c r="L18" t="n">
        <x:v>3</x:v>
      </x:c>
      <x:c r="M18" t="n">
        <x:v>14</x:v>
      </x:c>
      <x:c r="N18" t="str">
        <x:v>2712 HOLLAND AVE LLC | JET 219 LLC | TOP NOTCH 19 LLC</x:v>
      </x:c>
      <x:c r="O18" t="str">
        <x:v>1541 METROPOLITAN AVENUE APT 3D, NY 10462 | 1610 METROPOLITAN AVENUE APT 3A, NY 10462 | 1686 METROPOLITAN AVENUE APT 7F, NY 10462 | 2337 BEAUMONT AVENUE, NY 10458 | 2712 HOLLAND AVENUE, NY 10467 | 3006 WICKHAM AVENUE, NY 10469 | 3148 GRACE AVENUE, NY 10469 | 4331 RICHARDSON AVENUE, NY 10466 | 63 METROPOLITAN OVAL APT 8B, NY 10462 | 718 QUINCY AVENUE, NY 10465 | 947 ELDER AVENUE, NY 10473 | PROSPECT AVENUE</x:v>
      </x:c>
      <x:c r="P18" t="n">
        <x:v>3</x:v>
      </x:c>
      <x:c r="Q18" s="15" t="n">
        <x:v>1</x:v>
      </x:c>
      <x:c r="R18" t="n">
        <x:v>2</x:v>
      </x:c>
      <x:c r="S18" t="str">
        <x:v>Strong DOS address corroboration</x:v>
      </x:c>
      <x:c r="T18" t="str">
        <x:v>No</x:v>
      </x:c>
      <x:c r="U18" t="n">
        <x:v>100</x:v>
      </x:c>
      <x:c r="V18" t="str">
        <x:v>https://data.ny.gov/Economic-Development/Active-Corporations-Beginning-1800/n9v6-gdp6</x:v>
      </x:c>
    </x:row>
    <x:row r="19">
      <x:c r="A19" t="str">
        <x:v>DOS-3-018</x:v>
      </x:c>
      <x:c r="B19" t="str">
        <x:v>Not Mailed</x:v>
      </x:c>
      <x:c r="C19" s="55"/>
      <x:c r="D19" t="str">
        <x:v>No Response</x:v>
      </x:c>
      <x:c r="E19" t="str"/>
      <x:c r="F19" t="n">
        <x:v>3</x:v>
      </x:c>
      <x:c r="G19" t="str">
        <x:v>PROPERTY OWNER</x:v>
      </x:c>
      <x:c r="H19" t="str"/>
      <x:c r="I19" t="n">
        <x:v>0</x:v>
      </x:c>
      <x:c r="J19" t="str">
        <x:v>177 CONCORD STREET, SUITE 100, BROOKLYN, NY, 11201, US</x:v>
      </x:c>
      <x:c r="K19" t="str">
        <x:v>ACRIS deed-party address</x:v>
      </x:c>
      <x:c r="L19" t="n">
        <x:v>3</x:v>
      </x:c>
      <x:c r="M19" t="n">
        <x:v>14</x:v>
      </x:c>
      <x:c r="N19" t="str">
        <x:v>BROOK 140 LLC | LIEBSTA 1610 LLC | SANTORINI PARKING LLC</x:v>
      </x:c>
      <x:c r="O19" t="str">
        <x:v>16-10 CAFFREY AVENUE, NY 11691 | 303 BROOK AVENUE, NY 10454 | 35-40 30 STREET APT SCP1, NY 11106 | 35-40 30 STREET APT SCP13, NY 11106 | 35-40 30 STREET APT SCP14, NY 11106 | 35-40 30 STREET APT SCP15, NY 11106 | 35-40 30 STREET APT SCP23, NY 11106 | 35-40 30 STREET APT SCP30, NY 11106 | 35-40 30 STREET APT SCP31, NY 11106 | 35-40 30 STREET APT SCP32, NY 11106 | 35-40 30 STREET APT SCP33, NY 11106 | 35-40 30 STREET APT SCP6, NY 11106 | 35-40 30 STREET APT SCP7, NY 11106 | 35-40 30 STREET APT SCP8, NY 11106</x:v>
      </x:c>
      <x:c r="P19" t="n">
        <x:v>3</x:v>
      </x:c>
      <x:c r="Q19" s="15" t="n">
        <x:v>1</x:v>
      </x:c>
      <x:c r="R19" t="n">
        <x:v>0</x:v>
      </x:c>
      <x:c r="S19" t="str">
        <x:v>Shared DOS address</x:v>
      </x:c>
      <x:c r="T19" t="str">
        <x:v>No</x:v>
      </x:c>
      <x:c r="U19" t="n">
        <x:v>100</x:v>
      </x:c>
      <x:c r="V19" t="str">
        <x:v>https://data.ny.gov/Economic-Development/Active-Corporations-Beginning-1800/n9v6-gdp6</x:v>
      </x:c>
    </x:row>
    <x:row r="20">
      <x:c r="A20" t="str">
        <x:v>DOS-3-019</x:v>
      </x:c>
      <x:c r="B20" t="str">
        <x:v>Not Mailed</x:v>
      </x:c>
      <x:c r="C20" s="55"/>
      <x:c r="D20" t="str">
        <x:v>No Response</x:v>
      </x:c>
      <x:c r="E20" t="str"/>
      <x:c r="F20" t="n">
        <x:v>3</x:v>
      </x:c>
      <x:c r="G20" t="str">
        <x:v>PROPERTY OWNER</x:v>
      </x:c>
      <x:c r="H20" t="str">
        <x:v>MATTHEW KERN</x:v>
      </x:c>
      <x:c r="I20" t="n">
        <x:v>1</x:v>
      </x:c>
      <x:c r="J20" t="str">
        <x:v>124-19 METROPOLITAN AVE, KEW GARDENS, NY, 11415, US</x:v>
      </x:c>
      <x:c r="K20" t="str">
        <x:v>ACRIS deed-party address</x:v>
      </x:c>
      <x:c r="L20" t="n">
        <x:v>3</x:v>
      </x:c>
      <x:c r="M20" t="n">
        <x:v>13</x:v>
      </x:c>
      <x:c r="N20" t="str">
        <x:v>217 JAMS LLC | 267 DENTON AVE N LLC | FULTON DEV LLC</x:v>
      </x:c>
      <x:c r="O20" t="str">
        <x:v>119 MARCUS GARVEY BLVD, NY 11206 | 168 STREET | 168 STREET, NY 11433 | 455-465 DUMONT AVENUE, NY 11212 | 94-16 168 STREET, NY 11433 | 94-35 MERRICK BOULEVARD, NY 11433 | 94-43 MERRICK BOULEVARD, NY 11433 | 94-45-94-47 MERRICK BOULEVARD, NY 11433 | 94-49 MERRICK BOULEVARD, NY 11433 | DOUGLAS AVENUE, NY 11433</x:v>
      </x:c>
      <x:c r="P20" t="n">
        <x:v>2</x:v>
      </x:c>
      <x:c r="Q20" s="15" t="n">
        <x:v>0.6666666666666666</x:v>
      </x:c>
      <x:c r="R20" t="n">
        <x:v>0</x:v>
      </x:c>
      <x:c r="S20" t="str">
        <x:v>Active-name matches only</x:v>
      </x:c>
      <x:c r="T20" t="str">
        <x:v>No</x:v>
      </x:c>
      <x:c r="U20" t="n">
        <x:v>100</x:v>
      </x:c>
      <x:c r="V20" t="str">
        <x:v>https://data.ny.gov/Economic-Development/Active-Corporations-Beginning-1800/n9v6-gdp6</x:v>
      </x:c>
    </x:row>
    <x:row r="21">
      <x:c r="A21" t="str">
        <x:v>DOS-3-020</x:v>
      </x:c>
      <x:c r="B21" t="str">
        <x:v>Not Mailed</x:v>
      </x:c>
      <x:c r="C21" s="55"/>
      <x:c r="D21" t="str">
        <x:v>No Response</x:v>
      </x:c>
      <x:c r="E21" t="str"/>
      <x:c r="F21" t="n">
        <x:v>3</x:v>
      </x:c>
      <x:c r="G21" t="str">
        <x:v>PROPERTY OWNER</x:v>
      </x:c>
      <x:c r="H21" t="str"/>
      <x:c r="I21" t="n">
        <x:v>0</x:v>
      </x:c>
      <x:c r="J21" t="str">
        <x:v>266 BROADWAY, SUITE 301, BROOKLYN, NY, 11211</x:v>
      </x:c>
      <x:c r="K21" t="str">
        <x:v>DOS address corroborated by ACRIS</x:v>
      </x:c>
      <x:c r="L21" t="n">
        <x:v>3</x:v>
      </x:c>
      <x:c r="M21" t="n">
        <x:v>13</x:v>
      </x:c>
      <x:c r="N21" t="str">
        <x:v>334 LORIMER LLC | FLUSHING AND LITTLE NASSAU LLC | FRANKLIN BEDFORD LLC</x:v>
      </x:c>
      <x:c r="O21" t="str">
        <x:v>35 SKILLMAN STREET APT P10, NY 11205 | 35 SKILLMAN STREET APT P3, NY 11205 | 35 SKILLMAN STREET APT P4, NY 11205 | 35 SKILLMAN STREET APT P8, NY 11205 | 35 SKILLMAN STREET APT P9, NY 11205 | 376 FLUSHING AVENUE, NY 11205 | 378 FLUSHING AVENUE, NY 11205 | 43 SKILLMAN STREET APT P16, NY 11205 | 49 SKILLMAN STREET APT P18, NY 11205 | 49 SKILLMAN STREET APT P19, NY 11205 | 49 SKILLMAN STREET APT P20, NY 11205 | 49 SKILLMAN STREET APT P22, NY 11205 | 51 MONTROSE AVENUE, NY 11206</x:v>
      </x:c>
      <x:c r="P21" t="n">
        <x:v>3</x:v>
      </x:c>
      <x:c r="Q21" s="15" t="n">
        <x:v>1</x:v>
      </x:c>
      <x:c r="R21" t="n">
        <x:v>3</x:v>
      </x:c>
      <x:c r="S21" t="str">
        <x:v>Strong DOS address corroboration</x:v>
      </x:c>
      <x:c r="T21" t="str">
        <x:v>No</x:v>
      </x:c>
      <x:c r="U21" t="n">
        <x:v>100</x:v>
      </x:c>
      <x:c r="V21" t="str">
        <x:v>https://data.ny.gov/Economic-Development/Active-Corporations-Beginning-1800/n9v6-gdp6</x:v>
      </x:c>
    </x:row>
    <x:row r="22">
      <x:c r="A22" t="str">
        <x:v>DOS-3-021</x:v>
      </x:c>
      <x:c r="B22" t="str">
        <x:v>Not Mailed</x:v>
      </x:c>
      <x:c r="C22" s="55"/>
      <x:c r="D22" t="str">
        <x:v>No Response</x:v>
      </x:c>
      <x:c r="E22" t="str"/>
      <x:c r="F22" t="n">
        <x:v>3</x:v>
      </x:c>
      <x:c r="G22" t="str">
        <x:v>PROPERTY OWNER</x:v>
      </x:c>
      <x:c r="H22" t="str">
        <x:v>VINCENT ALI JR.</x:v>
      </x:c>
      <x:c r="I22" t="n">
        <x:v>1</x:v>
      </x:c>
      <x:c r="J22" t="str">
        <x:v>285 LOMBARDY STREET, BROOKLYN, NY, 11222</x:v>
      </x:c>
      <x:c r="K22" t="str">
        <x:v>DOS address corroborated by ACRIS</x:v>
      </x:c>
      <x:c r="L22" t="n">
        <x:v>3</x:v>
      </x:c>
      <x:c r="M22" t="n">
        <x:v>13</x:v>
      </x:c>
      <x:c r="N22" t="str">
        <x:v>31ST AVENUE ASTORIA LLC | CLAY REALTY VENTURES LLC | LOMBARDY STREET LLC</x:v>
      </x:c>
      <x:c r="O22" t="str">
        <x:v>21-17 31 AVENUE APT 1B, NY 11106 | 21-17 31 AVENUE APT 2A, NY 11106 | 21-17 31 AVENUE APT 2C, NY 11106 | 21-17 31 AVENUE APT 3H, NY 11106 | 21-17 31 AVENUE APT 4E, NY 11106 | 21-17 31 AVENUE APT 5C, NY 11106 | 21-17 31 AVENUE APT 6B, NY 11106 | 21-17 31 AVENUE APT 6H, NY 11106 | 21-17 31 AVENUE APT PH-B, NY 11106 | 21-17 31 AVENUE APT PH-C, NY 11106 | 21-17 31 AVENUE APT PRK 4, NY 11106 | 285 LOMBARDY STREET, NY 11222 | 855 MEEKER AVENUE, NY 11222</x:v>
      </x:c>
      <x:c r="P22" t="n">
        <x:v>3</x:v>
      </x:c>
      <x:c r="Q22" s="15" t="n">
        <x:v>1</x:v>
      </x:c>
      <x:c r="R22" t="n">
        <x:v>3</x:v>
      </x:c>
      <x:c r="S22" t="str">
        <x:v>Strong DOS address corroboration</x:v>
      </x:c>
      <x:c r="T22" t="str">
        <x:v>No</x:v>
      </x:c>
      <x:c r="U22" t="n">
        <x:v>100</x:v>
      </x:c>
      <x:c r="V22" t="str">
        <x:v>https://data.ny.gov/Economic-Development/Active-Corporations-Beginning-1800/n9v6-gdp6</x:v>
      </x:c>
    </x:row>
    <x:row r="23">
      <x:c r="A23" t="str">
        <x:v>DOS-3-022</x:v>
      </x:c>
      <x:c r="B23" t="str">
        <x:v>Not Mailed</x:v>
      </x:c>
      <x:c r="C23" s="55"/>
      <x:c r="D23" t="str">
        <x:v>No Response</x:v>
      </x:c>
      <x:c r="E23" t="str"/>
      <x:c r="F23" t="n">
        <x:v>3</x:v>
      </x:c>
      <x:c r="G23" t="str">
        <x:v>PROPERTY OWNER</x:v>
      </x:c>
      <x:c r="H23" t="str"/>
      <x:c r="I23" t="n">
        <x:v>0</x:v>
      </x:c>
      <x:c r="J23" t="str">
        <x:v>3 West 57th Street, 7th Floor, New York, NY, 10019</x:v>
      </x:c>
      <x:c r="K23" t="str">
        <x:v>DOS address corroborated by ACRIS</x:v>
      </x:c>
      <x:c r="L23" t="n">
        <x:v>3</x:v>
      </x:c>
      <x:c r="M23" t="n">
        <x:v>13</x:v>
      </x:c>
      <x:c r="N23" t="str">
        <x:v>1205 1215 FIRST AVE ANNEX LLC | KH KERMAN PROPERTIES LLC | KH TRAFALGAR PROPERTIES LLC</x:v>
      </x:c>
      <x:c r="O23" t="str">
        <x:v>1205 1 AVENUE, NY 10065 | 1321 3 AVENUE, NY 10021 | 147 EAST 61 STREET, NY 10065 | 149 EAST 61 STREET, NY 10065 | 1744 1 AVENUE, NY 10128 | 354 EAST 51 STREET, NY 10022 | 500 1/2 EAST 84 STREET, NY 10028 | 510 EAST 82 STREET, NY 10028 | 534 EAST 83 STREET, NY 10028 | 691 9 AVENUE, NY 10036 | 749 9 AVENUE, NY 10019 | 903 1 AVENUE, NY 10022 | 905 1 AVENUE, NY 10022</x:v>
      </x:c>
      <x:c r="P23" t="n">
        <x:v>3</x:v>
      </x:c>
      <x:c r="Q23" s="15" t="n">
        <x:v>1</x:v>
      </x:c>
      <x:c r="R23" t="n">
        <x:v>3</x:v>
      </x:c>
      <x:c r="S23" t="str">
        <x:v>Strong DOS address corroboration</x:v>
      </x:c>
      <x:c r="T23" t="str">
        <x:v>No</x:v>
      </x:c>
      <x:c r="U23" t="n">
        <x:v>100</x:v>
      </x:c>
      <x:c r="V23" t="str">
        <x:v>https://data.ny.gov/Economic-Development/Active-Corporations-Beginning-1800/n9v6-gdp6</x:v>
      </x:c>
    </x:row>
    <x:row r="24">
      <x:c r="A24" t="str">
        <x:v>DOS-3-023</x:v>
      </x:c>
      <x:c r="B24" t="str">
        <x:v>Not Mailed</x:v>
      </x:c>
      <x:c r="C24" s="55"/>
      <x:c r="D24" t="str">
        <x:v>No Response</x:v>
      </x:c>
      <x:c r="E24" t="str"/>
      <x:c r="F24" t="n">
        <x:v>3</x:v>
      </x:c>
      <x:c r="G24" t="str">
        <x:v>PROPERTY OWNER</x:v>
      </x:c>
      <x:c r="H24" t="str"/>
      <x:c r="I24" t="n">
        <x:v>0</x:v>
      </x:c>
      <x:c r="J24" t="str">
        <x:v>2 MARBRIDGE LANE, LAWRENCE, NY, 11559, US</x:v>
      </x:c>
      <x:c r="K24" t="str">
        <x:v>ACRIS deed-party address</x:v>
      </x:c>
      <x:c r="L24" t="n">
        <x:v>3</x:v>
      </x:c>
      <x:c r="M24" t="n">
        <x:v>12</x:v>
      </x:c>
      <x:c r="N24" t="str">
        <x:v>DAVE FRIEDMAN 1 LLC | DAVE FRIEDMAN 2 LLC | DAVE FRIEDMAN 3 LLC</x:v>
      </x:c>
      <x:c r="O24" t="str">
        <x:v>1112 47 STREET, NY 11219 | 1114 47 STREET, NY 11219 | 1151 39 STREET APT 6, NY 11218 | 1157 38 STREET APT 6, NY 11218 | 1317 41 STREET APT 6, NY 11218 | 1358 40 STREET APT 6, NY 11218 | 4406 16 AVENUE, NY 11204 | 4408 16 AVENUE, NY 11204 | 470 AUDUBON AVENUE, NY 10040 | 555 WEST 184 STREET, NY 10033 | 737 42 STREET, NY 11232 | 939 42 STREET, NY 11219</x:v>
      </x:c>
      <x:c r="P24" t="n">
        <x:v>3</x:v>
      </x:c>
      <x:c r="Q24" s="15" t="n">
        <x:v>1</x:v>
      </x:c>
      <x:c r="R24" t="n">
        <x:v>0</x:v>
      </x:c>
      <x:c r="S24" t="str">
        <x:v>Shared DOS address</x:v>
      </x:c>
      <x:c r="T24" t="str">
        <x:v>No</x:v>
      </x:c>
      <x:c r="U24" t="n">
        <x:v>100</x:v>
      </x:c>
      <x:c r="V24" t="str">
        <x:v>https://data.ny.gov/Economic-Development/Active-Corporations-Beginning-1800/n9v6-gdp6</x:v>
      </x:c>
    </x:row>
    <x:row r="25">
      <x:c r="A25" t="str">
        <x:v>DOS-3-024</x:v>
      </x:c>
      <x:c r="B25" t="str">
        <x:v>Not Mailed</x:v>
      </x:c>
      <x:c r="C25" s="55"/>
      <x:c r="D25" t="str">
        <x:v>No Response</x:v>
      </x:c>
      <x:c r="E25" t="str"/>
      <x:c r="F25" t="n">
        <x:v>3</x:v>
      </x:c>
      <x:c r="G25" t="str">
        <x:v>PROPERTY OWNER</x:v>
      </x:c>
      <x:c r="H25" t="str"/>
      <x:c r="I25" t="n">
        <x:v>0</x:v>
      </x:c>
      <x:c r="J25" t="str">
        <x:v>36-36 MAIN STREET, FLUSHING, NY, 11354, US</x:v>
      </x:c>
      <x:c r="K25" t="str">
        <x:v>ACRIS deed-party address</x:v>
      </x:c>
      <x:c r="L25" t="n">
        <x:v>3</x:v>
      </x:c>
      <x:c r="M25" t="n">
        <x:v>12</x:v>
      </x:c>
      <x:c r="N25" t="str">
        <x:v>6517 18 AVE LLC | FSA 332 REALTY LLC | FSA 556 REALTY LLC</x:v>
      </x:c>
      <x:c r="O25" t="str">
        <x:v>36-32 MAIN STREET APT 1NB, NY 11354 | 36-32 MAIN STREET APT 3N, NY 11354 | 36-32 MAIN STREET APT 5N, NY 11354 | 36-32 MAIN STREET APT 7N, NY 11354 | 36-36 MAIN STREET APT 2SA, NY 11354 | 36-36 MAIN STREET APT 3S, NY 11354 | 36-36 MAIN STREET APT 5S, NY 11354 | 36-36 MAIN STREET APT 7S, NY 11354 | 36-36 MAIN STREET APT 8S, NY 11354 | 36-36 MAIN STREET APT 9S, NY 11354 | 36-36 MAIN STREET APT CS, NY 11354 | 6517 18 AVENUE, NY 11204</x:v>
      </x:c>
      <x:c r="P25" t="n">
        <x:v>3</x:v>
      </x:c>
      <x:c r="Q25" s="15" t="n">
        <x:v>1</x:v>
      </x:c>
      <x:c r="R25" t="n">
        <x:v>0</x:v>
      </x:c>
      <x:c r="S25" t="str">
        <x:v>Shared DOS address</x:v>
      </x:c>
      <x:c r="T25" t="str">
        <x:v>No</x:v>
      </x:c>
      <x:c r="U25" t="n">
        <x:v>100</x:v>
      </x:c>
      <x:c r="V25" t="str">
        <x:v>https://data.ny.gov/Economic-Development/Active-Corporations-Beginning-1800/n9v6-gdp6</x:v>
      </x:c>
    </x:row>
    <x:row r="26">
      <x:c r="A26" t="str">
        <x:v>DOS-3-025</x:v>
      </x:c>
      <x:c r="B26" t="str">
        <x:v>Not Mailed</x:v>
      </x:c>
      <x:c r="C26" s="55"/>
      <x:c r="D26" t="str">
        <x:v>No Response</x:v>
      </x:c>
      <x:c r="E26" t="str"/>
      <x:c r="F26" t="n">
        <x:v>3</x:v>
      </x:c>
      <x:c r="G26" t="str">
        <x:v>PROPERTY OWNER</x:v>
      </x:c>
      <x:c r="H26" t="str"/>
      <x:c r="I26" t="n">
        <x:v>0</x:v>
      </x:c>
      <x:c r="J26" t="str">
        <x:v>50 SNEDIKER AVENUE, BROOKLYN, NY, 11207, US</x:v>
      </x:c>
      <x:c r="K26" t="str">
        <x:v>ACRIS deed-party address</x:v>
      </x:c>
      <x:c r="L26" t="n">
        <x:v>3</x:v>
      </x:c>
      <x:c r="M26" t="n">
        <x:v>12</x:v>
      </x:c>
      <x:c r="N26" t="str">
        <x:v>CLARENDON BRONX HOLDING LLC | CLARENDON BRONX REALTY LLC | CLARENDON REALTY HOLDINGS LLC</x:v>
      </x:c>
      <x:c r="O26" t="str">
        <x:v>2308 HERMANY AVENUE, NY 10473 | 2312 HERMANY AVENUE, NY 10473 | 2328 HERMANY AVENUE, NY 10473 | 2341 HERMANY AVENUE, NY 10473 | 2346 STORY AVENUE, NY 10473 | 2347 HERMANY AVENUE, NY 10473 | 2348 STORY AVENUE, NY 10473 | 2383 BLACKROCK AVENUE, NY 10462 | 660 ZEREGA AVENUE, NY 10473 | 861 ZEREGA AVENUE, NY 10473 | HINSDALE STREET</x:v>
      </x:c>
      <x:c r="P26" t="n">
        <x:v>3</x:v>
      </x:c>
      <x:c r="Q26" s="15" t="n">
        <x:v>1</x:v>
      </x:c>
      <x:c r="R26" t="n">
        <x:v>0</x:v>
      </x:c>
      <x:c r="S26" t="str">
        <x:v>Shared DOS address</x:v>
      </x:c>
      <x:c r="T26" t="str">
        <x:v>No</x:v>
      </x:c>
      <x:c r="U26" t="n">
        <x:v>100</x:v>
      </x:c>
      <x:c r="V26" t="str">
        <x:v>https://data.ny.gov/Economic-Development/Active-Corporations-Beginning-1800/n9v6-gdp6</x:v>
      </x:c>
    </x:row>
    <x:row r="27">
      <x:c r="A27" t="str">
        <x:v>DOS-3-026</x:v>
      </x:c>
      <x:c r="B27" t="str">
        <x:v>Not Mailed</x:v>
      </x:c>
      <x:c r="C27" s="55"/>
      <x:c r="D27" t="str">
        <x:v>No Response</x:v>
      </x:c>
      <x:c r="E27" t="str"/>
      <x:c r="F27" t="n">
        <x:v>3</x:v>
      </x:c>
      <x:c r="G27" t="str">
        <x:v>ISKYO ARONOV</x:v>
      </x:c>
      <x:c r="H27" t="str">
        <x:v>ISKYO ARONOV</x:v>
      </x:c>
      <x:c r="I27" t="n">
        <x:v>2</x:v>
      </x:c>
      <x:c r="J27" t="str">
        <x:v>118-60 218TH STREET, CAMBRIA HEIGHTS, NY, 11411, US</x:v>
      </x:c>
      <x:c r="K27" t="str">
        <x:v>ACRIS deed-party address</x:v>
      </x:c>
      <x:c r="L27" t="n">
        <x:v>3</x:v>
      </x:c>
      <x:c r="M27" t="n">
        <x:v>11</x:v>
      </x:c>
      <x:c r="N27" t="str">
        <x:v>2320 BEAUMONT AVE UNIT 3D LLC | 2320 BEAUMONT AVENUE UNIT 3D LLC | BAINBRIDGE 1 HOLDINGS LLC</x:v>
      </x:c>
      <x:c r="O27" t="str">
        <x:v>2316 BEAUMONT AVENUE APT 1B, NY 10458 | 2316 BEAUMONT AVENUE APT 3B, NY 10458 | 2320 BEAUMONT AVENUE APT 1A, NY 10458 | 2320 BEAUMONT AVENUE APT 1B, NY 10458 | 2320 BEAUMONT AVENUE APT 1D, NY 10458 | 2320 BEAUMONT AVENUE APT 3D, NY 10458 | 2320 BEAUMONT AVENUE APT 4A, NY 10458 | 2320 BEAUMONT AVENUE APT 4D, NY 10458 | 2324 BEAUMONT AVENUE APT 2D, NY 10458 | 2324 BEAUMONT AVENUE APT 3D, NY 10458 | 431 BAINBRIDGE STREET, NY 11233</x:v>
      </x:c>
      <x:c r="P27" t="n">
        <x:v>2</x:v>
      </x:c>
      <x:c r="Q27" s="15" t="n">
        <x:v>0.6666666666666666</x:v>
      </x:c>
      <x:c r="R27" t="n">
        <x:v>0</x:v>
      </x:c>
      <x:c r="S27" t="str">
        <x:v>Shared DOS address</x:v>
      </x:c>
      <x:c r="T27" t="str">
        <x:v>No</x:v>
      </x:c>
      <x:c r="U27" t="n">
        <x:v>100</x:v>
      </x:c>
      <x:c r="V27" t="str">
        <x:v>https://data.ny.gov/Economic-Development/Active-Corporations-Beginning-1800/n9v6-gdp6</x:v>
      </x:c>
    </x:row>
    <x:row r="28">
      <x:c r="A28" t="str">
        <x:v>DOS-3-027</x:v>
      </x:c>
      <x:c r="B28" t="str">
        <x:v>Not Mailed</x:v>
      </x:c>
      <x:c r="C28" s="55"/>
      <x:c r="D28" t="str">
        <x:v>No Response</x:v>
      </x:c>
      <x:c r="E28" t="str"/>
      <x:c r="F28" t="n">
        <x:v>3</x:v>
      </x:c>
      <x:c r="G28" t="str">
        <x:v>PROPERTY OWNER</x:v>
      </x:c>
      <x:c r="H28" t="str"/>
      <x:c r="I28" t="n">
        <x:v>0</x:v>
      </x:c>
      <x:c r="J28" t="str">
        <x:v>135-25 NORTHERN BOULEVARD, 2ND FLOOR, FLUSHING, NY, 11354, US</x:v>
      </x:c>
      <x:c r="K28" t="str">
        <x:v>ACRIS deed-party address</x:v>
      </x:c>
      <x:c r="L28" t="n">
        <x:v>3</x:v>
      </x:c>
      <x:c r="M28" t="n">
        <x:v>11</x:v>
      </x:c>
      <x:c r="N28" t="str">
        <x:v>FARRINGTON CAPITAL LLC | GREENPOINT SUMMIT LLC | MADISON 29 HOLDING LLC</x:v>
      </x:c>
      <x:c r="O28" t="str">
        <x:v>134-38 35 AVENUE APT 2A, NY 11354 | 134-38 35 AVENUE APT 3A, NY 11354 | 134-38 35 AVENUE APT 3B, NY 11354 | 134-38 35 AVENUE APT 3C, NY 11354 | 134-38 35 AVENUE APT 4A, NY 11354 | 134-38 35 AVENUE APT 5A, NY 11354 | 134-38 35 AVENUE APT 5B, NY 11354 | 134-38 35 AVENUE APT 5C, NY 11354 | 134-38 35 AVENUE APT 5D, NY 11354 | 49 ASH STREET, NY 11222 | 89-95 MADISON AVENUE, NY 10016</x:v>
      </x:c>
      <x:c r="P28" t="n">
        <x:v>3</x:v>
      </x:c>
      <x:c r="Q28" s="15" t="n">
        <x:v>1</x:v>
      </x:c>
      <x:c r="R28" t="n">
        <x:v>0</x:v>
      </x:c>
      <x:c r="S28" t="str">
        <x:v>Active-name matches only</x:v>
      </x:c>
      <x:c r="T28" t="str">
        <x:v>No</x:v>
      </x:c>
      <x:c r="U28" t="n">
        <x:v>100</x:v>
      </x:c>
      <x:c r="V28" t="str">
        <x:v>https://data.ny.gov/Economic-Development/Active-Corporations-Beginning-1800/n9v6-gdp6</x:v>
      </x:c>
    </x:row>
    <x:row r="29">
      <x:c r="A29" t="str">
        <x:v>DOS-3-028</x:v>
      </x:c>
      <x:c r="B29" t="str">
        <x:v>Not Mailed</x:v>
      </x:c>
      <x:c r="C29" s="55"/>
      <x:c r="D29" t="str">
        <x:v>No Response</x:v>
      </x:c>
      <x:c r="E29" t="str"/>
      <x:c r="F29" t="n">
        <x:v>3</x:v>
      </x:c>
      <x:c r="G29" t="str">
        <x:v>PROPERTY OWNER</x:v>
      </x:c>
      <x:c r="H29" t="str">
        <x:v>SAEED BLOORIAN</x:v>
      </x:c>
      <x:c r="I29" t="n">
        <x:v>1</x:v>
      </x:c>
      <x:c r="J29" t="str">
        <x:v>160-09 HILLSIDE AVENUE, JAMAICA, NY, 11432</x:v>
      </x:c>
      <x:c r="K29" t="str">
        <x:v>DOS address corroborated by ACRIS</x:v>
      </x:c>
      <x:c r="L29" t="n">
        <x:v>3</x:v>
      </x:c>
      <x:c r="M29" t="n">
        <x:v>11</x:v>
      </x:c>
      <x:c r="N29" t="str">
        <x:v>ALEPH LLC | FIVE DEVELOPMENT LLC | INWOOD HOME LLC</x:v>
      </x:c>
      <x:c r="O29" t="str">
        <x:v>133-23 149 STREET, NY 11436 | 133-25 149 STREET, NY 11436 | 135-10-135-12 222 STREET, NY 11413 | 135-12 222 STREET, NY 11413 | 135-18 222 STREET, NY 11413 | 141-32-141-34 249 STREET, NY 11422 | 141-34-141-36 249 STREET, NY 11422 | 159-11 HILLSIDE AVENUE, NY 11432 | 160-09 HILLSIDE AVENUE, NY 11432 | 218-03 135TH AVENUE, NY 11413 | 220-05 138 ROAD, NY 11413</x:v>
      </x:c>
      <x:c r="P29" t="n">
        <x:v>3</x:v>
      </x:c>
      <x:c r="Q29" s="15" t="n">
        <x:v>1</x:v>
      </x:c>
      <x:c r="R29" t="n">
        <x:v>3</x:v>
      </x:c>
      <x:c r="S29" t="str">
        <x:v>Strong DOS address corroboration</x:v>
      </x:c>
      <x:c r="T29" t="str">
        <x:v>No</x:v>
      </x:c>
      <x:c r="U29" t="n">
        <x:v>100</x:v>
      </x:c>
      <x:c r="V29" t="str">
        <x:v>https://data.ny.gov/Economic-Development/Active-Corporations-Beginning-1800/n9v6-gdp6</x:v>
      </x:c>
    </x:row>
    <x:row r="30">
      <x:c r="A30" t="str">
        <x:v>DOS-3-029</x:v>
      </x:c>
      <x:c r="B30" t="str">
        <x:v>Not Mailed</x:v>
      </x:c>
      <x:c r="C30" s="55"/>
      <x:c r="D30" t="str">
        <x:v>No Response</x:v>
      </x:c>
      <x:c r="E30" t="str"/>
      <x:c r="F30" t="n">
        <x:v>3</x:v>
      </x:c>
      <x:c r="G30" t="str">
        <x:v>DAVID W. OLSEN, ESQ.</x:v>
      </x:c>
      <x:c r="H30" t="str">
        <x:v>DAVID W. OLSEN, ESQ.</x:v>
      </x:c>
      <x:c r="I30" t="n">
        <x:v>2</x:v>
      </x:c>
      <x:c r="J30" t="str">
        <x:v>PO Box 1680, Mattituck, NY, 11952</x:v>
      </x:c>
      <x:c r="K30" t="str">
        <x:v>DOS address corroborated by ACRIS</x:v>
      </x:c>
      <x:c r="L30" t="n">
        <x:v>3</x:v>
      </x:c>
      <x:c r="M30" t="n">
        <x:v>11</x:v>
      </x:c>
      <x:c r="N30" t="str">
        <x:v>MK REALTY 1 LLC | MSZ REALTY 1 LLC | PAMENAR REALTY LLC</x:v>
      </x:c>
      <x:c r="O30" t="str">
        <x:v>145-05 21 AVENUE, NY 11357 | 145-16 20 AVENUE, NY 11357 | 20-14 146 STREET, NY 11357 | 20-18 146 STREET, NY 11357 | 20-20 146 STREET, NY 11357 | 23-29 33 AVENUE, NY 11106 | 23-30 BROADWAY, NY 11106 | 42-09-42-11 KETCHAM STREET, NY 11373 | 42-11 KETCHAM STREET, NY 11373 | 54-63 83 STREET, NY 11373 | 59-29-59-33 59 STREET, NY 11378</x:v>
      </x:c>
      <x:c r="P30" t="n">
        <x:v>3</x:v>
      </x:c>
      <x:c r="Q30" s="15" t="n">
        <x:v>1</x:v>
      </x:c>
      <x:c r="R30" t="n">
        <x:v>1</x:v>
      </x:c>
      <x:c r="S30" t="str">
        <x:v>Shared DOS address</x:v>
      </x:c>
      <x:c r="T30" t="str">
        <x:v>No</x:v>
      </x:c>
      <x:c r="U30" t="n">
        <x:v>100</x:v>
      </x:c>
      <x:c r="V30" t="str">
        <x:v>https://data.ny.gov/Economic-Development/Active-Corporations-Beginning-1800/n9v6-gdp6</x:v>
      </x:c>
    </x:row>
    <x:row r="31">
      <x:c r="A31" t="str">
        <x:v>DOS-3-030</x:v>
      </x:c>
      <x:c r="B31" t="str">
        <x:v>Not Mailed</x:v>
      </x:c>
      <x:c r="C31" s="55"/>
      <x:c r="D31" t="str">
        <x:v>No Response</x:v>
      </x:c>
      <x:c r="E31" t="str"/>
      <x:c r="F31" t="n">
        <x:v>3</x:v>
      </x:c>
      <x:c r="G31" t="str">
        <x:v>PROPERTY OWNER</x:v>
      </x:c>
      <x:c r="H31" t="str">
        <x:v>HARRY EINHORN</x:v>
      </x:c>
      <x:c r="I31" t="n">
        <x:v>1</x:v>
      </x:c>
      <x:c r="J31" t="str">
        <x:v>185 Clymer Street, 401, Brooklyn, NY, 11211</x:v>
      </x:c>
      <x:c r="K31" t="str">
        <x:v>DOS address corroborated by ACRIS</x:v>
      </x:c>
      <x:c r="L31" t="n">
        <x:v>3</x:v>
      </x:c>
      <x:c r="M31" t="n">
        <x:v>11</x:v>
      </x:c>
      <x:c r="N31" t="str">
        <x:v>85 4TH AVENUE LLC | EIN EQUITIES LLC | QUAY PLAZA LLC</x:v>
      </x:c>
      <x:c r="O31" t="str">
        <x:v>544 WILLOUGHBY AVENUE, NY 11206 | 79 4 AVENUE, NY 11217 | 79 QUAY STREET, NY 11222 | 82 ST MARKS PLACE, NY 11217 | 85 4 AVENUE, NY 11217 | 85 4TH AVENUE, NY 11217 | 87 4 AVENUE APT 2, NY 11217 | 89 4 AVENUE, NY 11217 | 91 4 AVENUE APT 3, NY 11217 | 93 4 AVENUE, NY 11217 | 95 4 AVENUE APT 10, NY 11217</x:v>
      </x:c>
      <x:c r="P31" t="n">
        <x:v>3</x:v>
      </x:c>
      <x:c r="Q31" s="15" t="n">
        <x:v>1</x:v>
      </x:c>
      <x:c r="R31" t="n">
        <x:v>3</x:v>
      </x:c>
      <x:c r="S31" t="str">
        <x:v>Strong DOS address corroboration</x:v>
      </x:c>
      <x:c r="T31" t="str">
        <x:v>No</x:v>
      </x:c>
      <x:c r="U31" t="n">
        <x:v>100</x:v>
      </x:c>
      <x:c r="V31" t="str">
        <x:v>https://data.ny.gov/Economic-Development/Active-Corporations-Beginning-1800/n9v6-gdp6</x:v>
      </x:c>
    </x:row>
    <x:row r="32">
      <x:c r="A32" t="str">
        <x:v>DOS-3-031</x:v>
      </x:c>
      <x:c r="B32" t="str">
        <x:v>Not Mailed</x:v>
      </x:c>
      <x:c r="C32" s="55"/>
      <x:c r="D32" t="str">
        <x:v>No Response</x:v>
      </x:c>
      <x:c r="E32" t="str"/>
      <x:c r="F32" t="n">
        <x:v>3</x:v>
      </x:c>
      <x:c r="G32" t="str">
        <x:v>PROPERTY OWNER</x:v>
      </x:c>
      <x:c r="H32" t="str">
        <x:v>C/O SIMEON DERENSHTEYN</x:v>
      </x:c>
      <x:c r="I32" t="n">
        <x:v>1</x:v>
      </x:c>
      <x:c r="J32" t="str">
        <x:v>200 PARK AVENUE, NEW YORK, NY, 10166, US</x:v>
      </x:c>
      <x:c r="K32" t="str">
        <x:v>ACRIS deed-party address</x:v>
      </x:c>
      <x:c r="L32" t="n">
        <x:v>3</x:v>
      </x:c>
      <x:c r="M32" t="n">
        <x:v>11</x:v>
      </x:c>
      <x:c r="N32" t="str">
        <x:v>74 KENT OWNER LLC | N3N REALTY LLC | THOMPSON BROOME GEXSME LLC</x:v>
      </x:c>
      <x:c r="O32" t="str">
        <x:v>34-15 10 STREET, NY 11106 | 52-54 THOMPSON STREET APT 6WEST, NY 10012 | 52-54 THOMPSON STREET APT B-1, NY 10012 | 52-54 THOMPSON STREET APT B-3, NY 10012 | 52-54 THOMPSON STREET APT B-4, NY 10012 | 52-54 THOMPSON STREET APT CU1, NY 10012 | 52-54 THOMPSON STREET APT CU2, NY 10012 | 52-54 THOMPSON STREET APT CU3, NY 10012 | 52-54 THOMPSON STREET APT CU4, NY 10012 | 52-54 THOMPSON STREET APT CU5, NY 10012 | 70 KENT STREET, NY 11222</x:v>
      </x:c>
      <x:c r="P32" t="n">
        <x:v>3</x:v>
      </x:c>
      <x:c r="Q32" s="15" t="n">
        <x:v>1</x:v>
      </x:c>
      <x:c r="R32" t="n">
        <x:v>0</x:v>
      </x:c>
      <x:c r="S32" t="str">
        <x:v>Active-name matches only</x:v>
      </x:c>
      <x:c r="T32" t="str">
        <x:v>No</x:v>
      </x:c>
      <x:c r="U32" t="n">
        <x:v>100</x:v>
      </x:c>
      <x:c r="V32" t="str">
        <x:v>https://data.ny.gov/Economic-Development/Active-Corporations-Beginning-1800/n9v6-gdp6</x:v>
      </x:c>
    </x:row>
    <x:row r="33">
      <x:c r="A33" t="str">
        <x:v>DOS-3-032</x:v>
      </x:c>
      <x:c r="B33" t="str">
        <x:v>Not Mailed</x:v>
      </x:c>
      <x:c r="C33" s="55"/>
      <x:c r="D33" t="str">
        <x:v>No Response</x:v>
      </x:c>
      <x:c r="E33" t="str"/>
      <x:c r="F33" t="n">
        <x:v>3</x:v>
      </x:c>
      <x:c r="G33" t="str">
        <x:v>PROPERTY OWNER</x:v>
      </x:c>
      <x:c r="H33" t="str"/>
      <x:c r="I33" t="n">
        <x:v>0</x:v>
      </x:c>
      <x:c r="J33" t="str">
        <x:v>2266 EAST 2ND  STREET, BROOKLYN, NY, 11223, US</x:v>
      </x:c>
      <x:c r="K33" t="str">
        <x:v>ACRIS deed-party address</x:v>
      </x:c>
      <x:c r="L33" t="n">
        <x:v>3</x:v>
      </x:c>
      <x:c r="M33" t="n">
        <x:v>11</x:v>
      </x:c>
      <x:c r="N33" t="str">
        <x:v>ARYEH REALTY LLC | ATLAS REALTY NY LLC | ORLY MANAGEMENT AND REALTY LLC</x:v>
      </x:c>
      <x:c r="O33" t="str">
        <x:v>1002 ESSEX STREET, NY 11208 | 56-20 56 DRIVE, NY 11378 | 56-35 56 DRIVE, NY 11378 | 853 ESSEX STREET, NY 11208 | 854-862 SHEPHERD AVENUE, NY 11208 | 857 ESSEX STREET, NY 11208 | 864 SHEPHERD AVENUE, NY 11208 | 865 STANLEY AVENUE, NY 11208 | 872 SHEPHERD AVENUE, NY 11208 | 903 STANLEY AVENUE, NY 11208 | 905 STANLEY AVENUE, NY 11208</x:v>
      </x:c>
      <x:c r="P33" t="n">
        <x:v>3</x:v>
      </x:c>
      <x:c r="Q33" s="15" t="n">
        <x:v>1</x:v>
      </x:c>
      <x:c r="R33" t="n">
        <x:v>0</x:v>
      </x:c>
      <x:c r="S33" t="str">
        <x:v>Shared DOS address</x:v>
      </x:c>
      <x:c r="T33" t="str">
        <x:v>No</x:v>
      </x:c>
      <x:c r="U33" t="n">
        <x:v>100</x:v>
      </x:c>
      <x:c r="V33" t="str">
        <x:v>https://data.ny.gov/Economic-Development/Active-Corporations-Beginning-1800/n9v6-gdp6</x:v>
      </x:c>
    </x:row>
    <x:row r="34">
      <x:c r="A34" t="str">
        <x:v>DOS-3-033</x:v>
      </x:c>
      <x:c r="B34" t="str">
        <x:v>Not Mailed</x:v>
      </x:c>
      <x:c r="C34" s="55"/>
      <x:c r="D34" t="str">
        <x:v>No Response</x:v>
      </x:c>
      <x:c r="E34" t="str"/>
      <x:c r="F34" t="n">
        <x:v>3</x:v>
      </x:c>
      <x:c r="G34" t="str">
        <x:v>PROPERTY OWNER</x:v>
      </x:c>
      <x:c r="H34" t="str"/>
      <x:c r="I34" t="n">
        <x:v>0</x:v>
      </x:c>
      <x:c r="J34" t="str">
        <x:v>3020 clubhouse road, MERRICK, NY, 11566</x:v>
      </x:c>
      <x:c r="K34" t="str">
        <x:v>DOS address corroborated by ACRIS</x:v>
      </x:c>
      <x:c r="L34" t="n">
        <x:v>3</x:v>
      </x:c>
      <x:c r="M34" t="n">
        <x:v>11</x:v>
      </x:c>
      <x:c r="N34" t="str">
        <x:v>483 58TH STREET LLC | 483 EAST 58TH STREET LLC | 9802 DITMAS LLC</x:v>
      </x:c>
      <x:c r="O34" t="str">
        <x:v>416 EAST 59 STREET, NY 11203 | 483 EAST 58 STREET, NY 11203 | 5701 AVENUE D, NY 11203 | 763-769 EAST 98 STREET, NY 11236 | 9802 DITMAS AVENUE, NY 11236 | DITMAS AVENUE | EAST 58 STREET | EAST 59 STREET</x:v>
      </x:c>
      <x:c r="P34" t="n">
        <x:v>2</x:v>
      </x:c>
      <x:c r="Q34" s="15" t="n">
        <x:v>0.6666666666666666</x:v>
      </x:c>
      <x:c r="R34" t="n">
        <x:v>2</x:v>
      </x:c>
      <x:c r="S34" t="str">
        <x:v>Strong DOS address corroboration</x:v>
      </x:c>
      <x:c r="T34" t="str">
        <x:v>No</x:v>
      </x:c>
      <x:c r="U34" t="n">
        <x:v>100</x:v>
      </x:c>
      <x:c r="V34" t="str">
        <x:v>https://data.ny.gov/Economic-Development/Active-Corporations-Beginning-1800/n9v6-gdp6</x:v>
      </x:c>
    </x:row>
    <x:row r="35">
      <x:c r="A35" t="str">
        <x:v>DOS-3-034</x:v>
      </x:c>
      <x:c r="B35" t="str">
        <x:v>Not Mailed</x:v>
      </x:c>
      <x:c r="C35" s="55"/>
      <x:c r="D35" t="str">
        <x:v>No Response</x:v>
      </x:c>
      <x:c r="E35" t="str"/>
      <x:c r="F35" t="n">
        <x:v>3</x:v>
      </x:c>
      <x:c r="G35" t="str">
        <x:v>PROPERTY OWNER</x:v>
      </x:c>
      <x:c r="H35" t="str"/>
      <x:c r="I35" t="n">
        <x:v>0</x:v>
      </x:c>
      <x:c r="J35" t="str">
        <x:v>31-10 37TH AVENUE SUITE 500, LONG ISLAND CITY, NY, 11101</x:v>
      </x:c>
      <x:c r="K35" t="str">
        <x:v>DOS address corroborated by ACRIS</x:v>
      </x:c>
      <x:c r="L35" t="n">
        <x:v>3</x:v>
      </x:c>
      <x:c r="M35" t="n">
        <x:v>11</x:v>
      </x:c>
      <x:c r="N35" t="str">
        <x:v>255 AUDUBON AVENUE LLC | 534 WEST 178 EQUITIES LLC | GVS PROPERTIES IV LLC</x:v>
      </x:c>
      <x:c r="O35" t="str">
        <x:v>248 SHERMAN AVENUE, NY 10034 | 255 AUDUBON AVENUE, NY 10033 | 38-48 SICKLES STREET, NY 10040 | 534-536 WEST 178 STREET, NY 10033 | 556 WEST 188 STREET, NY 10040 | 566 WEST 190 STREET, NY 10040 | 570 WEST 190 STREET, NY 10040 | 72-74 VERMILYEA AVENUE, NY 10034 | 9-23 THAYER STREET, NY 10040 | 90 ELLWOOD STREET, NY 10040 | 961 ST NICHOLAS AVENUE, NY 10032</x:v>
      </x:c>
      <x:c r="P35" t="n">
        <x:v>3</x:v>
      </x:c>
      <x:c r="Q35" s="15" t="n">
        <x:v>1</x:v>
      </x:c>
      <x:c r="R35" t="n">
        <x:v>2</x:v>
      </x:c>
      <x:c r="S35" t="str">
        <x:v>Strong DOS address corroboration</x:v>
      </x:c>
      <x:c r="T35" t="str">
        <x:v>No</x:v>
      </x:c>
      <x:c r="U35" t="n">
        <x:v>100</x:v>
      </x:c>
      <x:c r="V35" t="str">
        <x:v>https://data.ny.gov/Economic-Development/Active-Corporations-Beginning-1800/n9v6-gdp6</x:v>
      </x:c>
    </x:row>
    <x:row r="36">
      <x:c r="A36" t="str">
        <x:v>DOS-3-035</x:v>
      </x:c>
      <x:c r="B36" t="str">
        <x:v>Not Mailed</x:v>
      </x:c>
      <x:c r="C36" s="55"/>
      <x:c r="D36" t="str">
        <x:v>No Response</x:v>
      </x:c>
      <x:c r="E36" t="str"/>
      <x:c r="F36" t="n">
        <x:v>3</x:v>
      </x:c>
      <x:c r="G36" t="str">
        <x:v>PROPERTY OWNER</x:v>
      </x:c>
      <x:c r="H36" t="str"/>
      <x:c r="I36" t="n">
        <x:v>0</x:v>
      </x:c>
      <x:c r="J36" t="str">
        <x:v>346 CENTRAL AVENUE, BROOKLYN, NY, 11221</x:v>
      </x:c>
      <x:c r="K36" t="str">
        <x:v>DOS address corroborated by ACRIS</x:v>
      </x:c>
      <x:c r="L36" t="n">
        <x:v>3</x:v>
      </x:c>
      <x:c r="M36" t="n">
        <x:v>11</x:v>
      </x:c>
      <x:c r="N36" t="str">
        <x:v>2010AL REALTY LLC | A AND SB 1301 REALTY LLC | REALTY 86 LLC</x:v>
      </x:c>
      <x:c r="O36" t="str">
        <x:v>1301 CHURCH AVENUE, NY 11226 | 1303 CHURCH AVENUE, NY 11226 | 1305 CHURCH AVENUE, NY 11226 | 1307 CHURCH AVENUE, NY 11226 | 1309 CHURCH AVENUE, NY 11226 | 1311 CHURCH AVENUE, NY 11226 | 215-05 GRAND CENTRAL PKWY, NY 11427 | 346 CENTRAL AVENUE, NY 11221 | 350 CENTRAL AVENUE, NY 11221 | 63 ARGYLE ROAD, NY 11218 | 920 SENECA AVENUE, NY 11385</x:v>
      </x:c>
      <x:c r="P36" t="n">
        <x:v>3</x:v>
      </x:c>
      <x:c r="Q36" s="15" t="n">
        <x:v>1</x:v>
      </x:c>
      <x:c r="R36" t="n">
        <x:v>2</x:v>
      </x:c>
      <x:c r="S36" t="str">
        <x:v>Strong DOS address corroboration</x:v>
      </x:c>
      <x:c r="T36" t="str">
        <x:v>No</x:v>
      </x:c>
      <x:c r="U36" t="n">
        <x:v>100</x:v>
      </x:c>
      <x:c r="V36" t="str">
        <x:v>https://data.ny.gov/Economic-Development/Active-Corporations-Beginning-1800/n9v6-gdp6</x:v>
      </x:c>
    </x:row>
    <x:row r="37">
      <x:c r="A37" t="str">
        <x:v>DOS-3-036</x:v>
      </x:c>
      <x:c r="B37" t="str">
        <x:v>Not Mailed</x:v>
      </x:c>
      <x:c r="C37" s="55"/>
      <x:c r="D37" t="str">
        <x:v>No Response</x:v>
      </x:c>
      <x:c r="E37" t="str"/>
      <x:c r="F37" t="n">
        <x:v>3</x:v>
      </x:c>
      <x:c r="G37" t="str">
        <x:v>PROPERTY OWNER</x:v>
      </x:c>
      <x:c r="H37" t="str"/>
      <x:c r="I37" t="n">
        <x:v>0</x:v>
      </x:c>
      <x:c r="J37" t="str">
        <x:v>569 LEXINGTON AVENUE, PH, NEW YORK, NY, 10022, US</x:v>
      </x:c>
      <x:c r="K37" t="str">
        <x:v>ACRIS deed-party address</x:v>
      </x:c>
      <x:c r="L37" t="n">
        <x:v>3</x:v>
      </x:c>
      <x:c r="M37" t="n">
        <x:v>11</x:v>
      </x:c>
      <x:c r="N37" t="str">
        <x:v>MCN 119 COLUMBIA HEIGHTS OPERATOR LLC | MCN 569 LEXINGTON OPERATOR LLC | MCN 97 COLUMBIA HEIGHTS OPERATOR LLC</x:v>
      </x:c>
      <x:c r="O37" t="str">
        <x:v>119 COLUMBIA HEIGHTS APT LU, NY 11201 | 119 COLUMBIA HEIGHTS APT UU, NY 11201 | 569 LEXINGTON AVE APT 10, NY 10022 | 569 LEXINGTON AVE APT 11, NY 10022 | 569 LEXINGTON AVE APT 12, NY 10022 | 569 LEXINGTON AVE APT 13, NY 10022 | 569 LEXINGTON AVE APT 14, NY 10022 | 569 LEXINGTON AVE APT 15, NY 10022 | 569 LEXINGTON AVE APT 9, NY 10022 | 97 COLUMBIA HEIGHTS APT LU, NY 11201 | 97 COLUMBIA HEIGHTS APT UU, NY 11201</x:v>
      </x:c>
      <x:c r="P37" t="n">
        <x:v>3</x:v>
      </x:c>
      <x:c r="Q37" s="15" t="n">
        <x:v>1</x:v>
      </x:c>
      <x:c r="R37" t="n">
        <x:v>0</x:v>
      </x:c>
      <x:c r="S37" t="str">
        <x:v>Shared DOS address</x:v>
      </x:c>
      <x:c r="T37" t="str">
        <x:v>No</x:v>
      </x:c>
      <x:c r="U37" t="n">
        <x:v>100</x:v>
      </x:c>
      <x:c r="V37" t="str">
        <x:v>https://data.ny.gov/Economic-Development/Active-Corporations-Beginning-1800/n9v6-gdp6</x:v>
      </x:c>
    </x:row>
    <x:row r="38">
      <x:c r="A38" t="str">
        <x:v>DOS-3-037</x:v>
      </x:c>
      <x:c r="B38" t="str">
        <x:v>Not Mailed</x:v>
      </x:c>
      <x:c r="C38" s="55"/>
      <x:c r="D38" t="str">
        <x:v>No Response</x:v>
      </x:c>
      <x:c r="E38" t="str"/>
      <x:c r="F38" t="n">
        <x:v>3</x:v>
      </x:c>
      <x:c r="G38" t="str">
        <x:v>PROPERTY OWNER</x:v>
      </x:c>
      <x:c r="H38" t="str"/>
      <x:c r="I38" t="n">
        <x:v>0</x:v>
      </x:c>
      <x:c r="J38" t="str">
        <x:v>1432 DORIS STREET, 1F, BRONX, NY, 10462</x:v>
      </x:c>
      <x:c r="K38" t="str">
        <x:v>DOS address corroborated by ACRIS</x:v>
      </x:c>
      <x:c r="L38" t="n">
        <x:v>3</x:v>
      </x:c>
      <x:c r="M38" t="n">
        <x:v>10</x:v>
      </x:c>
      <x:c r="N38" t="str">
        <x:v>BALLAGH PROPERTIES LLC | G G G PROPERTIES LLC | GORBYRNE LLC</x:v>
      </x:c>
      <x:c r="O38" t="str">
        <x:v>1371 ELLISON AVENUE, NY 10461 | 1373 ELLISON AVENUE, NY 10461 | 1439-1441 DORIS STREET, NY 10462 | 1441 DORIS STREET, NY 10462 | 1443 DORIS STREET, NY 10462 | 1445 DORIS STREET, NY 10462 | 1447 DORIS STREET, NY 10462 | 2612 HARDING AVENUE, NY 10465 | 2700 LATTING STREET, NY 10461 | 2702 LATTING STREET, NY 10461</x:v>
      </x:c>
      <x:c r="P38" t="n">
        <x:v>3</x:v>
      </x:c>
      <x:c r="Q38" s="15" t="n">
        <x:v>1</x:v>
      </x:c>
      <x:c r="R38" t="n">
        <x:v>1</x:v>
      </x:c>
      <x:c r="S38" t="str">
        <x:v>Shared DOS address</x:v>
      </x:c>
      <x:c r="T38" t="str">
        <x:v>No</x:v>
      </x:c>
      <x:c r="U38" t="n">
        <x:v>100</x:v>
      </x:c>
      <x:c r="V38" t="str">
        <x:v>https://data.ny.gov/Economic-Development/Active-Corporations-Beginning-1800/n9v6-gdp6</x:v>
      </x:c>
    </x:row>
    <x:row r="39">
      <x:c r="A39" t="str">
        <x:v>DOS-3-038</x:v>
      </x:c>
      <x:c r="B39" t="str">
        <x:v>Not Mailed</x:v>
      </x:c>
      <x:c r="C39" s="55"/>
      <x:c r="D39" t="str">
        <x:v>No Response</x:v>
      </x:c>
      <x:c r="E39" t="str"/>
      <x:c r="F39" t="n">
        <x:v>3</x:v>
      </x:c>
      <x:c r="G39" t="str">
        <x:v>PROPERTY OWNER</x:v>
      </x:c>
      <x:c r="H39" t="str"/>
      <x:c r="I39" t="n">
        <x:v>0</x:v>
      </x:c>
      <x:c r="J39" t="str">
        <x:v>5 ASSEMBLY COURT, NEW CITY, NY, 10956, US</x:v>
      </x:c>
      <x:c r="K39" t="str">
        <x:v>ACRIS deed-party address</x:v>
      </x:c>
      <x:c r="L39" t="n">
        <x:v>3</x:v>
      </x:c>
      <x:c r="M39" t="n">
        <x:v>10</x:v>
      </x:c>
      <x:c r="N39" t="str">
        <x:v>COINDROP GROUP LLC | FINELAND GROUP LLC | STEPUP GROUP LLC</x:v>
      </x:c>
      <x:c r="O39" t="str">
        <x:v>147-34 35 AVENUE, NY 11354 | 856 52ND STREET APT 3A, NY 11220 | 856 52ND STREET APT 3B, NY 11220 | 856 52ND STREET APT 3C, NY 11220 | 856 52ND STREET APT 4A, NY 11220 | 856 52ND STREET APT 4B, NY 11220 | 856 52ND STREET APT 4C, NY 11220 | 856 52ND STREET APT P1, NY 11220 | 856 52ND STREET APT P2, NY 11220 | 856 52ND STREET APT P3, NY 11220</x:v>
      </x:c>
      <x:c r="P39" t="n">
        <x:v>3</x:v>
      </x:c>
      <x:c r="Q39" s="15" t="n">
        <x:v>1</x:v>
      </x:c>
      <x:c r="R39" t="n">
        <x:v>0</x:v>
      </x:c>
      <x:c r="S39" t="str">
        <x:v>Active-name matches only</x:v>
      </x:c>
      <x:c r="T39" t="str">
        <x:v>No</x:v>
      </x:c>
      <x:c r="U39" t="n">
        <x:v>100</x:v>
      </x:c>
      <x:c r="V39" t="str">
        <x:v>https://data.ny.gov/Economic-Development/Active-Corporations-Beginning-1800/n9v6-gdp6</x:v>
      </x:c>
    </x:row>
    <x:row r="40">
      <x:c r="A40" t="str">
        <x:v>DOS-3-039</x:v>
      </x:c>
      <x:c r="B40" t="str">
        <x:v>Not Mailed</x:v>
      </x:c>
      <x:c r="C40" s="55"/>
      <x:c r="D40" t="str">
        <x:v>No Response</x:v>
      </x:c>
      <x:c r="E40" t="str"/>
      <x:c r="F40" t="n">
        <x:v>3</x:v>
      </x:c>
      <x:c r="G40" t="str">
        <x:v>PROPERTY OWNER</x:v>
      </x:c>
      <x:c r="H40" t="str"/>
      <x:c r="I40" t="n">
        <x:v>0</x:v>
      </x:c>
      <x:c r="J40" t="str">
        <x:v>59-29 72ND STREET, MASPETH, NY, 11378</x:v>
      </x:c>
      <x:c r="K40" t="str">
        <x:v>DOS address corroborated by ACRIS</x:v>
      </x:c>
      <x:c r="L40" t="n">
        <x:v>3</x:v>
      </x:c>
      <x:c r="M40" t="n">
        <x:v>10</x:v>
      </x:c>
      <x:c r="N40" t="str">
        <x:v>I B S CENTER LLC | L I C CENTER LLC | T L C CENTER LLC</x:v>
      </x:c>
      <x:c r="O40" t="str">
        <x:v>59-20 72 STREET, NY 11378 | 59-28 72 STREET, NY 11378 | 59-31 72 STREET, NY 11378 | 59-32 72 STREET, NY 11378 | 59-35 72 STREET, NY 11378 | 59-36 72 STREET, NY 11378 | 59-37 72 STREET, NY 11378 | 59-39 72 STREET, NY 11378 | 60 AVENUE, NY 11378 | 61-11 70 STREET, NY 11379</x:v>
      </x:c>
      <x:c r="P40" t="n">
        <x:v>3</x:v>
      </x:c>
      <x:c r="Q40" s="15" t="n">
        <x:v>1</x:v>
      </x:c>
      <x:c r="R40" t="n">
        <x:v>3</x:v>
      </x:c>
      <x:c r="S40" t="str">
        <x:v>Strong DOS address corroboration</x:v>
      </x:c>
      <x:c r="T40" t="str">
        <x:v>No</x:v>
      </x:c>
      <x:c r="U40" t="n">
        <x:v>100</x:v>
      </x:c>
      <x:c r="V40" t="str">
        <x:v>https://data.ny.gov/Economic-Development/Active-Corporations-Beginning-1800/n9v6-gdp6</x:v>
      </x:c>
    </x:row>
    <x:row r="41">
      <x:c r="A41" t="str">
        <x:v>DOS-3-040</x:v>
      </x:c>
      <x:c r="B41" t="str">
        <x:v>Not Mailed</x:v>
      </x:c>
      <x:c r="C41" s="55"/>
      <x:c r="D41" t="str">
        <x:v>No Response</x:v>
      </x:c>
      <x:c r="E41" t="str"/>
      <x:c r="F41" t="n">
        <x:v>3</x:v>
      </x:c>
      <x:c r="G41" t="str">
        <x:v>PROPERTY OWNER</x:v>
      </x:c>
      <x:c r="H41" t="str">
        <x:v>C/O THE HUDSON COMPANIES</x:v>
      </x:c>
      <x:c r="I41" t="n">
        <x:v>1</x:v>
      </x:c>
      <x:c r="J41" t="str">
        <x:v>826 BROADWAY, 11TH FLOOR, NEW YORK, NY, 10003, US</x:v>
      </x:c>
      <x:c r="K41" t="str">
        <x:v>ACRIS deed-party address</x:v>
      </x:c>
      <x:c r="L41" t="n">
        <x:v>3</x:v>
      </x:c>
      <x:c r="M41" t="n">
        <x:v>10</x:v>
      </x:c>
      <x:c r="N41" t="str">
        <x:v>J APARTMENTS LLC | J RETAIL LLC | LA CENTRAL NMTC LLC</x:v>
      </x:c>
      <x:c r="O41" t="str">
        <x:v>100 JAY STREET APT 4G, NY 11201 | 100 JAY STREET APT C0M4, NY 11201 | 100 JAY STREET APT COM1, NY 11201 | 100 JAY STREET APT COM2, NY 11201 | 100 JAY STREET APT COM3, NY 11201 | 100 JAY STREET APT COM5, NY 11201 | 556 BERGEN AVENUE APT 5, NY 10455 | 600 BERGEN AVENUE APT 11, NY 10455 | 600 BERGEN AVENUE APT 8, NY 10455 | 600 BERGEN AVENUE APT 9, NY 10455</x:v>
      </x:c>
      <x:c r="P41" t="n">
        <x:v>3</x:v>
      </x:c>
      <x:c r="Q41" s="15" t="n">
        <x:v>1</x:v>
      </x:c>
      <x:c r="R41" t="n">
        <x:v>0</x:v>
      </x:c>
      <x:c r="S41" t="str">
        <x:v>Active-name matches only</x:v>
      </x:c>
      <x:c r="T41" t="str">
        <x:v>No</x:v>
      </x:c>
      <x:c r="U41" t="n">
        <x:v>100</x:v>
      </x:c>
      <x:c r="V41" t="str">
        <x:v>https://data.ny.gov/Economic-Development/Active-Corporations-Beginning-1800/n9v6-gdp6</x:v>
      </x:c>
    </x:row>
    <x:row r="42">
      <x:c r="A42" t="str">
        <x:v>DOS-3-041</x:v>
      </x:c>
      <x:c r="B42" t="str">
        <x:v>Not Mailed</x:v>
      </x:c>
      <x:c r="C42" s="55"/>
      <x:c r="D42" t="str">
        <x:v>No Response</x:v>
      </x:c>
      <x:c r="E42" t="str"/>
      <x:c r="F42" t="n">
        <x:v>3</x:v>
      </x:c>
      <x:c r="G42" t="str">
        <x:v>PROPERTY OWNER</x:v>
      </x:c>
      <x:c r="H42" t="str"/>
      <x:c r="I42" t="n">
        <x:v>0</x:v>
      </x:c>
      <x:c r="J42" t="str">
        <x:v>850 SEVENTH AVENUE, NEW YORK, NY, 10019</x:v>
      </x:c>
      <x:c r="K42" t="str">
        <x:v>DOS address corroborated by ACRIS</x:v>
      </x:c>
      <x:c r="L42" t="n">
        <x:v>3</x:v>
      </x:c>
      <x:c r="M42" t="n">
        <x:v>10</x:v>
      </x:c>
      <x:c r="N42" t="str">
        <x:v>AMSLAND RETAIL LLC | AMSTORE RETAIL LLC | BOULEVARD RETAIL LLC</x:v>
      </x:c>
      <x:c r="O42" t="str">
        <x:v>200 WEST 79 STREET APT RET1, NY 10024 | 200 WEST 79 STREET APT RET2, NY 10024 | 200 WEST 79 STREET APT RET3, NY 10024 | 200 WEST 79 STREET APT RET4, NY 10024 | 200 WEST 79 STREET APT RET5, NY 10024 | 200 WEST 79 STREET APT RET6, NY 10024 | 200 WEST 79 STREET APT RET7, NY 10024 | 200 WEST 79 STREET APT RET8, NY 10024 | 2373 BROADWAY APT COMM, NY 10024 | 583 BROADWAY APT 1A, NY 10012</x:v>
      </x:c>
      <x:c r="P42" t="n">
        <x:v>3</x:v>
      </x:c>
      <x:c r="Q42" s="15" t="n">
        <x:v>1</x:v>
      </x:c>
      <x:c r="R42" t="n">
        <x:v>3</x:v>
      </x:c>
      <x:c r="S42" t="str">
        <x:v>Strong DOS address corroboration</x:v>
      </x:c>
      <x:c r="T42" t="str">
        <x:v>No</x:v>
      </x:c>
      <x:c r="U42" t="n">
        <x:v>100</x:v>
      </x:c>
      <x:c r="V42" t="str">
        <x:v>https://data.ny.gov/Economic-Development/Active-Corporations-Beginning-1800/n9v6-gdp6</x:v>
      </x:c>
    </x:row>
    <x:row r="43">
      <x:c r="A43" t="str">
        <x:v>DOS-3-042</x:v>
      </x:c>
      <x:c r="B43" t="str">
        <x:v>Not Mailed</x:v>
      </x:c>
      <x:c r="C43" s="55"/>
      <x:c r="D43" t="str">
        <x:v>No Response</x:v>
      </x:c>
      <x:c r="E43" t="str"/>
      <x:c r="F43" t="n">
        <x:v>3</x:v>
      </x:c>
      <x:c r="G43" t="str">
        <x:v>PROPERTY OWNER</x:v>
      </x:c>
      <x:c r="H43" t="str">
        <x:v>C/O FISHER STONE, P.C.</x:v>
      </x:c>
      <x:c r="I43" t="n">
        <x:v>1</x:v>
      </x:c>
      <x:c r="J43" t="str">
        <x:v>P.O BOX 1268, BRONX, NY, 10462, US</x:v>
      </x:c>
      <x:c r="K43" t="str">
        <x:v>ACRIS deed-party address</x:v>
      </x:c>
      <x:c r="L43" t="n">
        <x:v>3</x:v>
      </x:c>
      <x:c r="M43" t="n">
        <x:v>10</x:v>
      </x:c>
      <x:c r="N43" t="str">
        <x:v>CARTER GARACCI LLC | MILO 2 LLC | RAMORINI LLC</x:v>
      </x:c>
      <x:c r="O43" t="str">
        <x:v>1505 METROPOLITAN AVENUE APT 2E, NY 10462 | 1545 UNIONPORT ROAD APT 5H, NY 10462 | 1553 UNIONPORT ROAD APT 6A, NY 10462 | 16 METROPOLITAN OVAL APT 3D, NY 10462 | 1605 METROPOLITAN AVENUE APT 10H, NY 10462 | 1690 METROPOLITAN AVENUE APT 5F, NY 10462 | 1705 PURDY STREET APT 10D, NY 10462 | 1718 PURDY STREET APT 1D, NY 10462 | 2100 EAST TREMONT AVENUE APT 6C, NY 10462 | 22 METROPOLITAN OVAL APT 6E, NY 10462</x:v>
      </x:c>
      <x:c r="P43" t="n">
        <x:v>3</x:v>
      </x:c>
      <x:c r="Q43" s="15" t="n">
        <x:v>1</x:v>
      </x:c>
      <x:c r="R43" t="n">
        <x:v>0</x:v>
      </x:c>
      <x:c r="S43" t="str">
        <x:v>Active-name matches only</x:v>
      </x:c>
      <x:c r="T43" t="str">
        <x:v>No</x:v>
      </x:c>
      <x:c r="U43" t="n">
        <x:v>100</x:v>
      </x:c>
      <x:c r="V43" t="str">
        <x:v>https://data.ny.gov/Economic-Development/Active-Corporations-Beginning-1800/n9v6-gdp6</x:v>
      </x:c>
    </x:row>
    <x:row r="44">
      <x:c r="A44" t="str">
        <x:v>DOS-3-043</x:v>
      </x:c>
      <x:c r="B44" t="str">
        <x:v>Not Mailed</x:v>
      </x:c>
      <x:c r="C44" s="55"/>
      <x:c r="D44" t="str">
        <x:v>No Response</x:v>
      </x:c>
      <x:c r="E44" t="str"/>
      <x:c r="F44" t="n">
        <x:v>3</x:v>
      </x:c>
      <x:c r="G44" t="str">
        <x:v>PROPERTY OWNER</x:v>
      </x:c>
      <x:c r="H44" t="str"/>
      <x:c r="I44" t="n">
        <x:v>0</x:v>
      </x:c>
      <x:c r="J44" t="str">
        <x:v>1344 43RD STREET, BROOKLYN, NY, 11219, US</x:v>
      </x:c>
      <x:c r="K44" t="str">
        <x:v>ACRIS deed-party address</x:v>
      </x:c>
      <x:c r="L44" t="n">
        <x:v>3</x:v>
      </x:c>
      <x:c r="M44" t="n">
        <x:v>9</x:v>
      </x:c>
      <x:c r="N44" t="str">
        <x:v>2400 APARTMENTS LLC | 4802 SEVENTEENTH LLC | LM ONE LLC</x:v>
      </x:c>
      <x:c r="O44" t="str">
        <x:v>2121 SHORE PARKWAY APT 2A, NY 11214 | 4802 17 AVENUE, NY 11204 | 63-85 WOODHAVEN BOULEVARD APT 1G2, NY 11374 | 63-93 WOODHAVEN BOULEVARD APT 6A3, NY 11374 | 63-93 WOODHAVEN BOULEVARD APT 6D3, NY 11374 | 85-04 63 DRIVE APT 3A1, NY 11374 | 85-04 63 DRIVE APT 3D1, NY 11374 | 85-04 63 DRIVE APT 5B1, NY 11374 | 85-04 63 DRIVE APT 6F1, NY 11374</x:v>
      </x:c>
      <x:c r="P44" t="n">
        <x:v>3</x:v>
      </x:c>
      <x:c r="Q44" s="15" t="n">
        <x:v>1</x:v>
      </x:c>
      <x:c r="R44" t="n">
        <x:v>0</x:v>
      </x:c>
      <x:c r="S44" t="str">
        <x:v>Active-name matches only</x:v>
      </x:c>
      <x:c r="T44" t="str">
        <x:v>No</x:v>
      </x:c>
      <x:c r="U44" t="n">
        <x:v>100</x:v>
      </x:c>
      <x:c r="V44" t="str">
        <x:v>https://data.ny.gov/Economic-Development/Active-Corporations-Beginning-1800/n9v6-gdp6</x:v>
      </x:c>
    </x:row>
    <x:row r="45">
      <x:c r="A45" t="str">
        <x:v>DOS-3-044</x:v>
      </x:c>
      <x:c r="B45" t="str">
        <x:v>Not Mailed</x:v>
      </x:c>
      <x:c r="C45" s="55"/>
      <x:c r="D45" t="str">
        <x:v>No Response</x:v>
      </x:c>
      <x:c r="E45" t="str"/>
      <x:c r="F45" t="n">
        <x:v>3</x:v>
      </x:c>
      <x:c r="G45" t="str">
        <x:v>PROPERTY OWNER</x:v>
      </x:c>
      <x:c r="H45" t="str"/>
      <x:c r="I45" t="n">
        <x:v>0</x:v>
      </x:c>
      <x:c r="J45" t="str">
        <x:v>15 Exchange Place, Suite 320, Jersey City, NJ, 07302</x:v>
      </x:c>
      <x:c r="K45" t="str">
        <x:v>DOS address corroborated by ACRIS</x:v>
      </x:c>
      <x:c r="L45" t="n">
        <x:v>3</x:v>
      </x:c>
      <x:c r="M45" t="n">
        <x:v>9</x:v>
      </x:c>
      <x:c r="N45" t="str">
        <x:v>1528 EAST 7 LLC | 2134 E7 STREET LLC | ROCKAWAY BEACH PARTNERS LLC</x:v>
      </x:c>
      <x:c r="O45" t="str">
        <x:v>1-55 BEACH    5 STREET, NY 11691 | 149 BEACH 6 STREET, NY 11691 | 1528 EAST 7 STREET, NY 11230 | 2134 EAST 7 STREET, NY 11223 | 70 6 ROAD | 72 6 ROAD | 74 6 ROAD | BEACH 5 STREET, NY 11691 | BEACH 6 STREET</x:v>
      </x:c>
      <x:c r="P45" t="n">
        <x:v>3</x:v>
      </x:c>
      <x:c r="Q45" s="15" t="n">
        <x:v>1</x:v>
      </x:c>
      <x:c r="R45" t="n">
        <x:v>2</x:v>
      </x:c>
      <x:c r="S45" t="str">
        <x:v>Strong DOS address corroboration</x:v>
      </x:c>
      <x:c r="T45" t="str">
        <x:v>No</x:v>
      </x:c>
      <x:c r="U45" t="n">
        <x:v>100</x:v>
      </x:c>
      <x:c r="V45" t="str">
        <x:v>https://data.ny.gov/Economic-Development/Active-Corporations-Beginning-1800/n9v6-gdp6</x:v>
      </x:c>
    </x:row>
    <x:row r="46">
      <x:c r="A46" t="str">
        <x:v>DOS-3-045</x:v>
      </x:c>
      <x:c r="B46" t="str">
        <x:v>Not Mailed</x:v>
      </x:c>
      <x:c r="C46" s="55"/>
      <x:c r="D46" t="str">
        <x:v>No Response</x:v>
      </x:c>
      <x:c r="E46" t="str"/>
      <x:c r="F46" t="n">
        <x:v>3</x:v>
      </x:c>
      <x:c r="G46" t="str">
        <x:v>PROPERTY OWNER</x:v>
      </x:c>
      <x:c r="H46" t="str"/>
      <x:c r="I46" t="n">
        <x:v>0</x:v>
      </x:c>
      <x:c r="J46" t="str">
        <x:v>2213 West 6th Street, Brooklyn, NY, 11223</x:v>
      </x:c>
      <x:c r="K46" t="str">
        <x:v>DOS address corroborated by ACRIS</x:v>
      </x:c>
      <x:c r="L46" t="n">
        <x:v>3</x:v>
      </x:c>
      <x:c r="M46" t="n">
        <x:v>9</x:v>
      </x:c>
      <x:c r="N46" t="str">
        <x:v>GRAVESEND PROPERTIES LLC | SENATOR STREET MANAGEMENT LLC | THIMIANA PROPERTIES LLC</x:v>
      </x:c>
      <x:c r="O46" t="str">
        <x:v>131 86 STREET, NY 11209 | 216 72 STREET, NY 11209 | 2168 WEST 6 STREET, NY 11223 | 2213 WEST 6 STREET, NY 11223 | 230 SENATOR STREET, NY 11220 | 2374 MCDONALD AVENUE, NY 11223 | 25 VILLAGE COURT, NY 11223 | 264 SENATOR STREET, NY 11220 | 266 SENATOR STREET, NY 11220</x:v>
      </x:c>
      <x:c r="P46" t="n">
        <x:v>3</x:v>
      </x:c>
      <x:c r="Q46" s="15" t="n">
        <x:v>1</x:v>
      </x:c>
      <x:c r="R46" t="n">
        <x:v>2</x:v>
      </x:c>
      <x:c r="S46" t="str">
        <x:v>Strong DOS address corroboration</x:v>
      </x:c>
      <x:c r="T46" t="str">
        <x:v>No</x:v>
      </x:c>
      <x:c r="U46" t="n">
        <x:v>100</x:v>
      </x:c>
      <x:c r="V46" t="str">
        <x:v>https://data.ny.gov/Economic-Development/Active-Corporations-Beginning-1800/n9v6-gdp6</x:v>
      </x:c>
    </x:row>
    <x:row r="47">
      <x:c r="A47" t="str">
        <x:v>DOS-3-046</x:v>
      </x:c>
      <x:c r="B47" t="str">
        <x:v>Not Mailed</x:v>
      </x:c>
      <x:c r="C47" s="55"/>
      <x:c r="D47" t="str">
        <x:v>No Response</x:v>
      </x:c>
      <x:c r="E47" t="str"/>
      <x:c r="F47" t="n">
        <x:v>3</x:v>
      </x:c>
      <x:c r="G47" t="str">
        <x:v>PROPERTY OWNER</x:v>
      </x:c>
      <x:c r="H47" t="str"/>
      <x:c r="I47" t="n">
        <x:v>0</x:v>
      </x:c>
      <x:c r="J47" t="str">
        <x:v>258-01 HILLSIDE AVENUE, FLORAL PARK, NY, 11004</x:v>
      </x:c>
      <x:c r="K47" t="str">
        <x:v>DOS address corroborated by ACRIS</x:v>
      </x:c>
      <x:c r="L47" t="n">
        <x:v>3</x:v>
      </x:c>
      <x:c r="M47" t="n">
        <x:v>9</x:v>
      </x:c>
      <x:c r="N47" t="str">
        <x:v>1949 STILLWELL ASSOCIATES LLC | 2441 ASTORIA ASSOCIATES LLC | 324 KNICKERBOCKER ASSOCIATES LLC</x:v>
      </x:c>
      <x:c r="O47" t="str">
        <x:v>1949-1975 STILLWELL AVENUE, NY 11223 | 24-29 31 STREET, NY 11102 | 318 KNICKERBOCKER AVENUE APT C1, NY 11237 | 318 KNICKERBOCKER AVENUE APT C2, NY 11237 | 318 KNICKERBOCKER AVENUE APT C3, NY 11237 | 318 KNICKERBOCKER AVENUE APT RS1, NY 11237 | 318 KNICKERBOCKER AVENUE APT RS2, NY 11237 | 318 KNICKERBOCKER AVENUE APT RS3, NY 11237 | 334 KNICKERBOCKER AVENUE APT C1, NY 11237</x:v>
      </x:c>
      <x:c r="P47" t="n">
        <x:v>3</x:v>
      </x:c>
      <x:c r="Q47" s="15" t="n">
        <x:v>1</x:v>
      </x:c>
      <x:c r="R47" t="n">
        <x:v>3</x:v>
      </x:c>
      <x:c r="S47" t="str">
        <x:v>Strong DOS address corroboration</x:v>
      </x:c>
      <x:c r="T47" t="str">
        <x:v>No</x:v>
      </x:c>
      <x:c r="U47" t="n">
        <x:v>100</x:v>
      </x:c>
      <x:c r="V47" t="str">
        <x:v>https://data.ny.gov/Economic-Development/Active-Corporations-Beginning-1800/n9v6-gdp6</x:v>
      </x:c>
    </x:row>
    <x:row r="48">
      <x:c r="A48" t="str">
        <x:v>DOS-3-047</x:v>
      </x:c>
      <x:c r="B48" t="str">
        <x:v>Not Mailed</x:v>
      </x:c>
      <x:c r="C48" s="55"/>
      <x:c r="D48" t="str">
        <x:v>No Response</x:v>
      </x:c>
      <x:c r="E48" t="str"/>
      <x:c r="F48" t="n">
        <x:v>3</x:v>
      </x:c>
      <x:c r="G48" t="str">
        <x:v>PROPERTY OWNER</x:v>
      </x:c>
      <x:c r="H48" t="str">
        <x:v>C/O DAVID C BOWEN</x:v>
      </x:c>
      <x:c r="I48" t="n">
        <x:v>1</x:v>
      </x:c>
      <x:c r="J48" t="str">
        <x:v>334 PARK PLACE, BROOKLYN, NY, 11238, US</x:v>
      </x:c>
      <x:c r="K48" t="str">
        <x:v>ACRIS deed-party address</x:v>
      </x:c>
      <x:c r="L48" t="n">
        <x:v>3</x:v>
      </x:c>
      <x:c r="M48" t="n">
        <x:v>9</x:v>
      </x:c>
      <x:c r="N48" t="str">
        <x:v>AREP CMBS LLC | BCM 96 PROSPECT LLC | BCM NOSTRAND AVENUE LLC</x:v>
      </x:c>
      <x:c r="O48" t="str">
        <x:v>738-740 NOSTRAND AVENUE, NY 11216 | 752 NOSTRAND AVENUE, NY 11216 | 758 NOSTRAND AVENUE, NY 11216 | 760 NOSTRAND AVENUE, NY 11216 | 762 NOSTRAND AVENUE, NY 11216 | 804 NOSTRAND AVENUE, NY 11216 | 820 NOSTRAND AVENUE, NY 11216 | 850-854 NOSTRAND AVENUE, NY 11225 | 96 PROSPECT PLACE APT 4, NY 11217</x:v>
      </x:c>
      <x:c r="P48" t="n">
        <x:v>3</x:v>
      </x:c>
      <x:c r="Q48" s="15" t="n">
        <x:v>1</x:v>
      </x:c>
      <x:c r="R48" t="n">
        <x:v>1</x:v>
      </x:c>
      <x:c r="S48" t="str">
        <x:v>Active-name matches only</x:v>
      </x:c>
      <x:c r="T48" t="str">
        <x:v>No</x:v>
      </x:c>
      <x:c r="U48" t="n">
        <x:v>100</x:v>
      </x:c>
      <x:c r="V48" t="str">
        <x:v>https://data.ny.gov/Economic-Development/Active-Corporations-Beginning-1800/n9v6-gdp6</x:v>
      </x:c>
    </x:row>
    <x:row r="49">
      <x:c r="A49" t="str">
        <x:v>DOS-3-048</x:v>
      </x:c>
      <x:c r="B49" t="str">
        <x:v>Not Mailed</x:v>
      </x:c>
      <x:c r="C49" s="55"/>
      <x:c r="D49" t="str">
        <x:v>No Response</x:v>
      </x:c>
      <x:c r="E49" t="str"/>
      <x:c r="F49" t="n">
        <x:v>3</x:v>
      </x:c>
      <x:c r="G49" t="str">
        <x:v>PROPERTY OWNER</x:v>
      </x:c>
      <x:c r="H49" t="str"/>
      <x:c r="I49" t="n">
        <x:v>0</x:v>
      </x:c>
      <x:c r="J49" t="str">
        <x:v>85 RAILROAD PLACE, SARATOGA SPRINGS, NY, 12866, US</x:v>
      </x:c>
      <x:c r="K49" t="str">
        <x:v>ACRIS deed-party address</x:v>
      </x:c>
      <x:c r="L49" t="n">
        <x:v>3</x:v>
      </x:c>
      <x:c r="M49" t="n">
        <x:v>9</x:v>
      </x:c>
      <x:c r="N49" t="str">
        <x:v>PRIME STORAGE BRONX MLK BOULEVARD LLC | PRIME STORAGE FIFTH AVENUE HARLEM LLC | PRIME STORAGE RED HOOK LLC</x:v>
      </x:c>
      <x:c r="O49" t="str">
        <x:v>100 IMLAY STREET, NY 11231 | 12-40 WEST 142 STREET, NY 10037 | 2340-2358 5 AVENUE, NY 10037 | 950 UNIVERSITY AVENUE, NY 10452 | 969 SUMMIT AVENUE, NY 10452 | 971 SUMMIT AVENUE, NY 10452 | 973 SUMMIT AVENUE, NY 10452 | UNIVERSITY AVENUE | WEST 142 STREET, NY 10037</x:v>
      </x:c>
      <x:c r="P49" t="n">
        <x:v>3</x:v>
      </x:c>
      <x:c r="Q49" s="15" t="n">
        <x:v>1</x:v>
      </x:c>
      <x:c r="R49" t="n">
        <x:v>1</x:v>
      </x:c>
      <x:c r="S49" t="str">
        <x:v>Active-name matches only</x:v>
      </x:c>
      <x:c r="T49" t="str">
        <x:v>No</x:v>
      </x:c>
      <x:c r="U49" t="n">
        <x:v>100</x:v>
      </x:c>
      <x:c r="V49" t="str">
        <x:v>https://data.ny.gov/Economic-Development/Active-Corporations-Beginning-1800/n9v6-gdp6</x:v>
      </x:c>
    </x:row>
    <x:row r="50">
      <x:c r="A50" t="str">
        <x:v>DOS-3-049</x:v>
      </x:c>
      <x:c r="B50" t="str">
        <x:v>Not Mailed</x:v>
      </x:c>
      <x:c r="C50" s="55"/>
      <x:c r="D50" t="str">
        <x:v>No Response</x:v>
      </x:c>
      <x:c r="E50" t="str"/>
      <x:c r="F50" t="n">
        <x:v>3</x:v>
      </x:c>
      <x:c r="G50" t="str">
        <x:v>PROPERTY OWNER</x:v>
      </x:c>
      <x:c r="H50" t="str"/>
      <x:c r="I50" t="n">
        <x:v>0</x:v>
      </x:c>
      <x:c r="J50" t="str">
        <x:v>8950 CYPRESS WATERS BLVD, COPPELL, TX, 75019, US</x:v>
      </x:c>
      <x:c r="K50" t="str">
        <x:v>ACRIS deed-party address</x:v>
      </x:c>
      <x:c r="L50" t="n">
        <x:v>3</x:v>
      </x:c>
      <x:c r="M50" t="n">
        <x:v>9</x:v>
      </x:c>
      <x:c r="N50" t="str">
        <x:v>NATIONSTAR MORTGAGE LLC | NATIONSTAR MORTGAGE LLC D B A MR COOPER | NATIONSTAR MORTGAGE LLC DBA MR COOPER</x:v>
      </x:c>
      <x:c r="O50" t="str">
        <x:v>133-29 AMBER STREET, NY 11414 | 213 CHESTER STREET, NY 11212 | 222A SCHAEFER STREET, NY 11207 | 422 UTICA AVENUE, NY 11213 | 599 EAST 49 STREET, NY 11203 | 606 EAST 91 STREET, NY 11236 | 69-43 ELIZABETH AVENUE, NY 11692 | 777 LOGAN STREET, NY 11208 | 833 LINCOLN PLACE, NY 11216</x:v>
      </x:c>
      <x:c r="P50" t="n">
        <x:v>0</x:v>
      </x:c>
      <x:c r="Q50" s="15" t="n">
        <x:v>0</x:v>
      </x:c>
      <x:c r="R50" t="n">
        <x:v>0</x:v>
      </x:c>
      <x:c r="S50" t="str">
        <x:v>Needs manual review</x:v>
      </x:c>
      <x:c r="T50" t="str">
        <x:v>No</x:v>
      </x:c>
      <x:c r="U50" t="n">
        <x:v>100</x:v>
      </x:c>
      <x:c r="V50" t="str">
        <x:v>https://data.ny.gov/Economic-Development/Active-Corporations-Beginning-1800/n9v6-gdp6</x:v>
      </x:c>
    </x:row>
    <x:row r="51">
      <x:c r="A51" t="str">
        <x:v>DOS-3-050</x:v>
      </x:c>
      <x:c r="B51" t="str">
        <x:v>Not Mailed</x:v>
      </x:c>
      <x:c r="C51" s="55"/>
      <x:c r="D51" t="str">
        <x:v>No Response</x:v>
      </x:c>
      <x:c r="E51" t="str"/>
      <x:c r="F51" t="n">
        <x:v>3</x:v>
      </x:c>
      <x:c r="G51" t="str">
        <x:v>PROPERTY OWNER</x:v>
      </x:c>
      <x:c r="H51" t="str"/>
      <x:c r="I51" t="n">
        <x:v>0</x:v>
      </x:c>
      <x:c r="J51" t="str">
        <x:v>93 4TH AVENUE, SUITE 1293, NEW YORK, NY, 10003, US</x:v>
      </x:c>
      <x:c r="K51" t="str">
        <x:v>ACRIS deed-party address</x:v>
      </x:c>
      <x:c r="L51" t="n">
        <x:v>3</x:v>
      </x:c>
      <x:c r="M51" t="n">
        <x:v>9</x:v>
      </x:c>
      <x:c r="N51" t="str">
        <x:v>TOWNHOUSE RENTAL V LLC | TOWNHOUSE RENTAL VI LLC | TOWNHOUSE RENTAL VII LLC</x:v>
      </x:c>
      <x:c r="O51" t="str">
        <x:v>154 WEST 9 STREET, NY 11231 | 161 WEST 9 STREET, NY 11231 | 163 WEST 9 STREET, NY 11231 | 168 SUMPTER STREET APT 6, NY 11233 | 280 SUYDAM STREET, NY 11237 | 290 NASSAU AVENUE, NY 11222 | 409 7 AVENUE APT 8, NY 11215 | 696 GRAND STREET, NY 11211 | 88 5 AVENUE, NY 11217</x:v>
      </x:c>
      <x:c r="P51" t="n">
        <x:v>3</x:v>
      </x:c>
      <x:c r="Q51" s="15" t="n">
        <x:v>1</x:v>
      </x:c>
      <x:c r="R51" t="n">
        <x:v>0</x:v>
      </x:c>
      <x:c r="S51" t="str">
        <x:v>Shared DOS address</x:v>
      </x:c>
      <x:c r="T51" t="str">
        <x:v>No</x:v>
      </x:c>
      <x:c r="U51" t="n">
        <x:v>100</x:v>
      </x:c>
      <x:c r="V51" t="str">
        <x:v>https://data.ny.gov/Economic-Development/Active-Corporations-Beginning-1800/n9v6-gdp6</x:v>
      </x:c>
    </x:row>
    <x:row r="52">
      <x:c r="A52" t="str">
        <x:v>DOS-3-051</x:v>
      </x:c>
      <x:c r="B52" t="str">
        <x:v>Not Mailed</x:v>
      </x:c>
      <x:c r="C52" s="55"/>
      <x:c r="D52" t="str">
        <x:v>No Response</x:v>
      </x:c>
      <x:c r="E52" t="str"/>
      <x:c r="F52" t="n">
        <x:v>3</x:v>
      </x:c>
      <x:c r="G52" t="str">
        <x:v>PROPERTY OWNER</x:v>
      </x:c>
      <x:c r="H52" t="str"/>
      <x:c r="I52" t="n">
        <x:v>0</x:v>
      </x:c>
      <x:c r="J52" t="str">
        <x:v>939  ONDERDONK AVE, RIDGEWOOD, NY, US</x:v>
      </x:c>
      <x:c r="K52" t="str">
        <x:v>ACRIS deed-party address</x:v>
      </x:c>
      <x:c r="L52" t="n">
        <x:v>3</x:v>
      </x:c>
      <x:c r="M52" t="n">
        <x:v>9</x:v>
      </x:c>
      <x:c r="N52" t="str">
        <x:v>E R W LLC | R E W LLC | W E R LLC</x:v>
      </x:c>
      <x:c r="O52" t="str">
        <x:v>10-44 WYCKOFF AVENUE, NY 11385 | 58-12 MYRTLE AVENUE, NY 11385 | 59-54 WOODBINE STREET, NY 11385 | 60 PLACE, NY 11385 | 617 GRANDVIEW AVENUE, NY 11385 | 66-90 60 PLACE, NY 11385 | 70-08 65 PLACE, NY 11385 | 877 WOODWARD AVENUE, NY 11385 | 939 ONDERDONK AVENUE, NY 11385</x:v>
      </x:c>
      <x:c r="P52" t="n">
        <x:v>0</x:v>
      </x:c>
      <x:c r="Q52" s="15" t="n">
        <x:v>0</x:v>
      </x:c>
      <x:c r="R52" t="n">
        <x:v>0</x:v>
      </x:c>
      <x:c r="S52" t="str">
        <x:v>Needs manual review</x:v>
      </x:c>
      <x:c r="T52" t="str">
        <x:v>No</x:v>
      </x:c>
      <x:c r="U52" t="n">
        <x:v>100</x:v>
      </x:c>
      <x:c r="V52" t="str">
        <x:v>https://data.ny.gov/Economic-Development/Active-Corporations-Beginning-1800/n9v6-gdp6</x:v>
      </x:c>
    </x:row>
    <x:row r="53">
      <x:c r="A53" t="str">
        <x:v>DOS-3-052</x:v>
      </x:c>
      <x:c r="B53" t="str">
        <x:v>Not Mailed</x:v>
      </x:c>
      <x:c r="C53" s="55"/>
      <x:c r="D53" t="str">
        <x:v>No Response</x:v>
      </x:c>
      <x:c r="E53" t="str"/>
      <x:c r="F53" t="n">
        <x:v>3</x:v>
      </x:c>
      <x:c r="G53" t="str">
        <x:v>PROPERTY OWNER</x:v>
      </x:c>
      <x:c r="H53" t="str"/>
      <x:c r="I53" t="n">
        <x:v>0</x:v>
      </x:c>
      <x:c r="J53" t="str">
        <x:v>129 BOERUM PLACE, OFC, BROOKLYN, NY, 11201</x:v>
      </x:c>
      <x:c r="K53" t="str">
        <x:v>DOS address corroborated by ACRIS</x:v>
      </x:c>
      <x:c r="L53" t="n">
        <x:v>3</x:v>
      </x:c>
      <x:c r="M53" t="n">
        <x:v>8</x:v>
      </x:c>
      <x:c r="N53" t="str">
        <x:v>70 HANSON PLACE LLC | BERGEN STREET HOLDING LLC | BOERUM PLACE PROPERTIES LLC</x:v>
      </x:c>
      <x:c r="O53" t="str">
        <x:v>129 BOERUM PLACE, NY 11201 | 47-49 BERGEN STREET, NY 11201 | 51-53 BERGEN STREET, NY 11201 | 55 BERGEN STREET, NY 11201 | 57 BERGEN STREET APT 10, NY 11201 | 61 BERGEN STREET, NY 11201 | 63 BERGEN STREET APT 8, NY 11201 | 70 HANSON PLACE, NY 11217</x:v>
      </x:c>
      <x:c r="P53" t="n">
        <x:v>2</x:v>
      </x:c>
      <x:c r="Q53" s="15" t="n">
        <x:v>0.6666666666666666</x:v>
      </x:c>
      <x:c r="R53" t="n">
        <x:v>2</x:v>
      </x:c>
      <x:c r="S53" t="str">
        <x:v>Strong DOS address corroboration</x:v>
      </x:c>
      <x:c r="T53" t="str">
        <x:v>No</x:v>
      </x:c>
      <x:c r="U53" t="n">
        <x:v>100</x:v>
      </x:c>
      <x:c r="V53" t="str">
        <x:v>https://data.ny.gov/Economic-Development/Active-Corporations-Beginning-1800/n9v6-gdp6</x:v>
      </x:c>
    </x:row>
    <x:row r="54">
      <x:c r="A54" t="str">
        <x:v>DOS-3-053</x:v>
      </x:c>
      <x:c r="B54" t="str">
        <x:v>Not Mailed</x:v>
      </x:c>
      <x:c r="C54" s="55"/>
      <x:c r="D54" t="str">
        <x:v>No Response</x:v>
      </x:c>
      <x:c r="E54" t="str"/>
      <x:c r="F54" t="n">
        <x:v>3</x:v>
      </x:c>
      <x:c r="G54" t="str">
        <x:v>PROPERTY OWNER</x:v>
      </x:c>
      <x:c r="H54" t="str">
        <x:v>WILF LAW FIRM LLP</x:v>
      </x:c>
      <x:c r="I54" t="n">
        <x:v>1</x:v>
      </x:c>
      <x:c r="J54" t="str">
        <x:v>13-15 WEST 54TH STREET, NEW YORK, NY, 10019, US</x:v>
      </x:c>
      <x:c r="K54" t="str">
        <x:v>ACRIS deed-party address</x:v>
      </x:c>
      <x:c r="L54" t="n">
        <x:v>3</x:v>
      </x:c>
      <x:c r="M54" t="n">
        <x:v>8</x:v>
      </x:c>
      <x:c r="N54" t="str">
        <x:v>10 W 55 LLC | 185 EAST 80TH STREET DEVELOPMENT LLC | 200 E79 RETAIL LLC</x:v>
      </x:c>
      <x:c r="O54" t="str">
        <x:v>10 WEST 55TH STREET, NY 10019 | 1410 3 AVENUE, NY 10028 | 1412 3 AVENUE, NY 10028 | 1416 3 AVENUE, NY 10028 | 183 EAST 80 STREET, NY 10075 | 185 EAST 80TH STREET, NY 10075 | 200 EAST 79 STREET APT COM-A, NY 10075 | 200 EAST 79 STREET APT COM-B, NY 10075</x:v>
      </x:c>
      <x:c r="P54" t="n">
        <x:v>3</x:v>
      </x:c>
      <x:c r="Q54" s="15" t="n">
        <x:v>1</x:v>
      </x:c>
      <x:c r="R54" t="n">
        <x:v>0</x:v>
      </x:c>
      <x:c r="S54" t="str">
        <x:v>Active-name matches only</x:v>
      </x:c>
      <x:c r="T54" t="str">
        <x:v>No</x:v>
      </x:c>
      <x:c r="U54" t="n">
        <x:v>100</x:v>
      </x:c>
      <x:c r="V54" t="str">
        <x:v>https://data.ny.gov/Economic-Development/Active-Corporations-Beginning-1800/n9v6-gdp6</x:v>
      </x:c>
    </x:row>
    <x:row r="55">
      <x:c r="A55" t="str">
        <x:v>DOS-3-054</x:v>
      </x:c>
      <x:c r="B55" t="str">
        <x:v>Not Mailed</x:v>
      </x:c>
      <x:c r="C55" s="55"/>
      <x:c r="D55" t="str">
        <x:v>No Response</x:v>
      </x:c>
      <x:c r="E55" t="str"/>
      <x:c r="F55" t="n">
        <x:v>3</x:v>
      </x:c>
      <x:c r="G55" t="str">
        <x:v>PROPERTY OWNER</x:v>
      </x:c>
      <x:c r="H55" t="str"/>
      <x:c r="I55" t="n">
        <x:v>0</x:v>
      </x:c>
      <x:c r="J55" t="str">
        <x:v>1400 BROADWAY, 15TH FLOOR, NEW YORK, NY, 10018, US</x:v>
      </x:c>
      <x:c r="K55" t="str">
        <x:v>ACRIS deed-party address</x:v>
      </x:c>
      <x:c r="L55" t="n">
        <x:v>3</x:v>
      </x:c>
      <x:c r="M55" t="n">
        <x:v>8</x:v>
      </x:c>
      <x:c r="N55" t="str">
        <x:v>80 PARK PHB LLC | EMMONS AVENUE MARINA LLC | NBR LLC</x:v>
      </x:c>
      <x:c r="O55" t="str">
        <x:v>2733 PLUMB 1 STREET, NY 11235 | 2771 KNAPP STREET, NY 11235 | 3939 EMMONS AVENUE, NY 11234 | 4922 5 AVENUE, NY 11220 | 494 5 AVENUE, NY 11215 | 5110 5 AVENUE, NY 11220 | 5414 5 AVENUE, NY 11220 | 80 PARK AVENUE APT PHB, NY 10016</x:v>
      </x:c>
      <x:c r="P55" t="n">
        <x:v>1</x:v>
      </x:c>
      <x:c r="Q55" s="15" t="n">
        <x:v>0.3333333333333333</x:v>
      </x:c>
      <x:c r="R55" t="n">
        <x:v>0</x:v>
      </x:c>
      <x:c r="S55" t="str">
        <x:v>Needs manual review</x:v>
      </x:c>
      <x:c r="T55" t="str">
        <x:v>No</x:v>
      </x:c>
      <x:c r="U55" t="n">
        <x:v>100</x:v>
      </x:c>
      <x:c r="V55" t="str">
        <x:v>https://data.ny.gov/Economic-Development/Active-Corporations-Beginning-1800/n9v6-gdp6</x:v>
      </x:c>
    </x:row>
    <x:row r="56">
      <x:c r="A56" t="str">
        <x:v>DOS-3-055</x:v>
      </x:c>
      <x:c r="B56" t="str">
        <x:v>Not Mailed</x:v>
      </x:c>
      <x:c r="C56" s="55"/>
      <x:c r="D56" t="str">
        <x:v>No Response</x:v>
      </x:c>
      <x:c r="E56" t="str"/>
      <x:c r="F56" t="n">
        <x:v>3</x:v>
      </x:c>
      <x:c r="G56" t="str">
        <x:v>PROPERTY OWNER</x:v>
      </x:c>
      <x:c r="H56" t="str">
        <x:v>ZANNIS S. ANGELIDAKIS</x:v>
      </x:c>
      <x:c r="I56" t="n">
        <x:v>1</x:v>
      </x:c>
      <x:c r="J56" t="str">
        <x:v>46 TRINITY PLACE, 4TH FLOOR, NEW YORK, NY, 10006</x:v>
      </x:c>
      <x:c r="K56" t="str">
        <x:v>DOS address corroborated by ACRIS</x:v>
      </x:c>
      <x:c r="L56" t="n">
        <x:v>3</x:v>
      </x:c>
      <x:c r="M56" t="n">
        <x:v>8</x:v>
      </x:c>
      <x:c r="N56" t="str">
        <x:v>1230 FRANKLIN LLC | ALBERT ROAD APARTMENTS LLC | OP APARTMENTS LLC</x:v>
      </x:c>
      <x:c r="O56" t="str">
        <x:v>1230 FRANKLIN AVENUE, NY 10456 | 1232 FRANKLIN AVENUE, NY 10456 | 150-42 99 PLACE, NY 11417 | 150-44 99 PLACE, NY 11417 | 150-48 99 PLACE, NY 11417 | 99-05 ALBERT ROAD, NY 11417 | 99-07 ALBERT ROAD, NY 11417 | 99-11 ALBERT ROAD, NY 11417</x:v>
      </x:c>
      <x:c r="P56" t="n">
        <x:v>3</x:v>
      </x:c>
      <x:c r="Q56" s="15" t="n">
        <x:v>1</x:v>
      </x:c>
      <x:c r="R56" t="n">
        <x:v>1</x:v>
      </x:c>
      <x:c r="S56" t="str">
        <x:v>Shared DOS address</x:v>
      </x:c>
      <x:c r="T56" t="str">
        <x:v>No</x:v>
      </x:c>
      <x:c r="U56" t="n">
        <x:v>100</x:v>
      </x:c>
      <x:c r="V56" t="str">
        <x:v>https://data.ny.gov/Economic-Development/Active-Corporations-Beginning-1800/n9v6-gdp6</x:v>
      </x:c>
    </x:row>
    <x:row r="57">
      <x:c r="A57" t="str">
        <x:v>DOS-3-056</x:v>
      </x:c>
      <x:c r="B57" t="str">
        <x:v>Not Mailed</x:v>
      </x:c>
      <x:c r="C57" s="55"/>
      <x:c r="D57" t="str">
        <x:v>No Response</x:v>
      </x:c>
      <x:c r="E57" t="str"/>
      <x:c r="F57" t="n">
        <x:v>3</x:v>
      </x:c>
      <x:c r="G57" t="str">
        <x:v>C/O ISIDOR D. FRIEDENBERG, ESQ.</x:v>
      </x:c>
      <x:c r="H57" t="str">
        <x:v>C/O ISIDOR D. FRIEDENBERG, ESQ.</x:v>
      </x:c>
      <x:c r="I57" t="n">
        <x:v>2</x:v>
      </x:c>
      <x:c r="J57" t="str">
        <x:v>2 CARA DRIVE, SUFFERN, NY, 10901</x:v>
      </x:c>
      <x:c r="K57" t="str">
        <x:v>DOS address corroborated by ACRIS</x:v>
      </x:c>
      <x:c r="L57" t="n">
        <x:v>3</x:v>
      </x:c>
      <x:c r="M57" t="n">
        <x:v>8</x:v>
      </x:c>
      <x:c r="N57" t="str">
        <x:v>LIGHT PROPERTY HOLDINGS ASSOCIATES LLC | SV OPERATING I LLC | WART REALTY II LLC</x:v>
      </x:c>
      <x:c r="O57" t="str">
        <x:v>2305 SEWARD AVENUE, NY 10473 | 24 GEORGIA AVENUE, NY 11207 | 2576 FULTON STREET, NY 11207 | 2586 FULTON STREET, NY 11207 | 28 GEORGIA AVENUE, NY 11207 | 33-35 GEORGIA AVENUE, NY 11207 | 612 ALLERTON AVENUE, NY 10467 | 720 HAVEMEYER AVENUE, NY 10473</x:v>
      </x:c>
      <x:c r="P57" t="n">
        <x:v>3</x:v>
      </x:c>
      <x:c r="Q57" s="15" t="n">
        <x:v>1</x:v>
      </x:c>
      <x:c r="R57" t="n">
        <x:v>3</x:v>
      </x:c>
      <x:c r="S57" t="str">
        <x:v>Strong DOS address corroboration</x:v>
      </x:c>
      <x:c r="T57" t="str">
        <x:v>No</x:v>
      </x:c>
      <x:c r="U57" t="n">
        <x:v>100</x:v>
      </x:c>
      <x:c r="V57" t="str">
        <x:v>https://data.ny.gov/Economic-Development/Active-Corporations-Beginning-1800/n9v6-gdp6</x:v>
      </x:c>
    </x:row>
    <x:row r="58">
      <x:c r="A58" t="str">
        <x:v>DOS-3-057</x:v>
      </x:c>
      <x:c r="B58" t="str">
        <x:v>Not Mailed</x:v>
      </x:c>
      <x:c r="C58" s="55"/>
      <x:c r="D58" t="str">
        <x:v>No Response</x:v>
      </x:c>
      <x:c r="E58" t="str"/>
      <x:c r="F58" t="n">
        <x:v>3</x:v>
      </x:c>
      <x:c r="G58" t="str">
        <x:v>PROPERTY OWNER</x:v>
      </x:c>
      <x:c r="H58" t="str"/>
      <x:c r="I58" t="n">
        <x:v>0</x:v>
      </x:c>
      <x:c r="J58" t="str">
        <x:v>20 RENWICK STREET, NEW YORK, NY, 10013</x:v>
      </x:c>
      <x:c r="K58" t="str">
        <x:v>DOS address corroborated by ACRIS</x:v>
      </x:c>
      <x:c r="L58" t="n">
        <x:v>3</x:v>
      </x:c>
      <x:c r="M58" t="n">
        <x:v>8</x:v>
      </x:c>
      <x:c r="N58" t="str">
        <x:v>20 RENWICK LLC | 285 THIRD LLC | 524 BEACH LLC</x:v>
      </x:c>
      <x:c r="O58" t="str">
        <x:v>20 RENWICK STREET APT 12, NY 10013 | 20 RENWICK STREET APT 2, NY 10013 | 20 RENWICK STREET APT 3, NY 10013 | 20 RENWICK STREET APT 8, NY 10013 | 20 RENWICK STREET APT AB, NY 10013 | 20 RENWICK STREET APT COM, NY 10013 | 285 3 AVENUE, NY 11215 | BEACH 43 STREET</x:v>
      </x:c>
      <x:c r="P58" t="n">
        <x:v>3</x:v>
      </x:c>
      <x:c r="Q58" s="15" t="n">
        <x:v>1</x:v>
      </x:c>
      <x:c r="R58" t="n">
        <x:v>3</x:v>
      </x:c>
      <x:c r="S58" t="str">
        <x:v>Strong DOS address corroboration</x:v>
      </x:c>
      <x:c r="T58" t="str">
        <x:v>No</x:v>
      </x:c>
      <x:c r="U58" t="n">
        <x:v>100</x:v>
      </x:c>
      <x:c r="V58" t="str">
        <x:v>https://data.ny.gov/Economic-Development/Active-Corporations-Beginning-1800/n9v6-gdp6</x:v>
      </x:c>
    </x:row>
    <x:row r="59">
      <x:c r="A59" t="str">
        <x:v>DOS-3-058</x:v>
      </x:c>
      <x:c r="B59" t="str">
        <x:v>Not Mailed</x:v>
      </x:c>
      <x:c r="C59" s="55"/>
      <x:c r="D59" t="str">
        <x:v>No Response</x:v>
      </x:c>
      <x:c r="E59" t="str"/>
      <x:c r="F59" t="n">
        <x:v>3</x:v>
      </x:c>
      <x:c r="G59" t="str">
        <x:v>PROPERTY OWNER</x:v>
      </x:c>
      <x:c r="H59" t="str"/>
      <x:c r="I59" t="n">
        <x:v>0</x:v>
      </x:c>
      <x:c r="J59" t="str">
        <x:v>200 S. BISCAYNE BLVD, SUITE 3550, MIAMI, FL, 33131, US</x:v>
      </x:c>
      <x:c r="K59" t="str">
        <x:v>ACRIS deed-party address</x:v>
      </x:c>
      <x:c r="L59" t="n">
        <x:v>3</x:v>
      </x:c>
      <x:c r="M59" t="n">
        <x:v>8</x:v>
      </x:c>
      <x:c r="N59" t="str">
        <x:v>RREF IV D DLI GS BROOKLYN LLC | RSS UBSCM2018 C9 NY M3S LLC | RSS WFCM 2015 LC20 NY 377 LLC</x:v>
      </x:c>
      <x:c r="O59" t="str">
        <x:v>1175 BEDFORD AVENUE, NY 11216 | 22-24 WEST 38 STREET, NY 10018 | 228 MANHATTAN AVENUE, NY 11206 | 331 MELROSE STREET, NY 11237 | 377 BROADWAY APT A, NY 10013 | 377 BROADWAY APT B, NY 10013</x:v>
      </x:c>
      <x:c r="P59" t="n">
        <x:v>3</x:v>
      </x:c>
      <x:c r="Q59" s="15" t="n">
        <x:v>1</x:v>
      </x:c>
      <x:c r="R59" t="n">
        <x:v>0</x:v>
      </x:c>
      <x:c r="S59" t="str">
        <x:v>Shared DOS address</x:v>
      </x:c>
      <x:c r="T59" t="str">
        <x:v>No</x:v>
      </x:c>
      <x:c r="U59" t="n">
        <x:v>100</x:v>
      </x:c>
      <x:c r="V59" t="str">
        <x:v>https://data.ny.gov/Economic-Development/Active-Corporations-Beginning-1800/n9v6-gdp6</x:v>
      </x:c>
    </x:row>
    <x:row r="60">
      <x:c r="A60" t="str">
        <x:v>DOS-3-059</x:v>
      </x:c>
      <x:c r="B60" t="str">
        <x:v>Not Mailed</x:v>
      </x:c>
      <x:c r="C60" s="55"/>
      <x:c r="D60" t="str">
        <x:v>No Response</x:v>
      </x:c>
      <x:c r="E60" t="str"/>
      <x:c r="F60" t="n">
        <x:v>3</x:v>
      </x:c>
      <x:c r="G60" t="str">
        <x:v>PROPERTY OWNER</x:v>
      </x:c>
      <x:c r="H60" t="str"/>
      <x:c r="I60" t="n">
        <x:v>0</x:v>
      </x:c>
      <x:c r="J60" t="str">
        <x:v>208 DRIGGS AVENUE, BROOKLYN, NY, 11222, US</x:v>
      </x:c>
      <x:c r="K60" t="str">
        <x:v>ACRIS deed-party address</x:v>
      </x:c>
      <x:c r="L60" t="n">
        <x:v>3</x:v>
      </x:c>
      <x:c r="M60" t="n">
        <x:v>8</x:v>
      </x:c>
      <x:c r="N60" t="str">
        <x:v>APEX FORRESTER LLC | GREEN ACRES H C LLC | Q ROCK LLC</x:v>
      </x:c>
      <x:c r="O60" t="str">
        <x:v>206-208 DRIGGS AVENUE, NY 11222 | 21 BROOME STREET APT P 1, NY 11222 | 21 BROOME STREET APT P 12, NY 11222 | 21 BROOME STREET APT P 15, NY 11222 | 21 BROOME STREET APT P 16, NY 11222 | 21 BROOME STREET APT P 7, NY 11222 | 21 BROOME STREET APT TWR-A, NY 11222 | 21 BROOME STREET APT TWR-B, NY 11222</x:v>
      </x:c>
      <x:c r="P60" t="n">
        <x:v>3</x:v>
      </x:c>
      <x:c r="Q60" s="15" t="n">
        <x:v>1</x:v>
      </x:c>
      <x:c r="R60" t="n">
        <x:v>0</x:v>
      </x:c>
      <x:c r="S60" t="str">
        <x:v>Shared DOS address</x:v>
      </x:c>
      <x:c r="T60" t="str">
        <x:v>No</x:v>
      </x:c>
      <x:c r="U60" t="n">
        <x:v>100</x:v>
      </x:c>
      <x:c r="V60" t="str">
        <x:v>https://data.ny.gov/Economic-Development/Active-Corporations-Beginning-1800/n9v6-gdp6</x:v>
      </x:c>
    </x:row>
    <x:row r="61">
      <x:c r="A61" t="str">
        <x:v>DOS-3-060</x:v>
      </x:c>
      <x:c r="B61" t="str">
        <x:v>Not Mailed</x:v>
      </x:c>
      <x:c r="C61" s="55"/>
      <x:c r="D61" t="str">
        <x:v>No Response</x:v>
      </x:c>
      <x:c r="E61" t="str"/>
      <x:c r="F61" t="n">
        <x:v>3</x:v>
      </x:c>
      <x:c r="G61" t="str">
        <x:v>PROPERTY OWNER</x:v>
      </x:c>
      <x:c r="H61" t="str"/>
      <x:c r="I61" t="n">
        <x:v>0</x:v>
      </x:c>
      <x:c r="J61" t="str">
        <x:v>25 MARKET STREET, NEW YORK, NY, 10002</x:v>
      </x:c>
      <x:c r="K61" t="str">
        <x:v>DOS address corroborated by ACRIS</x:v>
      </x:c>
      <x:c r="L61" t="n">
        <x:v>3</x:v>
      </x:c>
      <x:c r="M61" t="n">
        <x:v>8</x:v>
      </x:c>
      <x:c r="N61" t="str">
        <x:v>8306 BROADWAY LLC | FMJ DEVELOPMENT NY LLC | GOLDEN OX REALTY ER LLC</x:v>
      </x:c>
      <x:c r="O61" t="str">
        <x:v>2 SOUTH END AVENUE APT T1, NY 10280 | 42-31 COLDEN STREET APT F1B, NY 11355 | 42-31 COLDEN STREET APT FCA, NY 11355 | 42-31 COLDEN STREET APT P15, NY 11355 | 42-31 COLDEN STREET APT P16, NY 11355 | 42-31 COLDEN STREET APT P6, NY 11355 | 42-31 COLDEN STREET APT P9, NY 11355 | 83-04-83-06 BROADWAY, NY 11373</x:v>
      </x:c>
      <x:c r="P61" t="n">
        <x:v>3</x:v>
      </x:c>
      <x:c r="Q61" s="15" t="n">
        <x:v>1</x:v>
      </x:c>
      <x:c r="R61" t="n">
        <x:v>3</x:v>
      </x:c>
      <x:c r="S61" t="str">
        <x:v>Strong DOS address corroboration</x:v>
      </x:c>
      <x:c r="T61" t="str">
        <x:v>No</x:v>
      </x:c>
      <x:c r="U61" t="n">
        <x:v>100</x:v>
      </x:c>
      <x:c r="V61" t="str">
        <x:v>https://data.ny.gov/Economic-Development/Active-Corporations-Beginning-1800/n9v6-gdp6</x:v>
      </x:c>
    </x:row>
    <x:row r="62">
      <x:c r="A62" t="str">
        <x:v>DOS-3-061</x:v>
      </x:c>
      <x:c r="B62" t="str">
        <x:v>Not Mailed</x:v>
      </x:c>
      <x:c r="C62" s="55"/>
      <x:c r="D62" t="str">
        <x:v>No Response</x:v>
      </x:c>
      <x:c r="E62" t="str"/>
      <x:c r="F62" t="n">
        <x:v>3</x:v>
      </x:c>
      <x:c r="G62" t="str">
        <x:v>PROPERTY OWNER</x:v>
      </x:c>
      <x:c r="H62" t="str"/>
      <x:c r="I62" t="n">
        <x:v>0</x:v>
      </x:c>
      <x:c r="J62" t="str">
        <x:v>2727 NORTH CENTRAL AVENUE, PHOENIX, AZ, 85004, US</x:v>
      </x:c>
      <x:c r="K62" t="str">
        <x:v>ACRIS deed-party address</x:v>
      </x:c>
      <x:c r="L62" t="n">
        <x:v>3</x:v>
      </x:c>
      <x:c r="M62" t="n">
        <x:v>8</x:v>
      </x:c>
      <x:c r="N62" t="str">
        <x:v>AREC 13 LLC | AREC 6 LLC | AREC 9 LLC</x:v>
      </x:c>
      <x:c r="O62" t="str">
        <x:v>356 WALTON AVENUE, NY 10451 | 367-375 GRAND CONCOURSE, NY 10451 | 391-393 GRAND CONCOURSE, NY 10451 | 394-398 4 AVENUE, NY 11215 | 395 GRAND CONCOURSE, NY 10451 | 6607-6611 NEW UTRECHT AVENUE, NY 11219 | WALTON AVENUE</x:v>
      </x:c>
      <x:c r="P62" t="n">
        <x:v>3</x:v>
      </x:c>
      <x:c r="Q62" s="15" t="n">
        <x:v>1</x:v>
      </x:c>
      <x:c r="R62" t="n">
        <x:v>0</x:v>
      </x:c>
      <x:c r="S62" t="str">
        <x:v>Shared DOS address</x:v>
      </x:c>
      <x:c r="T62" t="str">
        <x:v>No</x:v>
      </x:c>
      <x:c r="U62" t="n">
        <x:v>100</x:v>
      </x:c>
      <x:c r="V62" t="str">
        <x:v>https://data.ny.gov/Economic-Development/Active-Corporations-Beginning-1800/n9v6-gdp6</x:v>
      </x:c>
    </x:row>
    <x:row r="63">
      <x:c r="A63" t="str">
        <x:v>DOS-3-062</x:v>
      </x:c>
      <x:c r="B63" t="str">
        <x:v>Not Mailed</x:v>
      </x:c>
      <x:c r="C63" s="55"/>
      <x:c r="D63" t="str">
        <x:v>No Response</x:v>
      </x:c>
      <x:c r="E63" t="str"/>
      <x:c r="F63" t="n">
        <x:v>3</x:v>
      </x:c>
      <x:c r="G63" t="str">
        <x:v>PROPERTY OWNER</x:v>
      </x:c>
      <x:c r="H63" t="str">
        <x:v>PRYOR CASHMAN LLP</x:v>
      </x:c>
      <x:c r="I63" t="n">
        <x:v>1</x:v>
      </x:c>
      <x:c r="J63" t="str">
        <x:v>40 WEST 57TH STREET, 29TH FLOOR, NEW YORK, NY, 10019, US</x:v>
      </x:c>
      <x:c r="K63" t="str">
        <x:v>ACRIS deed-party address</x:v>
      </x:c>
      <x:c r="L63" t="n">
        <x:v>3</x:v>
      </x:c>
      <x:c r="M63" t="n">
        <x:v>8</x:v>
      </x:c>
      <x:c r="N63" t="str">
        <x:v>5 12 51ST AVENUE OWNERS LLC | ATLAS VI DEKALB LLC | PARK ROW OWNER LLC</x:v>
      </x:c>
      <x:c r="O63" t="str">
        <x:v>15 PARK ROW APT COMM, NY 10038 | 15 PARK ROW APT PH, NY 10038 | 15 PARK ROW APT RES, NY 10038 | 15 PARK ROW, NY 10038 | 19 ANN STREET, NY 10038 | 5-12 51 AVENUE, NY 11101 | 80 DEKALB AVENUE, NY 11201</x:v>
      </x:c>
      <x:c r="P63" t="n">
        <x:v>3</x:v>
      </x:c>
      <x:c r="Q63" s="15" t="n">
        <x:v>1</x:v>
      </x:c>
      <x:c r="R63" t="n">
        <x:v>0</x:v>
      </x:c>
      <x:c r="S63" t="str">
        <x:v>Active-name matches only</x:v>
      </x:c>
      <x:c r="T63" t="str">
        <x:v>No</x:v>
      </x:c>
      <x:c r="U63" t="n">
        <x:v>100</x:v>
      </x:c>
      <x:c r="V63" t="str">
        <x:v>https://data.ny.gov/Economic-Development/Active-Corporations-Beginning-1800/n9v6-gdp6</x:v>
      </x:c>
    </x:row>
    <x:row r="64">
      <x:c r="A64" t="str">
        <x:v>DOS-3-063</x:v>
      </x:c>
      <x:c r="B64" t="str">
        <x:v>Not Mailed</x:v>
      </x:c>
      <x:c r="C64" s="55"/>
      <x:c r="D64" t="str">
        <x:v>No Response</x:v>
      </x:c>
      <x:c r="E64" t="str"/>
      <x:c r="F64" t="n">
        <x:v>3</x:v>
      </x:c>
      <x:c r="G64" t="str">
        <x:v>PROPERTY OWNER</x:v>
      </x:c>
      <x:c r="H64" t="str"/>
      <x:c r="I64" t="n">
        <x:v>0</x:v>
      </x:c>
      <x:c r="J64" t="str">
        <x:v>411 BRYANT AVE., BRONX, NY, 10474</x:v>
      </x:c>
      <x:c r="K64" t="str">
        <x:v>DOS address corroborated by ACRIS</x:v>
      </x:c>
      <x:c r="L64" t="n">
        <x:v>3</x:v>
      </x:c>
      <x:c r="M64" t="n">
        <x:v>8</x:v>
      </x:c>
      <x:c r="N64" t="str">
        <x:v>MESTOUSIS DEVELOPMENT LLC | MESTOUSIS ENTERPRISES LLC | MESTOUSIS LLC</x:v>
      </x:c>
      <x:c r="O64" t="str">
        <x:v>1141 LEGGETT AVENUE, NY 10474 | 1250 OAK POINT AVENUE, NY 10474 | 1361 RANDALL AVENUE, NY 10474 | 1380 RANDALL AVENUE, NY 10474 | 550 HUNTS POINT AVENUE, NY 10474 | 638 LONGFELLOW AVENUE, NY 10474 | 660-662 HUNTS POINT AVENUE, NY 10474 | DRAKE STREET, NY 10474</x:v>
      </x:c>
      <x:c r="P64" t="n">
        <x:v>3</x:v>
      </x:c>
      <x:c r="Q64" s="15" t="n">
        <x:v>1</x:v>
      </x:c>
      <x:c r="R64" t="n">
        <x:v>3</x:v>
      </x:c>
      <x:c r="S64" t="str">
        <x:v>Strong DOS address corroboration</x:v>
      </x:c>
      <x:c r="T64" t="str">
        <x:v>No</x:v>
      </x:c>
      <x:c r="U64" t="n">
        <x:v>100</x:v>
      </x:c>
      <x:c r="V64" t="str">
        <x:v>https://data.ny.gov/Economic-Development/Active-Corporations-Beginning-1800/n9v6-gdp6</x:v>
      </x:c>
    </x:row>
    <x:row r="65">
      <x:c r="A65" t="str">
        <x:v>DOS-3-064</x:v>
      </x:c>
      <x:c r="B65" t="str">
        <x:v>Not Mailed</x:v>
      </x:c>
      <x:c r="C65" s="55"/>
      <x:c r="D65" t="str">
        <x:v>No Response</x:v>
      </x:c>
      <x:c r="E65" t="str"/>
      <x:c r="F65" t="n">
        <x:v>3</x:v>
      </x:c>
      <x:c r="G65" t="str">
        <x:v>PROPERTY OWNER</x:v>
      </x:c>
      <x:c r="H65" t="str"/>
      <x:c r="I65" t="n">
        <x:v>0</x:v>
      </x:c>
      <x:c r="J65" t="str">
        <x:v>61 HARRISON AVENUE, BROOKLYN, NY, 11211, US</x:v>
      </x:c>
      <x:c r="K65" t="str">
        <x:v>ACRIS deed-party address</x:v>
      </x:c>
      <x:c r="L65" t="n">
        <x:v>3</x:v>
      </x:c>
      <x:c r="M65" t="n">
        <x:v>8</x:v>
      </x:c>
      <x:c r="N65" t="str">
        <x:v>1534 41ST LLC | 1559 DEAN LLC | 190 MIDDLETON LLC</x:v>
      </x:c>
      <x:c r="O65" t="str">
        <x:v>1534 41 STREET, NY 11218 | 1559 DEAN STREET, NY 11213 | 1563 DEAN STREET, NY 11213 | 190 MIDDLETON STREET, NY 11206 | 92 TROY AVENUE, NY 11213 | 94 TROY AVENUE, NY 11213 | 96 TROY AVENUE, NY 11213 | 98 TROY AVENUE, NY 11213</x:v>
      </x:c>
      <x:c r="P65" t="n">
        <x:v>3</x:v>
      </x:c>
      <x:c r="Q65" s="15" t="n">
        <x:v>1</x:v>
      </x:c>
      <x:c r="R65" t="n">
        <x:v>0</x:v>
      </x:c>
      <x:c r="S65" t="str">
        <x:v>Active-name matches only</x:v>
      </x:c>
      <x:c r="T65" t="str">
        <x:v>No</x:v>
      </x:c>
      <x:c r="U65" t="n">
        <x:v>100</x:v>
      </x:c>
      <x:c r="V65" t="str">
        <x:v>https://data.ny.gov/Economic-Development/Active-Corporations-Beginning-1800/n9v6-gdp6</x:v>
      </x:c>
    </x:row>
    <x:row r="66">
      <x:c r="A66" t="str">
        <x:v>DOS-3-065</x:v>
      </x:c>
      <x:c r="B66" t="str">
        <x:v>Not Mailed</x:v>
      </x:c>
      <x:c r="C66" s="55"/>
      <x:c r="D66" t="str">
        <x:v>No Response</x:v>
      </x:c>
      <x:c r="E66" t="str"/>
      <x:c r="F66" t="n">
        <x:v>3</x:v>
      </x:c>
      <x:c r="G66" t="str">
        <x:v>PROPERTY OWNER</x:v>
      </x:c>
      <x:c r="H66" t="str"/>
      <x:c r="I66" t="n">
        <x:v>0</x:v>
      </x:c>
      <x:c r="J66" t="str">
        <x:v>719 EMPIRE AVENUE, FAR ROCKAWAY, NY, 11691</x:v>
      </x:c>
      <x:c r="K66" t="str">
        <x:v>DOS address corroborated by ACRIS</x:v>
      </x:c>
      <x:c r="L66" t="n">
        <x:v>3</x:v>
      </x:c>
      <x:c r="M66" t="n">
        <x:v>8</x:v>
      </x:c>
      <x:c r="N66" t="str">
        <x:v>107 BEACH 31 LLC | DLMAO LLC | STUMT HOLDINGS LLC</x:v>
      </x:c>
      <x:c r="O66" t="str">
        <x:v>11-18 BAYPORT PLACE, NY 11691 | 11-40 BAYPORT PLACE, NY 11691 | 478 BEACH 46 STREET, NY 11691 | MOBILE ROAD</x:v>
      </x:c>
      <x:c r="P66" t="n">
        <x:v>3</x:v>
      </x:c>
      <x:c r="Q66" s="15" t="n">
        <x:v>1</x:v>
      </x:c>
      <x:c r="R66" t="n">
        <x:v>3</x:v>
      </x:c>
      <x:c r="S66" t="str">
        <x:v>Strong DOS address corroboration</x:v>
      </x:c>
      <x:c r="T66" t="str">
        <x:v>No</x:v>
      </x:c>
      <x:c r="U66" t="n">
        <x:v>100</x:v>
      </x:c>
      <x:c r="V66" t="str">
        <x:v>https://data.ny.gov/Economic-Development/Active-Corporations-Beginning-1800/n9v6-gdp6</x:v>
      </x:c>
    </x:row>
    <x:row r="67">
      <x:c r="A67" t="str">
        <x:v>DOS-3-066</x:v>
      </x:c>
      <x:c r="B67" t="str">
        <x:v>Not Mailed</x:v>
      </x:c>
      <x:c r="C67" s="55"/>
      <x:c r="D67" t="str">
        <x:v>No Response</x:v>
      </x:c>
      <x:c r="E67" t="str"/>
      <x:c r="F67" t="n">
        <x:v>3</x:v>
      </x:c>
      <x:c r="G67" t="str">
        <x:v>DEMETRIOS DAVIOTIS</x:v>
      </x:c>
      <x:c r="H67" t="str">
        <x:v>DEMETRIOS DAVIOTIS</x:v>
      </x:c>
      <x:c r="I67" t="n">
        <x:v>3</x:v>
      </x:c>
      <x:c r="J67" t="str">
        <x:v>8-51 ASTORIA BOULEVARD, ASTORIA, NY, 11102, US</x:v>
      </x:c>
      <x:c r="K67" t="str">
        <x:v>ACRIS deed-party address</x:v>
      </x:c>
      <x:c r="L67" t="n">
        <x:v>3</x:v>
      </x:c>
      <x:c r="M67" t="n">
        <x:v>8</x:v>
      </x:c>
      <x:c r="N67" t="str">
        <x:v>2820 DITMARS LLC | LITO PROPERTIES LLC | PLAKA PROPERTIES LLC</x:v>
      </x:c>
      <x:c r="O67" t="str">
        <x:v>149-36 12 AVENUE, NY 11357 | 23-21 33 STREET, NY 11105 | 24-50 28 STREET, NY 11102 | 28-20 DITMARS BOULEVARD, NY 11105 | 40-12 23 AVENUE, NY 11105 | 8-51-8-53 ASTORIA BOULEVARD, NY 11102 | 8-57 ASTORIA BOULEVARD, NY 11102 | 9-23 27 AVENUE, NY 11102</x:v>
      </x:c>
      <x:c r="P67" t="n">
        <x:v>3</x:v>
      </x:c>
      <x:c r="Q67" s="15" t="n">
        <x:v>1</x:v>
      </x:c>
      <x:c r="R67" t="n">
        <x:v>0</x:v>
      </x:c>
      <x:c r="S67" t="str">
        <x:v>Shared DOS address</x:v>
      </x:c>
      <x:c r="T67" t="str">
        <x:v>No</x:v>
      </x:c>
      <x:c r="U67" t="n">
        <x:v>100</x:v>
      </x:c>
      <x:c r="V67" t="str">
        <x:v>https://data.ny.gov/Economic-Development/Active-Corporations-Beginning-1800/n9v6-gdp6</x:v>
      </x:c>
    </x:row>
    <x:row r="68">
      <x:c r="A68" t="str">
        <x:v>DOS-3-067</x:v>
      </x:c>
      <x:c r="B68" t="str">
        <x:v>Not Mailed</x:v>
      </x:c>
      <x:c r="C68" s="55"/>
      <x:c r="D68" t="str">
        <x:v>No Response</x:v>
      </x:c>
      <x:c r="E68" t="str"/>
      <x:c r="F68" t="n">
        <x:v>3</x:v>
      </x:c>
      <x:c r="G68" t="str">
        <x:v>PROPERTY OWNER</x:v>
      </x:c>
      <x:c r="H68" t="str"/>
      <x:c r="I68" t="n">
        <x:v>0</x:v>
      </x:c>
      <x:c r="J68" t="str">
        <x:v>820 39TH STREET, BROOKLYN, NY, 11232, US</x:v>
      </x:c>
      <x:c r="K68" t="str">
        <x:v>ACRIS deed-party address</x:v>
      </x:c>
      <x:c r="L68" t="n">
        <x:v>3</x:v>
      </x:c>
      <x:c r="M68" t="n">
        <x:v>8</x:v>
      </x:c>
      <x:c r="N68" t="str">
        <x:v>4102 RONG LLC | 4220 J AND R LLC | NY GOLDEN KEY DEVELOPMENT LLC</x:v>
      </x:c>
      <x:c r="O68" t="str">
        <x:v>32-36 UNION STREET APT 1A, NY 11354 | 32-36 UNION STREET APT 1B, NY 11354 | 32-36 UNION STREET APT 1C, NY 11354 | 32-36 UNION STREET APT P7, NY 11354 | 32-36 UNION STREET APT P8, NY 11354 | 4102 8TH AVENUE APT 6C, NY 11232 | 4102 8TH AVENUE APT P1, NY 11232 | 42-20 KISSENA BOULEVARD APT B 6, NY 11355</x:v>
      </x:c>
      <x:c r="P68" t="n">
        <x:v>3</x:v>
      </x:c>
      <x:c r="Q68" s="15" t="n">
        <x:v>1</x:v>
      </x:c>
      <x:c r="R68" t="n">
        <x:v>1</x:v>
      </x:c>
      <x:c r="S68" t="str">
        <x:v>Active-name matches only</x:v>
      </x:c>
      <x:c r="T68" t="str">
        <x:v>No</x:v>
      </x:c>
      <x:c r="U68" t="n">
        <x:v>100</x:v>
      </x:c>
      <x:c r="V68" t="str">
        <x:v>https://data.ny.gov/Economic-Development/Active-Corporations-Beginning-1800/n9v6-gdp6</x:v>
      </x:c>
    </x:row>
    <x:row r="69">
      <x:c r="A69" t="str">
        <x:v>DOS-3-068</x:v>
      </x:c>
      <x:c r="B69" t="str">
        <x:v>Not Mailed</x:v>
      </x:c>
      <x:c r="C69" s="55"/>
      <x:c r="D69" t="str">
        <x:v>No Response</x:v>
      </x:c>
      <x:c r="E69" t="str"/>
      <x:c r="F69" t="n">
        <x:v>3</x:v>
      </x:c>
      <x:c r="G69" t="str">
        <x:v>PROPERTY OWNER</x:v>
      </x:c>
      <x:c r="H69" t="str"/>
      <x:c r="I69" t="n">
        <x:v>0</x:v>
      </x:c>
      <x:c r="J69" t="str">
        <x:v>8225 3RD AVENUE, BROOKLYN, NY, 11209, US</x:v>
      </x:c>
      <x:c r="K69" t="str">
        <x:v>ACRIS deed-party address</x:v>
      </x:c>
      <x:c r="L69" t="n">
        <x:v>3</x:v>
      </x:c>
      <x:c r="M69" t="n">
        <x:v>8</x:v>
      </x:c>
      <x:c r="N69" t="str">
        <x:v>FC CLIFTON PLACE ASSOCIATES LLC | HC CLIFTON PLACE ASSOCIATES LLC | MC CLIFTON PLACE ASSOCIATES LLC</x:v>
      </x:c>
      <x:c r="O69" t="str">
        <x:v>104 CLIFTON PLACE APT 1A, NY 11238 | 104 CLIFTON PLACE APT 1B, NY 11238 | 104 CLIFTON PLACE APT 2A, NY 11238 | 104 CLIFTON PLACE APT 3A, NY 11238 | 106 CLIFTON PLACE APT 1A, NY 11238 | 106 CLIFTON PLACE APT 1B, NY 11238 | 106 CLIFTON PLACE APT 2A, NY 11238 | 106 CLIFTON PLACE APT 3A, NY 11238</x:v>
      </x:c>
      <x:c r="P69" t="n">
        <x:v>3</x:v>
      </x:c>
      <x:c r="Q69" s="15" t="n">
        <x:v>1</x:v>
      </x:c>
      <x:c r="R69" t="n">
        <x:v>0</x:v>
      </x:c>
      <x:c r="S69" t="str">
        <x:v>Shared DOS address</x:v>
      </x:c>
      <x:c r="T69" t="str">
        <x:v>No</x:v>
      </x:c>
      <x:c r="U69" t="n">
        <x:v>100</x:v>
      </x:c>
      <x:c r="V69" t="str">
        <x:v>https://data.ny.gov/Economic-Development/Active-Corporations-Beginning-1800/n9v6-gdp6</x:v>
      </x:c>
    </x:row>
    <x:row r="70">
      <x:c r="A70" t="str">
        <x:v>DOS-3-069</x:v>
      </x:c>
      <x:c r="B70" t="str">
        <x:v>Not Mailed</x:v>
      </x:c>
      <x:c r="C70" s="55"/>
      <x:c r="D70" t="str">
        <x:v>No Response</x:v>
      </x:c>
      <x:c r="E70" t="str"/>
      <x:c r="F70" t="n">
        <x:v>3</x:v>
      </x:c>
      <x:c r="G70" t="str">
        <x:v>PROPERTY OWNER</x:v>
      </x:c>
      <x:c r="H70" t="str"/>
      <x:c r="I70" t="n">
        <x:v>0</x:v>
      </x:c>
      <x:c r="J70" t="str">
        <x:v>9350 WILSHIRE BLVD., SUITE 300, BEVERLY HILLS, CA, 90212, US</x:v>
      </x:c>
      <x:c r="K70" t="str">
        <x:v>ACRIS deed-party address</x:v>
      </x:c>
      <x:c r="L70" t="n">
        <x:v>3</x:v>
      </x:c>
      <x:c r="M70" t="n">
        <x:v>8</x:v>
      </x:c>
      <x:c r="N70" t="str">
        <x:v>12TH AND 1ST DE LLC | 417 EAST 72ND STREET ASSOCIATES DE LLC | SHEMIRAN CO DE LLC</x:v>
      </x:c>
      <x:c r="O70" t="str">
        <x:v>197 1 AVENUE, NY 10003 | 199 1 AVENUE, NY 10003 | 201 1 AVENUE, NY 10003 | 203 1 AVENUE, NY 10003 | 205 1 AVENUE, NY 10003 | 349 EAST 12 STREET, NY 10003 | 417 EAST 72 STREET, NY 10021 | 418-420 EAST 88 STREET, NY 10128</x:v>
      </x:c>
      <x:c r="P70" t="n">
        <x:v>3</x:v>
      </x:c>
      <x:c r="Q70" s="15" t="n">
        <x:v>1</x:v>
      </x:c>
      <x:c r="R70" t="n">
        <x:v>0</x:v>
      </x:c>
      <x:c r="S70" t="str">
        <x:v>Shared DOS address</x:v>
      </x:c>
      <x:c r="T70" t="str">
        <x:v>No</x:v>
      </x:c>
      <x:c r="U70" t="n">
        <x:v>100</x:v>
      </x:c>
      <x:c r="V70" t="str">
        <x:v>https://data.ny.gov/Economic-Development/Active-Corporations-Beginning-1800/n9v6-gdp6</x:v>
      </x:c>
    </x:row>
    <x:row r="71">
      <x:c r="A71" t="str">
        <x:v>DOS-3-070</x:v>
      </x:c>
      <x:c r="B71" t="str">
        <x:v>Not Mailed</x:v>
      </x:c>
      <x:c r="C71" s="55"/>
      <x:c r="D71" t="str">
        <x:v>No Response</x:v>
      </x:c>
      <x:c r="E71" t="str"/>
      <x:c r="F71" t="n">
        <x:v>3</x:v>
      </x:c>
      <x:c r="G71" t="str">
        <x:v>PROPERTY OWNER</x:v>
      </x:c>
      <x:c r="H71" t="str"/>
      <x:c r="I71" t="n">
        <x:v>0</x:v>
      </x:c>
      <x:c r="J71" t="str">
        <x:v>126 13TH STREET, BROOKLYN, NY, 11215, US</x:v>
      </x:c>
      <x:c r="K71" t="str">
        <x:v>ACRIS deed-party address</x:v>
      </x:c>
      <x:c r="L71" t="n">
        <x:v>3</x:v>
      </x:c>
      <x:c r="M71" t="n">
        <x:v>7</x:v>
      </x:c>
      <x:c r="N71" t="str">
        <x:v>9820 REALTY LLC | DIR REALTY LLC | MELANDA REALTY LLC</x:v>
      </x:c>
      <x:c r="O71" t="str">
        <x:v>105 14 STREET, NY 11215 | 109 14 STREET, NY 11215 | 111 14 STREET, NY 11215 | 113 14 STREET, NY 11215 | 93 14 STREET, NY 11215 | 9820 AVENUE K, NY 11236 | 99 14 STREET, NY 11215</x:v>
      </x:c>
      <x:c r="P71" t="n">
        <x:v>3</x:v>
      </x:c>
      <x:c r="Q71" s="15" t="n">
        <x:v>1</x:v>
      </x:c>
      <x:c r="R71" t="n">
        <x:v>1</x:v>
      </x:c>
      <x:c r="S71" t="str">
        <x:v>Active-name matches only</x:v>
      </x:c>
      <x:c r="T71" t="str">
        <x:v>No</x:v>
      </x:c>
      <x:c r="U71" t="n">
        <x:v>100</x:v>
      </x:c>
      <x:c r="V71" t="str">
        <x:v>https://data.ny.gov/Economic-Development/Active-Corporations-Beginning-1800/n9v6-gdp6</x:v>
      </x:c>
    </x:row>
    <x:row r="72">
      <x:c r="A72" t="str">
        <x:v>DOS-3-071</x:v>
      </x:c>
      <x:c r="B72" t="str">
        <x:v>Not Mailed</x:v>
      </x:c>
      <x:c r="C72" s="55"/>
      <x:c r="D72" t="str">
        <x:v>No Response</x:v>
      </x:c>
      <x:c r="E72" t="str"/>
      <x:c r="F72" t="n">
        <x:v>3</x:v>
      </x:c>
      <x:c r="G72" t="str">
        <x:v>PROPERTY OWNER</x:v>
      </x:c>
      <x:c r="H72" t="str"/>
      <x:c r="I72" t="n">
        <x:v>0</x:v>
      </x:c>
      <x:c r="J72" t="str">
        <x:v>1337 59TH STREET, BROOKLYN, NY, 11219</x:v>
      </x:c>
      <x:c r="K72" t="str">
        <x:v>DOS address corroborated by ACRIS</x:v>
      </x:c>
      <x:c r="L72" t="n">
        <x:v>3</x:v>
      </x:c>
      <x:c r="M72" t="n">
        <x:v>7</x:v>
      </x:c>
      <x:c r="N72" t="str">
        <x:v>3615 15 REALTY I LLC | DAHILL 477 LLC | LAWRENCE GARDENS HOLDINGS LLC</x:v>
      </x:c>
      <x:c r="O72" t="str">
        <x:v>3615 15 AVENUE APT 6, NY 11218 | 473 DAHILL ROAD, NY 11218 | 477 DAHILL ROAD, NY 11218 | 65 LAWRENCE AVENUE APT P1, NY 11230 | 65 LAWRENCE AVENUE APT P2, NY 11230 | 69 LAWRENCE AVENUE APT P4, NY 11230 | DAHILL ROAD</x:v>
      </x:c>
      <x:c r="P72" t="n">
        <x:v>3</x:v>
      </x:c>
      <x:c r="Q72" s="15" t="n">
        <x:v>1</x:v>
      </x:c>
      <x:c r="R72" t="n">
        <x:v>2</x:v>
      </x:c>
      <x:c r="S72" t="str">
        <x:v>Strong DOS address corroboration</x:v>
      </x:c>
      <x:c r="T72" t="str">
        <x:v>No</x:v>
      </x:c>
      <x:c r="U72" t="n">
        <x:v>100</x:v>
      </x:c>
      <x:c r="V72" t="str">
        <x:v>https://data.ny.gov/Economic-Development/Active-Corporations-Beginning-1800/n9v6-gdp6</x:v>
      </x:c>
    </x:row>
    <x:row r="73">
      <x:c r="A73" t="str">
        <x:v>DOS-3-072</x:v>
      </x:c>
      <x:c r="B73" t="str">
        <x:v>Not Mailed</x:v>
      </x:c>
      <x:c r="C73" s="55"/>
      <x:c r="D73" t="str">
        <x:v>No Response</x:v>
      </x:c>
      <x:c r="E73" t="str"/>
      <x:c r="F73" t="n">
        <x:v>3</x:v>
      </x:c>
      <x:c r="G73" t="str">
        <x:v>PROPERTY OWNER</x:v>
      </x:c>
      <x:c r="H73" t="str"/>
      <x:c r="I73" t="n">
        <x:v>0</x:v>
      </x:c>
      <x:c r="J73" t="str">
        <x:v>202 EAST 29TH STREET, NEW YORK, NY, 10016, US</x:v>
      </x:c>
      <x:c r="K73" t="str">
        <x:v>ACRIS deed-party address</x:v>
      </x:c>
      <x:c r="L73" t="n">
        <x:v>3</x:v>
      </x:c>
      <x:c r="M73" t="n">
        <x:v>7</x:v>
      </x:c>
      <x:c r="N73" t="str">
        <x:v>CASTILLO 2 WEST LLC | CASTILLO 3 WEST LLC | CASTILLO EAST LLC</x:v>
      </x:c>
      <x:c r="O73" t="str">
        <x:v>1463 SOUTHERN BOULEVARD, NY 10460 | 1476 SOUTHERN BOULEVARD, NY 10460 | 1478 SOUTHERN BOULEVARD, NY 10460 | 1482 SOUTHERN BOULEVARD, NY 10460 | 1486 SOUTHERN BOULEVARD, NY 10460 | 1515 SOUTHERN BOULEVARD, NY 10460 | SOUTHERN BOULEVARD</x:v>
      </x:c>
      <x:c r="P73" t="n">
        <x:v>3</x:v>
      </x:c>
      <x:c r="Q73" s="15" t="n">
        <x:v>1</x:v>
      </x:c>
      <x:c r="R73" t="n">
        <x:v>0</x:v>
      </x:c>
      <x:c r="S73" t="str">
        <x:v>Shared DOS address</x:v>
      </x:c>
      <x:c r="T73" t="str">
        <x:v>No</x:v>
      </x:c>
      <x:c r="U73" t="n">
        <x:v>100</x:v>
      </x:c>
      <x:c r="V73" t="str">
        <x:v>https://data.ny.gov/Economic-Development/Active-Corporations-Beginning-1800/n9v6-gdp6</x:v>
      </x:c>
    </x:row>
    <x:row r="74">
      <x:c r="A74" t="str">
        <x:v>DOS-3-073</x:v>
      </x:c>
      <x:c r="B74" t="str">
        <x:v>Not Mailed</x:v>
      </x:c>
      <x:c r="C74" s="55"/>
      <x:c r="D74" t="str">
        <x:v>No Response</x:v>
      </x:c>
      <x:c r="E74" t="str"/>
      <x:c r="F74" t="n">
        <x:v>3</x:v>
      </x:c>
      <x:c r="G74" t="str">
        <x:v>PROPERTY OWNER</x:v>
      </x:c>
      <x:c r="H74" t="str"/>
      <x:c r="I74" t="n">
        <x:v>0</x:v>
      </x:c>
      <x:c r="J74" t="str">
        <x:v>217-08 36TH AVENUE, BAYSIDE, NY, 11361, US</x:v>
      </x:c>
      <x:c r="K74" t="str">
        <x:v>ACRIS deed-party address</x:v>
      </x:c>
      <x:c r="L74" t="n">
        <x:v>3</x:v>
      </x:c>
      <x:c r="M74" t="n">
        <x:v>7</x:v>
      </x:c>
      <x:c r="N74" t="str">
        <x:v>34 28 30 LLC | 37 16 18 LLC | MOHIN MANAGEMENT LLC</x:v>
      </x:c>
      <x:c r="O74" t="str">
        <x:v>34-28-34-32 57 STREET, NY 11377 | 34-30 57 STREET, NY 11377 | 37-16 77TH STREET, NY 11372 | 37-18 77TH STREET, NY 11372 | 37-20 77 STREET, NY 11372 | 37-24 77 STREET, NY 11372 | 40-53 FORLEY STREET, NY 11373</x:v>
      </x:c>
      <x:c r="P74" t="n">
        <x:v>3</x:v>
      </x:c>
      <x:c r="Q74" s="15" t="n">
        <x:v>1</x:v>
      </x:c>
      <x:c r="R74" t="n">
        <x:v>0</x:v>
      </x:c>
      <x:c r="S74" t="str">
        <x:v>Shared DOS address</x:v>
      </x:c>
      <x:c r="T74" t="str">
        <x:v>No</x:v>
      </x:c>
      <x:c r="U74" t="n">
        <x:v>100</x:v>
      </x:c>
      <x:c r="V74" t="str">
        <x:v>https://data.ny.gov/Economic-Development/Active-Corporations-Beginning-1800/n9v6-gdp6</x:v>
      </x:c>
    </x:row>
    <x:row r="75">
      <x:c r="A75" t="str">
        <x:v>DOS-3-074</x:v>
      </x:c>
      <x:c r="B75" t="str">
        <x:v>Not Mailed</x:v>
      </x:c>
      <x:c r="C75" s="55"/>
      <x:c r="D75" t="str">
        <x:v>No Response</x:v>
      </x:c>
      <x:c r="E75" t="str"/>
      <x:c r="F75" t="n">
        <x:v>3</x:v>
      </x:c>
      <x:c r="G75" t="str">
        <x:v>PROPERTY OWNER</x:v>
      </x:c>
      <x:c r="H75" t="str"/>
      <x:c r="I75" t="n">
        <x:v>0</x:v>
      </x:c>
      <x:c r="J75" t="str">
        <x:v>240 EAST 90TH STREET, APT. PHE, NEW YORK, NY, 10128, US</x:v>
      </x:c>
      <x:c r="K75" t="str">
        <x:v>ACRIS deed-party address</x:v>
      </x:c>
      <x:c r="L75" t="n">
        <x:v>3</x:v>
      </x:c>
      <x:c r="M75" t="n">
        <x:v>7</x:v>
      </x:c>
      <x:c r="N75" t="str">
        <x:v>JAM E 89 DE LLC | SPARTON E33 DE LLC | TARGAM DE LLC</x:v>
      </x:c>
      <x:c r="O75" t="str">
        <x:v>237 EAST 33 STREET, NY 10016 | 239-241 EAST 33 STREET, NY 10016 | 324 EAST 89 STREET, NY 10128 | 326 EAST 89 STREET, NY 10128 | 327 EAST 89 STREET, NY 10128 | 328 EAST 89 STREET, NY 10128 | 740 WEST END AVENUE, NY 10025</x:v>
      </x:c>
      <x:c r="P75" t="n">
        <x:v>3</x:v>
      </x:c>
      <x:c r="Q75" s="15" t="n">
        <x:v>1</x:v>
      </x:c>
      <x:c r="R75" t="n">
        <x:v>0</x:v>
      </x:c>
      <x:c r="S75" t="str">
        <x:v>Shared DOS address</x:v>
      </x:c>
      <x:c r="T75" t="str">
        <x:v>No</x:v>
      </x:c>
      <x:c r="U75" t="n">
        <x:v>100</x:v>
      </x:c>
      <x:c r="V75" t="str">
        <x:v>https://data.ny.gov/Economic-Development/Active-Corporations-Beginning-1800/n9v6-gdp6</x:v>
      </x:c>
    </x:row>
    <x:row r="76">
      <x:c r="A76" t="str">
        <x:v>DOS-3-075</x:v>
      </x:c>
      <x:c r="B76" t="str">
        <x:v>Not Mailed</x:v>
      </x:c>
      <x:c r="C76" s="55"/>
      <x:c r="D76" t="str">
        <x:v>No Response</x:v>
      </x:c>
      <x:c r="E76" t="str"/>
      <x:c r="F76" t="n">
        <x:v>3</x:v>
      </x:c>
      <x:c r="G76" t="str">
        <x:v>PROPERTY OWNER</x:v>
      </x:c>
      <x:c r="H76" t="str">
        <x:v>C/O THE KLEIN GROUP</x:v>
      </x:c>
      <x:c r="I76" t="n">
        <x:v>1</x:v>
      </x:c>
      <x:c r="J76" t="str">
        <x:v>25A HANOVER ROAD, SUITE 350, FLORHAM PARK, NJ, 07932, US</x:v>
      </x:c>
      <x:c r="K76" t="str">
        <x:v>ACRIS deed-party address</x:v>
      </x:c>
      <x:c r="L76" t="n">
        <x:v>3</x:v>
      </x:c>
      <x:c r="M76" t="n">
        <x:v>7</x:v>
      </x:c>
      <x:c r="N76" t="str">
        <x:v>20 PINE STREET INVESTORS LLC | 660 COLUMBUS RETAIL OWNER LLC | 950 SECOND AVE INVESTORS LLC</x:v>
      </x:c>
      <x:c r="O76" t="str">
        <x:v>100 WEST 93 STREET APT CU-1, NY 10025 | 100 WEST 93 STREET APT CU-2, NY 10025 | 18-20 PINE STREET APT RETL1, NY 10005 | 18-20 PINE STREET APT RETL2, NY 10005 | 18-20 PINE STREET APT RETL3, NY 10005 | 18-20 PINE STREET APT RETL4, NY 10005 | 950 2 AVENUE APT RETAI, NY 10022</x:v>
      </x:c>
      <x:c r="P76" t="n">
        <x:v>3</x:v>
      </x:c>
      <x:c r="Q76" s="15" t="n">
        <x:v>1</x:v>
      </x:c>
      <x:c r="R76" t="n">
        <x:v>1</x:v>
      </x:c>
      <x:c r="S76" t="str">
        <x:v>Active-name matches only</x:v>
      </x:c>
      <x:c r="T76" t="str">
        <x:v>No</x:v>
      </x:c>
      <x:c r="U76" t="n">
        <x:v>100</x:v>
      </x:c>
      <x:c r="V76" t="str">
        <x:v>https://data.ny.gov/Economic-Development/Active-Corporations-Beginning-1800/n9v6-gdp6</x:v>
      </x:c>
    </x:row>
    <x:row r="77">
      <x:c r="A77" t="str">
        <x:v>DOS-3-076</x:v>
      </x:c>
      <x:c r="B77" t="str">
        <x:v>Not Mailed</x:v>
      </x:c>
      <x:c r="C77" s="55"/>
      <x:c r="D77" t="str">
        <x:v>No Response</x:v>
      </x:c>
      <x:c r="E77" t="str"/>
      <x:c r="F77" t="n">
        <x:v>3</x:v>
      </x:c>
      <x:c r="G77" t="str">
        <x:v>PROPERTY OWNER</x:v>
      </x:c>
      <x:c r="H77" t="str"/>
      <x:c r="I77" t="n">
        <x:v>0</x:v>
      </x:c>
      <x:c r="J77" t="str">
        <x:v>29 Little Nassau Street, Suite 118, Brooklyn, NY, 11205</x:v>
      </x:c>
      <x:c r="K77" t="str">
        <x:v>DOS address corroborated by ACRIS</x:v>
      </x:c>
      <x:c r="L77" t="n">
        <x:v>3</x:v>
      </x:c>
      <x:c r="M77" t="n">
        <x:v>7</x:v>
      </x:c>
      <x:c r="N77" t="str">
        <x:v>545 CONEY ISLAND LLC | FRANKLIN DEV LLC | LOT 15 LLC</x:v>
      </x:c>
      <x:c r="O77" t="str">
        <x:v>28 SKILLMAN STREET, NY 11205 | 32 SKILLMAN STREET, NY 11205 | 37 FRANKLIN AVENUE, NY 11205 | 41 FRANKLIN AVENUE, NY 11205 | 50 HINCKLEY PLACE, NY 11218 | 545 CONEY ISLAND AVENUE, NY 11218 | 547 CONEY ISLAND AVENUE, NY 11218</x:v>
      </x:c>
      <x:c r="P77" t="n">
        <x:v>3</x:v>
      </x:c>
      <x:c r="Q77" s="15" t="n">
        <x:v>1</x:v>
      </x:c>
      <x:c r="R77" t="n">
        <x:v>3</x:v>
      </x:c>
      <x:c r="S77" t="str">
        <x:v>Strong DOS address corroboration</x:v>
      </x:c>
      <x:c r="T77" t="str">
        <x:v>No</x:v>
      </x:c>
      <x:c r="U77" t="n">
        <x:v>100</x:v>
      </x:c>
      <x:c r="V77" t="str">
        <x:v>https://data.ny.gov/Economic-Development/Active-Corporations-Beginning-1800/n9v6-gdp6</x:v>
      </x:c>
    </x:row>
    <x:row r="78">
      <x:c r="A78" t="str">
        <x:v>DOS-3-077</x:v>
      </x:c>
      <x:c r="B78" t="str">
        <x:v>Not Mailed</x:v>
      </x:c>
      <x:c r="C78" s="55"/>
      <x:c r="D78" t="str">
        <x:v>No Response</x:v>
      </x:c>
      <x:c r="E78" t="str"/>
      <x:c r="F78" t="n">
        <x:v>3</x:v>
      </x:c>
      <x:c r="G78" t="str">
        <x:v>STANLEY LI</x:v>
      </x:c>
      <x:c r="H78" t="str">
        <x:v>STANLEY LI</x:v>
      </x:c>
      <x:c r="I78" t="n">
        <x:v>2</x:v>
      </x:c>
      <x:c r="J78" t="str">
        <x:v>34 DONNA LANE, SYOSSET, NY, 11791</x:v>
      </x:c>
      <x:c r="K78" t="str">
        <x:v>DOS address corroborated by ACRIS</x:v>
      </x:c>
      <x:c r="L78" t="n">
        <x:v>3</x:v>
      </x:c>
      <x:c r="M78" t="n">
        <x:v>7</x:v>
      </x:c>
      <x:c r="N78" t="str">
        <x:v>JASPER PM LLC | OPAL PROPERTY MANAGEMENT LLC | SNJ PROPERTY MANAGEMENT LLC</x:v>
      </x:c>
      <x:c r="O78" t="str">
        <x:v>183 STREET, NY 11365 | 183-18 BOOTH MEMORIAL AVE, NY 11365 | 39-16 PRINCE STREET APT M51, NY 11354 | 71-77 159 STREET APT 1A, NY 11365 | 71-77 159 STREET APT 3B, NY 11365 | 71-77 159 STREET APT 4C, NY 11365 | BOOTH MEMORIAL AVE, NY 11365</x:v>
      </x:c>
      <x:c r="P78" t="n">
        <x:v>3</x:v>
      </x:c>
      <x:c r="Q78" s="15" t="n">
        <x:v>1</x:v>
      </x:c>
      <x:c r="R78" t="n">
        <x:v>3</x:v>
      </x:c>
      <x:c r="S78" t="str">
        <x:v>Strong DOS address corroboration</x:v>
      </x:c>
      <x:c r="T78" t="str">
        <x:v>No</x:v>
      </x:c>
      <x:c r="U78" t="n">
        <x:v>100</x:v>
      </x:c>
      <x:c r="V78" t="str">
        <x:v>https://data.ny.gov/Economic-Development/Active-Corporations-Beginning-1800/n9v6-gdp6</x:v>
      </x:c>
    </x:row>
    <x:row r="79">
      <x:c r="A79" t="str">
        <x:v>DOS-3-078</x:v>
      </x:c>
      <x:c r="B79" t="str">
        <x:v>Not Mailed</x:v>
      </x:c>
      <x:c r="C79" s="55"/>
      <x:c r="D79" t="str">
        <x:v>No Response</x:v>
      </x:c>
      <x:c r="E79" t="str"/>
      <x:c r="F79" t="n">
        <x:v>3</x:v>
      </x:c>
      <x:c r="G79" t="str">
        <x:v>PROPERTY OWNER</x:v>
      </x:c>
      <x:c r="H79" t="str"/>
      <x:c r="I79" t="n">
        <x:v>0</x:v>
      </x:c>
      <x:c r="J79" t="str">
        <x:v>35 WEST STREET, SPRING VALLEY, NY, 10977, US</x:v>
      </x:c>
      <x:c r="K79" t="str">
        <x:v>ACRIS deed-party address</x:v>
      </x:c>
      <x:c r="L79" t="n">
        <x:v>3</x:v>
      </x:c>
      <x:c r="M79" t="n">
        <x:v>7</x:v>
      </x:c>
      <x:c r="N79" t="str">
        <x:v>BECK ST LLC | DAVIDSON NYC LLC | EAST 179TH ST LLC</x:v>
      </x:c>
      <x:c r="O79" t="str">
        <x:v>1995 DAVIDSON AVENUE, NY 10453 | 2021 DAVIDSON AVENUE, NY 10453 | 2056 HONEYWELL AVENUE, NY 10460 | 676 BECK STREET, NY 10455 | 680 BECK STREET, NY 10455 | 686 BECK STREET, NY 10455 | 913 EAST 179 STREET, NY 10460</x:v>
      </x:c>
      <x:c r="P79" t="n">
        <x:v>3</x:v>
      </x:c>
      <x:c r="Q79" s="15" t="n">
        <x:v>1</x:v>
      </x:c>
      <x:c r="R79" t="n">
        <x:v>1</x:v>
      </x:c>
      <x:c r="S79" t="str">
        <x:v>Active-name matches only</x:v>
      </x:c>
      <x:c r="T79" t="str">
        <x:v>No</x:v>
      </x:c>
      <x:c r="U79" t="n">
        <x:v>100</x:v>
      </x:c>
      <x:c r="V79" t="str">
        <x:v>https://data.ny.gov/Economic-Development/Active-Corporations-Beginning-1800/n9v6-gdp6</x:v>
      </x:c>
    </x:row>
    <x:row r="80">
      <x:c r="A80" t="str">
        <x:v>DOS-3-079</x:v>
      </x:c>
      <x:c r="B80" t="str">
        <x:v>Not Mailed</x:v>
      </x:c>
      <x:c r="C80" s="55"/>
      <x:c r="D80" t="str">
        <x:v>No Response</x:v>
      </x:c>
      <x:c r="E80" t="str"/>
      <x:c r="F80" t="n">
        <x:v>3</x:v>
      </x:c>
      <x:c r="G80" t="str">
        <x:v>PROPERTY OWNER</x:v>
      </x:c>
      <x:c r="H80" t="str"/>
      <x:c r="I80" t="n">
        <x:v>0</x:v>
      </x:c>
      <x:c r="J80" t="str">
        <x:v>43 RAMBLER ROAD, CARMEL, NY, 10512</x:v>
      </x:c>
      <x:c r="K80" t="str">
        <x:v>DOS address corroborated by ACRIS</x:v>
      </x:c>
      <x:c r="L80" t="n">
        <x:v>3</x:v>
      </x:c>
      <x:c r="M80" t="n">
        <x:v>7</x:v>
      </x:c>
      <x:c r="N80" t="str">
        <x:v>184 KENT AVE UNIT D616 LLC | 345 LENOX ROAD UNIT 2C LLC | 345 LENOX ROAD UNIT 2D LLC</x:v>
      </x:c>
      <x:c r="O80" t="str">
        <x:v>184 KENT AVENUE APT D616, NY 11249 | 345 LENOX ROAD APT 2C, NY 11226 | 345 LENOX ROAD APT 2D, NY 11226 | 345 LENOX ROAD APT P1, NY 11226 | 345 LENOX ROAD APT P2, NY 11226 | 345 LENOX ROAD APT S1, NY 11226 | 345 LENOX ROAD APT S3, NY 11226</x:v>
      </x:c>
      <x:c r="P80" t="n">
        <x:v>3</x:v>
      </x:c>
      <x:c r="Q80" s="15" t="n">
        <x:v>1</x:v>
      </x:c>
      <x:c r="R80" t="n">
        <x:v>3</x:v>
      </x:c>
      <x:c r="S80" t="str">
        <x:v>Strong DOS address corroboration</x:v>
      </x:c>
      <x:c r="T80" t="str">
        <x:v>No</x:v>
      </x:c>
      <x:c r="U80" t="n">
        <x:v>100</x:v>
      </x:c>
      <x:c r="V80" t="str">
        <x:v>https://data.ny.gov/Economic-Development/Active-Corporations-Beginning-1800/n9v6-gdp6</x:v>
      </x:c>
    </x:row>
    <x:row r="81">
      <x:c r="A81" t="str">
        <x:v>DOS-3-080</x:v>
      </x:c>
      <x:c r="B81" t="str">
        <x:v>Not Mailed</x:v>
      </x:c>
      <x:c r="C81" s="55"/>
      <x:c r="D81" t="str">
        <x:v>No Response</x:v>
      </x:c>
      <x:c r="E81" t="str"/>
      <x:c r="F81" t="n">
        <x:v>3</x:v>
      </x:c>
      <x:c r="G81" t="str">
        <x:v>PROPERTY OWNER</x:v>
      </x:c>
      <x:c r="H81" t="str"/>
      <x:c r="I81" t="n">
        <x:v>0</x:v>
      </x:c>
      <x:c r="J81" t="str">
        <x:v>44 CHESTNUT STREET, GARDEN CITY, NY, 11530</x:v>
      </x:c>
      <x:c r="K81" t="str">
        <x:v>DOS address corroborated by ACRIS</x:v>
      </x:c>
      <x:c r="L81" t="n">
        <x:v>3</x:v>
      </x:c>
      <x:c r="M81" t="n">
        <x:v>7</x:v>
      </x:c>
      <x:c r="N81" t="str">
        <x:v>BOLANOS PROPERTIES LLC | KEDEX PROPERTIES LLC | VIDA 2570 REALTY LLC</x:v>
      </x:c>
      <x:c r="O81" t="str">
        <x:v>243 EAST 33 STREET, NY 10016 | 244 EAST 33 STREET, NY 10016 | 247-249 EAST 33 STREET, NY 10016 | 33-18-33-22 28 AVENUE, NY 11103 | 333 EAST 33 STREET, NY 10016 | 335 EAST 33 STREET, NY 10016 | 89-07 34 AVENUE, NY 11372</x:v>
      </x:c>
      <x:c r="P81" t="n">
        <x:v>3</x:v>
      </x:c>
      <x:c r="Q81" s="15" t="n">
        <x:v>1</x:v>
      </x:c>
      <x:c r="R81" t="n">
        <x:v>3</x:v>
      </x:c>
      <x:c r="S81" t="str">
        <x:v>Strong DOS address corroboration</x:v>
      </x:c>
      <x:c r="T81" t="str">
        <x:v>No</x:v>
      </x:c>
      <x:c r="U81" t="n">
        <x:v>100</x:v>
      </x:c>
      <x:c r="V81" t="str">
        <x:v>https://data.ny.gov/Economic-Development/Active-Corporations-Beginning-1800/n9v6-gdp6</x:v>
      </x:c>
    </x:row>
    <x:row r="82">
      <x:c r="A82" t="str">
        <x:v>DOS-3-081</x:v>
      </x:c>
      <x:c r="B82" t="str">
        <x:v>Not Mailed</x:v>
      </x:c>
      <x:c r="C82" s="55"/>
      <x:c r="D82" t="str">
        <x:v>No Response</x:v>
      </x:c>
      <x:c r="E82" t="str"/>
      <x:c r="F82" t="n">
        <x:v>3</x:v>
      </x:c>
      <x:c r="G82" t="str">
        <x:v>PROPERTY OWNER</x:v>
      </x:c>
      <x:c r="H82" t="str"/>
      <x:c r="I82" t="n">
        <x:v>0</x:v>
      </x:c>
      <x:c r="J82" t="str">
        <x:v>47-05 METROPLITAN AVENUE, RIDGEWOOD, NY, 11385, US</x:v>
      </x:c>
      <x:c r="K82" t="str">
        <x:v>ACRIS deed-party address</x:v>
      </x:c>
      <x:c r="L82" t="n">
        <x:v>3</x:v>
      </x:c>
      <x:c r="M82" t="n">
        <x:v>7</x:v>
      </x:c>
      <x:c r="N82" t="str">
        <x:v>CACTUS 131 47 FOWLER LLC | CACTUS 145 35 ROCKAWAY LLC | CACTUS 464 NEW LOTS LLC</x:v>
      </x:c>
      <x:c r="O82" t="str">
        <x:v>131-47 FOWLER AVENUE, NY 11355 | 145-35 ROCKAWAY BOULEVARD, NY 11436 | 464 NEW LOTS AVENUE, NY 11207 | AVERY AVENUE, NY 11354 | FOWLER AVENUE, NY 11354</x:v>
      </x:c>
      <x:c r="P82" t="n">
        <x:v>3</x:v>
      </x:c>
      <x:c r="Q82" s="15" t="n">
        <x:v>1</x:v>
      </x:c>
      <x:c r="R82" t="n">
        <x:v>0</x:v>
      </x:c>
      <x:c r="S82" t="str">
        <x:v>Shared DOS address</x:v>
      </x:c>
      <x:c r="T82" t="str">
        <x:v>No</x:v>
      </x:c>
      <x:c r="U82" t="n">
        <x:v>100</x:v>
      </x:c>
      <x:c r="V82" t="str">
        <x:v>https://data.ny.gov/Economic-Development/Active-Corporations-Beginning-1800/n9v6-gdp6</x:v>
      </x:c>
    </x:row>
    <x:row r="83">
      <x:c r="A83" t="str">
        <x:v>DOS-3-082</x:v>
      </x:c>
      <x:c r="B83" t="str">
        <x:v>Not Mailed</x:v>
      </x:c>
      <x:c r="C83" s="55"/>
      <x:c r="D83" t="str">
        <x:v>No Response</x:v>
      </x:c>
      <x:c r="E83" t="str"/>
      <x:c r="F83" t="n">
        <x:v>3</x:v>
      </x:c>
      <x:c r="G83" t="str">
        <x:v>PROPERTY OWNER</x:v>
      </x:c>
      <x:c r="H83" t="str">
        <x:v>C/O KORDAS &amp; MARINIS, LLP</x:v>
      </x:c>
      <x:c r="I83" t="n">
        <x:v>1</x:v>
      </x:c>
      <x:c r="J83" t="str">
        <x:v>5-44 47TH AVENUE, LONG ISLAND CITY, NY, 11101</x:v>
      </x:c>
      <x:c r="K83" t="str">
        <x:v>DOS address corroborated by ACRIS</x:v>
      </x:c>
      <x:c r="L83" t="n">
        <x:v>3</x:v>
      </x:c>
      <x:c r="M83" t="n">
        <x:v>7</x:v>
      </x:c>
      <x:c r="N83" t="str">
        <x:v>3408 TIBBETT LLC | 520 EAST 236TH LLC | SYCAMORE COURT APARTMENTS LLC</x:v>
      </x:c>
      <x:c r="O83" t="str">
        <x:v>3050 CORLEAR AVENUE APT 1, NY 10463 | 3050 CORLEAR AVENUE APT 2, NY 10463 | 3050 CORLEAR AVENUE APT 3, NY 10463 | 3050 CORLEAR AVENUE APT 4, NY 10463 | 3050 CORLEAR AVENUE APT 5, NY 10463 | 3408 TIBBETT AVENUE, NY 10463 | 520 EAST 236 STREET, NY 10470</x:v>
      </x:c>
      <x:c r="P83" t="n">
        <x:v>3</x:v>
      </x:c>
      <x:c r="Q83" s="15" t="n">
        <x:v>1</x:v>
      </x:c>
      <x:c r="R83" t="n">
        <x:v>3</x:v>
      </x:c>
      <x:c r="S83" t="str">
        <x:v>Strong DOS address corroboration</x:v>
      </x:c>
      <x:c r="T83" t="str">
        <x:v>No</x:v>
      </x:c>
      <x:c r="U83" t="n">
        <x:v>100</x:v>
      </x:c>
      <x:c r="V83" t="str">
        <x:v>https://data.ny.gov/Economic-Development/Active-Corporations-Beginning-1800/n9v6-gdp6</x:v>
      </x:c>
    </x:row>
    <x:row r="84">
      <x:c r="A84" t="str">
        <x:v>DOS-3-083</x:v>
      </x:c>
      <x:c r="B84" t="str">
        <x:v>Not Mailed</x:v>
      </x:c>
      <x:c r="C84" s="55"/>
      <x:c r="D84" t="str">
        <x:v>No Response</x:v>
      </x:c>
      <x:c r="E84" t="str"/>
      <x:c r="F84" t="n">
        <x:v>3</x:v>
      </x:c>
      <x:c r="G84" t="str">
        <x:v>PROPERTY OWNER</x:v>
      </x:c>
      <x:c r="H84" t="str"/>
      <x:c r="I84" t="n">
        <x:v>0</x:v>
      </x:c>
      <x:c r="J84" t="str">
        <x:v>501 EAST 93RD STREET, BROOKLYN, NY, 11212, US</x:v>
      </x:c>
      <x:c r="K84" t="str">
        <x:v>ACRIS deed-party address</x:v>
      </x:c>
      <x:c r="L84" t="n">
        <x:v>3</x:v>
      </x:c>
      <x:c r="M84" t="n">
        <x:v>7</x:v>
      </x:c>
      <x:c r="N84" t="str">
        <x:v>LIBERTY 3 LLC | LIZ J REALTY LLC | POWELL3 REALTY LLC</x:v>
      </x:c>
      <x:c r="O84" t="str">
        <x:v>110 LIBERTY AVENUE, NY 11212 | 112 LIBERTY AVENUE, NY 11212 | 114 LIBERTY AVENUE, NY 11212 | 131 POWELL STREET, NY 11212 | 135 POWELL STREET, NY 11212 | 139 POWELL STREET, NY 11212 | 501 EAST 93 STREET, NY 11212</x:v>
      </x:c>
      <x:c r="P84" t="n">
        <x:v>2</x:v>
      </x:c>
      <x:c r="Q84" s="15" t="n">
        <x:v>0.6666666666666666</x:v>
      </x:c>
      <x:c r="R84" t="n">
        <x:v>1</x:v>
      </x:c>
      <x:c r="S84" t="str">
        <x:v>Active-name matches only</x:v>
      </x:c>
      <x:c r="T84" t="str">
        <x:v>No</x:v>
      </x:c>
      <x:c r="U84" t="n">
        <x:v>100</x:v>
      </x:c>
      <x:c r="V84" t="str">
        <x:v>https://data.ny.gov/Economic-Development/Active-Corporations-Beginning-1800/n9v6-gdp6</x:v>
      </x:c>
    </x:row>
    <x:row r="85">
      <x:c r="A85" t="str">
        <x:v>DOS-3-084</x:v>
      </x:c>
      <x:c r="B85" t="str">
        <x:v>Not Mailed</x:v>
      </x:c>
      <x:c r="C85" s="55"/>
      <x:c r="D85" t="str">
        <x:v>No Response</x:v>
      </x:c>
      <x:c r="E85" t="str"/>
      <x:c r="F85" t="n">
        <x:v>3</x:v>
      </x:c>
      <x:c r="G85" t="str">
        <x:v>PROPERTY OWNER</x:v>
      </x:c>
      <x:c r="H85" t="str"/>
      <x:c r="I85" t="n">
        <x:v>0</x:v>
      </x:c>
      <x:c r="J85" t="str">
        <x:v>600 MADISON AVE FL 15, NEW YORK, NY, 100221761, US</x:v>
      </x:c>
      <x:c r="K85" t="str">
        <x:v>ACRIS deed-party address</x:v>
      </x:c>
      <x:c r="L85" t="n">
        <x:v>3</x:v>
      </x:c>
      <x:c r="M85" t="n">
        <x:v>7</x:v>
      </x:c>
      <x:c r="N85" t="str">
        <x:v>1991 BROADWAY OWNER LLC | CHATHAM PARKING OWNER I LLC | PRIME PLAZA EQUITIES LLC</x:v>
      </x:c>
      <x:c r="O85" t="str">
        <x:v>181 EAST 65 STREET APT COM-A, NY 10065 | 1991 BROADWAY APT C1, NY 10023 | 1991 BROADWAY APT C2, NY 10023 | 1991 BROADWAY APT C3, NY 10023 | 1991 BROADWAY APT C4, NY 10023 | 768 5 AVENUE APT 1241, NY 10019 | 768 5 AVENUE APT 1338, NY 10019</x:v>
      </x:c>
      <x:c r="P85" t="n">
        <x:v>2</x:v>
      </x:c>
      <x:c r="Q85" s="15" t="n">
        <x:v>0.6666666666666666</x:v>
      </x:c>
      <x:c r="R85" t="n">
        <x:v>0</x:v>
      </x:c>
      <x:c r="S85" t="str">
        <x:v>Shared DOS address</x:v>
      </x:c>
      <x:c r="T85" t="str">
        <x:v>No</x:v>
      </x:c>
      <x:c r="U85" t="n">
        <x:v>100</x:v>
      </x:c>
      <x:c r="V85" t="str">
        <x:v>https://data.ny.gov/Economic-Development/Active-Corporations-Beginning-1800/n9v6-gdp6</x:v>
      </x:c>
    </x:row>
    <x:row r="86">
      <x:c r="A86" t="str">
        <x:v>DOS-3-085</x:v>
      </x:c>
      <x:c r="B86" t="str">
        <x:v>Not Mailed</x:v>
      </x:c>
      <x:c r="C86" s="55"/>
      <x:c r="D86" t="str">
        <x:v>No Response</x:v>
      </x:c>
      <x:c r="E86" t="str"/>
      <x:c r="F86" t="n">
        <x:v>3</x:v>
      </x:c>
      <x:c r="G86" t="str">
        <x:v>PROPERTY OWNER</x:v>
      </x:c>
      <x:c r="H86" t="str">
        <x:v>AMARJIT MULTANI</x:v>
      </x:c>
      <x:c r="I86" t="n">
        <x:v>1</x:v>
      </x:c>
      <x:c r="J86" t="str">
        <x:v>66 KNOLLS DRIVE NORTH, NEW HYDE PARK, NY, 11040, US</x:v>
      </x:c>
      <x:c r="K86" t="str">
        <x:v>ACRIS deed-party address</x:v>
      </x:c>
      <x:c r="L86" t="n">
        <x:v>3</x:v>
      </x:c>
      <x:c r="M86" t="n">
        <x:v>7</x:v>
      </x:c>
      <x:c r="N86" t="str">
        <x:v>DIX PROPERTIES LLC | FAR ROCK HOLDINGS LLC | KAUR PROPERTIES LLC</x:v>
      </x:c>
      <x:c r="O86" t="str">
        <x:v>109-51 UNION HALL STREET, NY 11433 | 153-12 109 AVENUE, NY 11433 | 179-39 144 ROAD, NY 11434 | 18-26 EVERDELL AVENUE, NY 11691 | 21-01 DIX AVENUE, NY 11691 | 21-05 DIX AVENUE, NY 11691 | 21-31 NAMEOKE AVENUE, NY 11691</x:v>
      </x:c>
      <x:c r="P86" t="n">
        <x:v>3</x:v>
      </x:c>
      <x:c r="Q86" s="15" t="n">
        <x:v>1</x:v>
      </x:c>
      <x:c r="R86" t="n">
        <x:v>0</x:v>
      </x:c>
      <x:c r="S86" t="str">
        <x:v>Shared DOS address</x:v>
      </x:c>
      <x:c r="T86" t="str">
        <x:v>No</x:v>
      </x:c>
      <x:c r="U86" t="n">
        <x:v>100</x:v>
      </x:c>
      <x:c r="V86" t="str">
        <x:v>https://data.ny.gov/Economic-Development/Active-Corporations-Beginning-1800/n9v6-gdp6</x:v>
      </x:c>
    </x:row>
    <x:row r="87">
      <x:c r="A87" t="str">
        <x:v>DOS-3-086</x:v>
      </x:c>
      <x:c r="B87" t="str">
        <x:v>Not Mailed</x:v>
      </x:c>
      <x:c r="C87" s="55"/>
      <x:c r="D87" t="str">
        <x:v>No Response</x:v>
      </x:c>
      <x:c r="E87" t="str"/>
      <x:c r="F87" t="n">
        <x:v>3</x:v>
      </x:c>
      <x:c r="G87" t="str">
        <x:v>VIVIAN SUN</x:v>
      </x:c>
      <x:c r="H87" t="str">
        <x:v>VIVIAN SUN</x:v>
      </x:c>
      <x:c r="I87" t="n">
        <x:v>3</x:v>
      </x:c>
      <x:c r="J87" t="str">
        <x:v>67 BEACON HILL ROAD, PORT WASHINGTON, NY, 11050</x:v>
      </x:c>
      <x:c r="K87" t="str">
        <x:v>DOS address corroborated by ACRIS</x:v>
      </x:c>
      <x:c r="L87" t="n">
        <x:v>3</x:v>
      </x:c>
      <x:c r="M87" t="n">
        <x:v>7</x:v>
      </x:c>
      <x:c r="N87" t="str">
        <x:v>PIER TWO REALTY LLC | WATERSIDE TOWER LLC | YOSHI SUN LLC</x:v>
      </x:c>
      <x:c r="O87" t="str">
        <x:v>2 NORTHSIDE PIERS APT 10J, NY 11249 | 2 NORTHSIDE PIERS APT 12J, NY 11249 | 2 NORTHSIDE PIERS APT 14J, NY 11249 | 2 NORTHSIDE PIERS APT 15J, NY 11249 | 2 NORTHSIDE PIERS APT 20B, NY 11249 | 2 NORTHSIDE PIERS APT 22B, NY 11249 | 393 WEST 49 STREET APT 2T, NY 10019</x:v>
      </x:c>
      <x:c r="P87" t="n">
        <x:v>3</x:v>
      </x:c>
      <x:c r="Q87" s="15" t="n">
        <x:v>1</x:v>
      </x:c>
      <x:c r="R87" t="n">
        <x:v>3</x:v>
      </x:c>
      <x:c r="S87" t="str">
        <x:v>Strong DOS address corroboration</x:v>
      </x:c>
      <x:c r="T87" t="str">
        <x:v>No</x:v>
      </x:c>
      <x:c r="U87" t="n">
        <x:v>100</x:v>
      </x:c>
      <x:c r="V87" t="str">
        <x:v>https://data.ny.gov/Economic-Development/Active-Corporations-Beginning-1800/n9v6-gdp6</x:v>
      </x:c>
    </x:row>
    <x:row r="88">
      <x:c r="A88" t="str">
        <x:v>DOS-3-087</x:v>
      </x:c>
      <x:c r="B88" t="str">
        <x:v>Not Mailed</x:v>
      </x:c>
      <x:c r="C88" s="55"/>
      <x:c r="D88" t="str">
        <x:v>No Response</x:v>
      </x:c>
      <x:c r="E88" t="str"/>
      <x:c r="F88" t="n">
        <x:v>3</x:v>
      </x:c>
      <x:c r="G88" t="str">
        <x:v>PROPERTY OWNER</x:v>
      </x:c>
      <x:c r="H88" t="str">
        <x:v>C&amp;K PROPERTIES</x:v>
      </x:c>
      <x:c r="I88" t="n">
        <x:v>1</x:v>
      </x:c>
      <x:c r="J88" t="str">
        <x:v>675  THIRD AVENUE, NEW YORK, NY, 10017, US</x:v>
      </x:c>
      <x:c r="K88" t="str">
        <x:v>ACRIS deed-party address</x:v>
      </x:c>
      <x:c r="L88" t="n">
        <x:v>3</x:v>
      </x:c>
      <x:c r="M88" t="n">
        <x:v>7</x:v>
      </x:c>
      <x:c r="N88" t="str">
        <x:v>151 WILLIAM REALTY LLC | CHELSEA EQUITIES LLC | NEWHOPE US LLC</x:v>
      </x:c>
      <x:c r="O88" t="str">
        <x:v>341 WEST 22 STREET, NY 10011 | 353 WEST 56 STREET APT 8A, NY 10019 | 452 WEST 22 STREET, NY 10011 | 515 EAST 72 STREET APT CU1, NY 10021 | 515 EAST 72 STREET APT CU2, NY 10021 | 515 EAST 72 STREET APT CU3, NY 10021 | 515 EAST 72 STREET APT GAR, NY 10021</x:v>
      </x:c>
      <x:c r="P88" t="n">
        <x:v>3</x:v>
      </x:c>
      <x:c r="Q88" s="15" t="n">
        <x:v>1</x:v>
      </x:c>
      <x:c r="R88" t="n">
        <x:v>1</x:v>
      </x:c>
      <x:c r="S88" t="str">
        <x:v>Active-name matches only</x:v>
      </x:c>
      <x:c r="T88" t="str">
        <x:v>No</x:v>
      </x:c>
      <x:c r="U88" t="n">
        <x:v>100</x:v>
      </x:c>
      <x:c r="V88" t="str">
        <x:v>https://data.ny.gov/Economic-Development/Active-Corporations-Beginning-1800/n9v6-gdp6</x:v>
      </x:c>
    </x:row>
    <x:row r="89">
      <x:c r="A89" t="str">
        <x:v>DOS-3-088</x:v>
      </x:c>
      <x:c r="B89" t="str">
        <x:v>Not Mailed</x:v>
      </x:c>
      <x:c r="C89" s="55"/>
      <x:c r="D89" t="str">
        <x:v>No Response</x:v>
      </x:c>
      <x:c r="E89" t="str"/>
      <x:c r="F89" t="n">
        <x:v>3</x:v>
      </x:c>
      <x:c r="G89" t="str">
        <x:v>PATRICIA GALLINA</x:v>
      </x:c>
      <x:c r="H89" t="str">
        <x:v>PATRICIA GALLINA</x:v>
      </x:c>
      <x:c r="I89" t="n">
        <x:v>2</x:v>
      </x:c>
      <x:c r="J89" t="str">
        <x:v>1059 83RD STREET, BROOKLYN, NY, 11228</x:v>
      </x:c>
      <x:c r="K89" t="str">
        <x:v>DOS address corroborated by ACRIS</x:v>
      </x:c>
      <x:c r="L89" t="n">
        <x:v>3</x:v>
      </x:c>
      <x:c r="M89" t="n">
        <x:v>6</x:v>
      </x:c>
      <x:c r="N89" t="str">
        <x:v>169 175 2ND AVE LLC | 214 18 51ST ST LLC | 5114 3RD AVE LLC</x:v>
      </x:c>
      <x:c r="O89" t="str">
        <x:v>169 2 AVENUE, NY 11215 | 175 2 AVENUE, NY 11215 | 214-216 51 STREET, NY 11220 | 226 51 STREET, NY 11220 | 267-269 52 STREET, NY 11220 | 5114 3 AVENUE, NY 11220</x:v>
      </x:c>
      <x:c r="P89" t="n">
        <x:v>2</x:v>
      </x:c>
      <x:c r="Q89" s="15" t="n">
        <x:v>0.6666666666666666</x:v>
      </x:c>
      <x:c r="R89" t="n">
        <x:v>2</x:v>
      </x:c>
      <x:c r="S89" t="str">
        <x:v>Strong DOS address corroboration</x:v>
      </x:c>
      <x:c r="T89" t="str">
        <x:v>No</x:v>
      </x:c>
      <x:c r="U89" t="n">
        <x:v>100</x:v>
      </x:c>
      <x:c r="V89" t="str">
        <x:v>https://data.ny.gov/Economic-Development/Active-Corporations-Beginning-1800/n9v6-gdp6</x:v>
      </x:c>
    </x:row>
    <x:row r="90">
      <x:c r="A90" t="str">
        <x:v>DOS-3-089</x:v>
      </x:c>
      <x:c r="B90" t="str">
        <x:v>Not Mailed</x:v>
      </x:c>
      <x:c r="C90" s="55"/>
      <x:c r="D90" t="str">
        <x:v>No Response</x:v>
      </x:c>
      <x:c r="E90" t="str"/>
      <x:c r="F90" t="n">
        <x:v>3</x:v>
      </x:c>
      <x:c r="G90" t="str">
        <x:v>PROPERTY OWNER</x:v>
      </x:c>
      <x:c r="H90" t="str"/>
      <x:c r="I90" t="n">
        <x:v>0</x:v>
      </x:c>
      <x:c r="J90" t="str">
        <x:v>1065 83RD STREET, BROOKLYN, NY, 11228, US</x:v>
      </x:c>
      <x:c r="K90" t="str">
        <x:v>ACRIS deed-party address</x:v>
      </x:c>
      <x:c r="L90" t="n">
        <x:v>3</x:v>
      </x:c>
      <x:c r="M90" t="n">
        <x:v>6</x:v>
      </x:c>
      <x:c r="N90" t="str">
        <x:v>1403 BAY RIDGE PARKWAY LLC | 6412 11TH AVENUE LLC | BAY 11TH LLC</x:v>
      </x:c>
      <x:c r="O90" t="str">
        <x:v>1403 BAY RIDGE PARKWAY, NY 11228 | 283 BAY 11 STREET, NY 11228 | 285 BAY 11 STREET, NY 11228 | 287 BAY 11 STREET, NY 11228 | 289 BAY 11 STREET, NY 11228 | 6412 11 AVENUE, NY 11219</x:v>
      </x:c>
      <x:c r="P90" t="n">
        <x:v>3</x:v>
      </x:c>
      <x:c r="Q90" s="15" t="n">
        <x:v>1</x:v>
      </x:c>
      <x:c r="R90" t="n">
        <x:v>1</x:v>
      </x:c>
      <x:c r="S90" t="str">
        <x:v>Active-name matches only</x:v>
      </x:c>
      <x:c r="T90" t="str">
        <x:v>No</x:v>
      </x:c>
      <x:c r="U90" t="n">
        <x:v>100</x:v>
      </x:c>
      <x:c r="V90" t="str">
        <x:v>https://data.ny.gov/Economic-Development/Active-Corporations-Beginning-1800/n9v6-gdp6</x:v>
      </x:c>
    </x:row>
    <x:row r="91">
      <x:c r="A91" t="str">
        <x:v>DOS-3-090</x:v>
      </x:c>
      <x:c r="B91" t="str">
        <x:v>Not Mailed</x:v>
      </x:c>
      <x:c r="C91" s="55"/>
      <x:c r="D91" t="str">
        <x:v>No Response</x:v>
      </x:c>
      <x:c r="E91" t="str"/>
      <x:c r="F91" t="n">
        <x:v>3</x:v>
      </x:c>
      <x:c r="G91" t="str">
        <x:v>PROPERTY OWNER</x:v>
      </x:c>
      <x:c r="H91" t="str"/>
      <x:c r="I91" t="n">
        <x:v>0</x:v>
      </x:c>
      <x:c r="J91" t="str">
        <x:v>110-64 QUEENS BLVD, FOREST HILLS, NY, 11375, US</x:v>
      </x:c>
      <x:c r="K91" t="str">
        <x:v>ACRIS deed-party address</x:v>
      </x:c>
      <x:c r="L91" t="n">
        <x:v>3</x:v>
      </x:c>
      <x:c r="M91" t="n">
        <x:v>6</x:v>
      </x:c>
      <x:c r="N91" t="str">
        <x:v>FRANCES LEWIS SUNRISE LLC | HEMPSPRING LLC | ZALIV LLC</x:v>
      </x:c>
      <x:c r="O91" t="str">
        <x:v>1 PLUMB 3 STREET, NY 11235 | 103-01-103-07 SPRINGFIELD BLVD, NY 11429 | 139-37 245 STREET, NY 11422 | 218-74 HEMPSTEAD AVENUE, NY 11429 | 245-01 FRANCIS LEWIS BLVD | 2777 PLUMB 2 STREET, NY 11235</x:v>
      </x:c>
      <x:c r="P91" t="n">
        <x:v>3</x:v>
      </x:c>
      <x:c r="Q91" s="15" t="n">
        <x:v>1</x:v>
      </x:c>
      <x:c r="R91" t="n">
        <x:v>0</x:v>
      </x:c>
      <x:c r="S91" t="str">
        <x:v>Shared DOS address</x:v>
      </x:c>
      <x:c r="T91" t="str">
        <x:v>No</x:v>
      </x:c>
      <x:c r="U91" t="n">
        <x:v>100</x:v>
      </x:c>
      <x:c r="V91" t="str">
        <x:v>https://data.ny.gov/Economic-Development/Active-Corporations-Beginning-1800/n9v6-gdp6</x:v>
      </x:c>
    </x:row>
    <x:row r="92">
      <x:c r="A92" t="str">
        <x:v>DOS-3-091</x:v>
      </x:c>
      <x:c r="B92" t="str">
        <x:v>Not Mailed</x:v>
      </x:c>
      <x:c r="C92" s="55"/>
      <x:c r="D92" t="str">
        <x:v>No Response</x:v>
      </x:c>
      <x:c r="E92" t="str"/>
      <x:c r="F92" t="n">
        <x:v>3</x:v>
      </x:c>
      <x:c r="G92" t="str">
        <x:v>PROPERTY OWNER</x:v>
      </x:c>
      <x:c r="H92" t="str">
        <x:v>TAL SHLOMI</x:v>
      </x:c>
      <x:c r="I92" t="n">
        <x:v>1</x:v>
      </x:c>
      <x:c r="J92" t="str">
        <x:v>112-21 JAMAICA AVENUE, RICHMOND HILL, NY, 11418, US</x:v>
      </x:c>
      <x:c r="K92" t="str">
        <x:v>ACRIS deed-party address</x:v>
      </x:c>
      <x:c r="L92" t="n">
        <x:v>3</x:v>
      </x:c>
      <x:c r="M92" t="n">
        <x:v>6</x:v>
      </x:c>
      <x:c r="N92" t="str">
        <x:v>10034 198 LLC | 558 GATES AVENUE LLC | BARNES AND LEVI LLC</x:v>
      </x:c>
      <x:c r="O92" t="str">
        <x:v>1-85 BEACH 91 STREET, NY 11693 | 100-34 198 STREET, NY 11423 | 307 BEACH 70 STREET, NY 11692 | 314 BEACH 45 STREET, NY 11691 | 414 BEACH 67 STREET, NY 11692 | 558 GATES AVENUE, NY 11221</x:v>
      </x:c>
      <x:c r="P92" t="n">
        <x:v>3</x:v>
      </x:c>
      <x:c r="Q92" s="15" t="n">
        <x:v>1</x:v>
      </x:c>
      <x:c r="R92" t="n">
        <x:v>1</x:v>
      </x:c>
      <x:c r="S92" t="str">
        <x:v>Active-name matches only</x:v>
      </x:c>
      <x:c r="T92" t="str">
        <x:v>No</x:v>
      </x:c>
      <x:c r="U92" t="n">
        <x:v>100</x:v>
      </x:c>
      <x:c r="V92" t="str">
        <x:v>https://data.ny.gov/Economic-Development/Active-Corporations-Beginning-1800/n9v6-gdp6</x:v>
      </x:c>
    </x:row>
    <x:row r="93">
      <x:c r="A93" t="str">
        <x:v>DOS-3-092</x:v>
      </x:c>
      <x:c r="B93" t="str">
        <x:v>Not Mailed</x:v>
      </x:c>
      <x:c r="C93" s="55"/>
      <x:c r="D93" t="str">
        <x:v>No Response</x:v>
      </x:c>
      <x:c r="E93" t="str"/>
      <x:c r="F93" t="n">
        <x:v>3</x:v>
      </x:c>
      <x:c r="G93" t="str">
        <x:v>PROPERTY OWNER</x:v>
      </x:c>
      <x:c r="H93" t="str"/>
      <x:c r="I93" t="n">
        <x:v>0</x:v>
      </x:c>
      <x:c r="J93" t="str">
        <x:v>119 ELM LANE, NEW HYDE PARK, NY, 11040</x:v>
      </x:c>
      <x:c r="K93" t="str">
        <x:v>DOS address corroborated by ACRIS</x:v>
      </x:c>
      <x:c r="L93" t="n">
        <x:v>3</x:v>
      </x:c>
      <x:c r="M93" t="n">
        <x:v>6</x:v>
      </x:c>
      <x:c r="N93" t="str">
        <x:v>75 PARSONS BLVD LLC | KMPD REAL ESTATE LLC | SADOO REAL ESTATE LLC</x:v>
      </x:c>
      <x:c r="O93" t="str">
        <x:v>107-18 101 AVENUE, NY 11416 | 108-09 101 AVENUE, NY 11419 | 1170 EAST 91 STREET, NY 11236 | 131-19 115 AVENUE, NY 11420 | 1750 PITKIN AVENUE, NY 11212 | 94-17 110 STREET, NY 11419</x:v>
      </x:c>
      <x:c r="P93" t="n">
        <x:v>3</x:v>
      </x:c>
      <x:c r="Q93" s="15" t="n">
        <x:v>1</x:v>
      </x:c>
      <x:c r="R93" t="n">
        <x:v>2</x:v>
      </x:c>
      <x:c r="S93" t="str">
        <x:v>Strong DOS address corroboration</x:v>
      </x:c>
      <x:c r="T93" t="str">
        <x:v>No</x:v>
      </x:c>
      <x:c r="U93" t="n">
        <x:v>100</x:v>
      </x:c>
      <x:c r="V93" t="str">
        <x:v>https://data.ny.gov/Economic-Development/Active-Corporations-Beginning-1800/n9v6-gdp6</x:v>
      </x:c>
    </x:row>
    <x:row r="94">
      <x:c r="A94" t="str">
        <x:v>DOS-3-093</x:v>
      </x:c>
      <x:c r="B94" t="str">
        <x:v>Not Mailed</x:v>
      </x:c>
      <x:c r="C94" s="55"/>
      <x:c r="D94" t="str">
        <x:v>No Response</x:v>
      </x:c>
      <x:c r="E94" t="str"/>
      <x:c r="F94" t="n">
        <x:v>3</x:v>
      </x:c>
      <x:c r="G94" t="str">
        <x:v>PROPERTY OWNER</x:v>
      </x:c>
      <x:c r="H94" t="str"/>
      <x:c r="I94" t="n">
        <x:v>0</x:v>
      </x:c>
      <x:c r="J94" t="str">
        <x:v>133 NORTH 4TH STREET, BROOKLYN, NY, 11249</x:v>
      </x:c>
      <x:c r="K94" t="str">
        <x:v>DOS address corroborated by ACRIS</x:v>
      </x:c>
      <x:c r="L94" t="n">
        <x:v>3</x:v>
      </x:c>
      <x:c r="M94" t="n">
        <x:v>6</x:v>
      </x:c>
      <x:c r="N94" t="str">
        <x:v>2 LIKA LLC | 3 LIKA LLC | 6 LIKA LLC</x:v>
      </x:c>
      <x:c r="O94" t="str">
        <x:v>112 CALYER STREET, NY 11222 | 147 NORTH 7 STREET, NY 11249 | 216 NORTH 8 STREET, NY 11211 | 293 NORTH 7 STREET, NY 11211 | 459 KEAP STREET, NY 11211 | 68 JACKSON STREET APT 5, NY 11211</x:v>
      </x:c>
      <x:c r="P94" t="n">
        <x:v>3</x:v>
      </x:c>
      <x:c r="Q94" s="15" t="n">
        <x:v>1</x:v>
      </x:c>
      <x:c r="R94" t="n">
        <x:v>3</x:v>
      </x:c>
      <x:c r="S94" t="str">
        <x:v>Strong DOS address corroboration</x:v>
      </x:c>
      <x:c r="T94" t="str">
        <x:v>No</x:v>
      </x:c>
      <x:c r="U94" t="n">
        <x:v>100</x:v>
      </x:c>
      <x:c r="V94" t="str">
        <x:v>https://data.ny.gov/Economic-Development/Active-Corporations-Beginning-1800/n9v6-gdp6</x:v>
      </x:c>
    </x:row>
    <x:row r="95">
      <x:c r="A95" t="str">
        <x:v>DOS-3-094</x:v>
      </x:c>
      <x:c r="B95" t="str">
        <x:v>Not Mailed</x:v>
      </x:c>
      <x:c r="C95" s="55"/>
      <x:c r="D95" t="str">
        <x:v>No Response</x:v>
      </x:c>
      <x:c r="E95" t="str"/>
      <x:c r="F95" t="n">
        <x:v>3</x:v>
      </x:c>
      <x:c r="G95" t="str">
        <x:v>PROPERTY OWNER</x:v>
      </x:c>
      <x:c r="H95" t="str"/>
      <x:c r="I95" t="n">
        <x:v>0</x:v>
      </x:c>
      <x:c r="J95" t="str">
        <x:v>14-32 BURTON STREET, WHITESTONE, NY, 11357</x:v>
      </x:c>
      <x:c r="K95" t="str">
        <x:v>DOS address corroborated by ACRIS</x:v>
      </x:c>
      <x:c r="L95" t="n">
        <x:v>3</x:v>
      </x:c>
      <x:c r="M95" t="n">
        <x:v>6</x:v>
      </x:c>
      <x:c r="N95" t="str">
        <x:v>BIUNDO REALTY I LLC | BIUNDO REALTY II LLC | BIUNDO REALTY III LLC</x:v>
      </x:c>
      <x:c r="O95" t="str">
        <x:v>192-09 39 AVENUE, NY 11358 | 211-16 41 AVENUE, NY 11361 | 46-04A 189 STREET, NY 11358 | 47-02 195 STREET, NY 11358 | 47-24 195 STREET, NY 11358 | 47-44 196 STREET, NY 11358</x:v>
      </x:c>
      <x:c r="P95" t="n">
        <x:v>3</x:v>
      </x:c>
      <x:c r="Q95" s="15" t="n">
        <x:v>1</x:v>
      </x:c>
      <x:c r="R95" t="n">
        <x:v>3</x:v>
      </x:c>
      <x:c r="S95" t="str">
        <x:v>Strong DOS address corroboration</x:v>
      </x:c>
      <x:c r="T95" t="str">
        <x:v>No</x:v>
      </x:c>
      <x:c r="U95" t="n">
        <x:v>100</x:v>
      </x:c>
      <x:c r="V95" t="str">
        <x:v>https://data.ny.gov/Economic-Development/Active-Corporations-Beginning-1800/n9v6-gdp6</x:v>
      </x:c>
    </x:row>
    <x:row r="96">
      <x:c r="A96" t="str">
        <x:v>DOS-3-095</x:v>
      </x:c>
      <x:c r="B96" t="str">
        <x:v>Not Mailed</x:v>
      </x:c>
      <x:c r="C96" s="55"/>
      <x:c r="D96" t="str">
        <x:v>No Response</x:v>
      </x:c>
      <x:c r="E96" t="str"/>
      <x:c r="F96" t="n">
        <x:v>3</x:v>
      </x:c>
      <x:c r="G96" t="str">
        <x:v>PROPERTY OWNER</x:v>
      </x:c>
      <x:c r="H96" t="str">
        <x:v>ELIZABETH BARBARA HITZ</x:v>
      </x:c>
      <x:c r="I96" t="n">
        <x:v>1</x:v>
      </x:c>
      <x:c r="J96" t="str">
        <x:v>141 PERRY STREET, NEW YORK, NY, 10014, US</x:v>
      </x:c>
      <x:c r="K96" t="str">
        <x:v>ACRIS deed-party address</x:v>
      </x:c>
      <x:c r="L96" t="n">
        <x:v>3</x:v>
      </x:c>
      <x:c r="M96" t="n">
        <x:v>6</x:v>
      </x:c>
      <x:c r="N96" t="str">
        <x:v>EBH CONCEPT LLC | TOOLBOX 33 LLC | URBAN HABITAT LLC</x:v>
      </x:c>
      <x:c r="O96" t="str">
        <x:v>100 CRYSTAL STREET, NY 11208 | 265 WYTHE AVENUE APT 2, NY 11249 | 265 WYTHE AVENUE APT C1, NY 11249 | 265 WYTHE AVENUE APT C2, NY 11249 | 265 WYTHE AVENUE APT P1, NY 11249 | 833 HART STREET, NY 11237</x:v>
      </x:c>
      <x:c r="P96" t="n">
        <x:v>3</x:v>
      </x:c>
      <x:c r="Q96" s="15" t="n">
        <x:v>1</x:v>
      </x:c>
      <x:c r="R96" t="n">
        <x:v>2</x:v>
      </x:c>
      <x:c r="S96" t="str">
        <x:v>Strong DOS address corroboration</x:v>
      </x:c>
      <x:c r="T96" t="str">
        <x:v>No</x:v>
      </x:c>
      <x:c r="U96" t="n">
        <x:v>100</x:v>
      </x:c>
      <x:c r="V96" t="str">
        <x:v>https://data.ny.gov/Economic-Development/Active-Corporations-Beginning-1800/n9v6-gdp6</x:v>
      </x:c>
    </x:row>
    <x:row r="97">
      <x:c r="A97" t="str">
        <x:v>DOS-3-096</x:v>
      </x:c>
      <x:c r="B97" t="str">
        <x:v>Not Mailed</x:v>
      </x:c>
      <x:c r="C97" s="55"/>
      <x:c r="D97" t="str">
        <x:v>No Response</x:v>
      </x:c>
      <x:c r="E97" t="str"/>
      <x:c r="F97" t="n">
        <x:v>3</x:v>
      </x:c>
      <x:c r="G97" t="str">
        <x:v>PROPERTY OWNER</x:v>
      </x:c>
      <x:c r="H97" t="str">
        <x:v>GINO ROMANO</x:v>
      </x:c>
      <x:c r="I97" t="n">
        <x:v>1</x:v>
      </x:c>
      <x:c r="J97" t="str">
        <x:v>150-65 CROSS ISLAND PARKWAY, WHITESTONE, NY, 11357</x:v>
      </x:c>
      <x:c r="K97" t="str">
        <x:v>DOS address corroborated by ACRIS</x:v>
      </x:c>
      <x:c r="L97" t="n">
        <x:v>3</x:v>
      </x:c>
      <x:c r="M97" t="n">
        <x:v>6</x:v>
      </x:c>
      <x:c r="N97" t="str">
        <x:v>C POINT REALTY LLC | ELM PROPERTY HOLDINGS LLC | LRGM LLC</x:v>
      </x:c>
      <x:c r="O97" t="str">
        <x:v>122-10 14 AVENUE, NY 11356 | 14-66 CLINTONVILLE STREET, NY 11357 | 150 PLACE, NY 11357 | 157-18 WILLETS POINT BLVD, NY 11357 | 157-20 WILLETS POINT BLVD, NY 11357 | WILLETS POINT BLVD, NY 11357</x:v>
      </x:c>
      <x:c r="P97" t="n">
        <x:v>3</x:v>
      </x:c>
      <x:c r="Q97" s="15" t="n">
        <x:v>1</x:v>
      </x:c>
      <x:c r="R97" t="n">
        <x:v>2</x:v>
      </x:c>
      <x:c r="S97" t="str">
        <x:v>Strong DOS address corroboration</x:v>
      </x:c>
      <x:c r="T97" t="str">
        <x:v>No</x:v>
      </x:c>
      <x:c r="U97" t="n">
        <x:v>100</x:v>
      </x:c>
      <x:c r="V97" t="str">
        <x:v>https://data.ny.gov/Economic-Development/Active-Corporations-Beginning-1800/n9v6-gdp6</x:v>
      </x:c>
    </x:row>
    <x:row r="98">
      <x:c r="A98" t="str">
        <x:v>DOS-3-097</x:v>
      </x:c>
      <x:c r="B98" t="str">
        <x:v>Not Mailed</x:v>
      </x:c>
      <x:c r="C98" s="55"/>
      <x:c r="D98" t="str">
        <x:v>No Response</x:v>
      </x:c>
      <x:c r="E98" t="str"/>
      <x:c r="F98" t="n">
        <x:v>3</x:v>
      </x:c>
      <x:c r="G98" t="str">
        <x:v>PROPERTY OWNER</x:v>
      </x:c>
      <x:c r="H98" t="str"/>
      <x:c r="I98" t="n">
        <x:v>0</x:v>
      </x:c>
      <x:c r="J98" t="str">
        <x:v>150 GEORGE STREET, BROOKLYN, NY, 11237, US</x:v>
      </x:c>
      <x:c r="K98" t="str">
        <x:v>ACRIS deed-party address</x:v>
      </x:c>
      <x:c r="L98" t="n">
        <x:v>3</x:v>
      </x:c>
      <x:c r="M98" t="n">
        <x:v>6</x:v>
      </x:c>
      <x:c r="N98" t="str">
        <x:v>9013 JAMAICA AVE LLC | JUNGLE MEADOWS LLC | YUKAH LLC</x:v>
      </x:c>
      <x:c r="O98" t="str">
        <x:v>13-17 ELIZABETH STREET APT 504, NY 10013 | 13-17 ELIZABETH STREET APT 505, NY 10013 | 13-17 ELIZABETH STREET APT 506, NY 10013 | 55 HESTER STREET APT 11B, NY 10002 | 76-03 174 STREET, NY 11366 | 90-13 JAMAICA AVENUE, NY 11421</x:v>
      </x:c>
      <x:c r="P98" t="n">
        <x:v>3</x:v>
      </x:c>
      <x:c r="Q98" s="15" t="n">
        <x:v>1</x:v>
      </x:c>
      <x:c r="R98" t="n">
        <x:v>1</x:v>
      </x:c>
      <x:c r="S98" t="str">
        <x:v>Active-name matches only</x:v>
      </x:c>
      <x:c r="T98" t="str">
        <x:v>No</x:v>
      </x:c>
      <x:c r="U98" t="n">
        <x:v>100</x:v>
      </x:c>
      <x:c r="V98" t="str">
        <x:v>https://data.ny.gov/Economic-Development/Active-Corporations-Beginning-1800/n9v6-gdp6</x:v>
      </x:c>
    </x:row>
    <x:row r="99">
      <x:c r="A99" t="str">
        <x:v>DOS-3-098</x:v>
      </x:c>
      <x:c r="B99" t="str">
        <x:v>Not Mailed</x:v>
      </x:c>
      <x:c r="C99" s="55"/>
      <x:c r="D99" t="str">
        <x:v>No Response</x:v>
      </x:c>
      <x:c r="E99" t="str"/>
      <x:c r="F99" t="n">
        <x:v>3</x:v>
      </x:c>
      <x:c r="G99" t="str">
        <x:v>PROPERTY OWNER</x:v>
      </x:c>
      <x:c r="H99" t="str"/>
      <x:c r="I99" t="n">
        <x:v>0</x:v>
      </x:c>
      <x:c r="J99" t="str">
        <x:v>1548 E 2ND STREET, BROOKLYN, NY, 11230, US</x:v>
      </x:c>
      <x:c r="K99" t="str">
        <x:v>ACRIS deed-party address</x:v>
      </x:c>
      <x:c r="L99" t="n">
        <x:v>3</x:v>
      </x:c>
      <x:c r="M99" t="n">
        <x:v>6</x:v>
      </x:c>
      <x:c r="N99" t="str">
        <x:v>1241 FINDLAY LLC | 3217 3223 PEARSALL LLC | JS EVERGREEN REALTY LLC</x:v>
      </x:c>
      <x:c r="O99" t="str">
        <x:v>1240 EVERGREEN AVENUE, NY 10472 | 1241 FINDLAY AVENUE, NY 10456 | 3217 PEARSALL AVENUE, NY 10469 | 3219 PEARSALL AVENUE, NY 10469 | 3221 PEARSALL AVENUE, NY 10469 | 3223 PEARSALL AVENUE, NY 10469</x:v>
      </x:c>
      <x:c r="P99" t="n">
        <x:v>3</x:v>
      </x:c>
      <x:c r="Q99" s="15" t="n">
        <x:v>1</x:v>
      </x:c>
      <x:c r="R99" t="n">
        <x:v>1</x:v>
      </x:c>
      <x:c r="S99" t="str">
        <x:v>Active-name matches only</x:v>
      </x:c>
      <x:c r="T99" t="str">
        <x:v>No</x:v>
      </x:c>
      <x:c r="U99" t="n">
        <x:v>100</x:v>
      </x:c>
      <x:c r="V99" t="str">
        <x:v>https://data.ny.gov/Economic-Development/Active-Corporations-Beginning-1800/n9v6-gdp6</x:v>
      </x:c>
    </x:row>
    <x:row r="100">
      <x:c r="A100" t="str">
        <x:v>DOS-3-099</x:v>
      </x:c>
      <x:c r="B100" t="str">
        <x:v>Not Mailed</x:v>
      </x:c>
      <x:c r="C100" s="55"/>
      <x:c r="D100" t="str">
        <x:v>No Response</x:v>
      </x:c>
      <x:c r="E100" t="str"/>
      <x:c r="F100" t="n">
        <x:v>3</x:v>
      </x:c>
      <x:c r="G100" t="str">
        <x:v>PROPERTY OWNER</x:v>
      </x:c>
      <x:c r="H100" t="str"/>
      <x:c r="I100" t="n">
        <x:v>0</x:v>
      </x:c>
      <x:c r="J100" t="str">
        <x:v>1601 55TH STREET, BROOKLYN, NY, 11204, US</x:v>
      </x:c>
      <x:c r="K100" t="str">
        <x:v>ACRIS deed-party address</x:v>
      </x:c>
      <x:c r="L100" t="n">
        <x:v>3</x:v>
      </x:c>
      <x:c r="M100" t="n">
        <x:v>6</x:v>
      </x:c>
      <x:c r="N100" t="str">
        <x:v>592 596 UNION AVENUE LLC | ESJI EQUITIES LLC | JAHO ON BROADWAY LLC</x:v>
      </x:c>
      <x:c r="O100" t="str">
        <x:v>393 BROADWAY, NY 11211 | 4201 FT HAMILTON PARKWAY APT 1L, NY 11219 | 4201 FT HAMILTON PARKWAY APT 1R, NY 11219 | 4201 FT HAMILTON PARKWAY APT BL, NY 11219 | 4201 FT HAMILTON PARKWAY APT P, NY 11219 | 592 UNION AVENUE, NY 10455</x:v>
      </x:c>
      <x:c r="P100" t="n">
        <x:v>3</x:v>
      </x:c>
      <x:c r="Q100" s="15" t="n">
        <x:v>1</x:v>
      </x:c>
      <x:c r="R100" t="n">
        <x:v>0</x:v>
      </x:c>
      <x:c r="S100" t="str">
        <x:v>Shared DOS address</x:v>
      </x:c>
      <x:c r="T100" t="str">
        <x:v>No</x:v>
      </x:c>
      <x:c r="U100" t="n">
        <x:v>100</x:v>
      </x:c>
      <x:c r="V100" t="str">
        <x:v>https://data.ny.gov/Economic-Development/Active-Corporations-Beginning-1800/n9v6-gdp6</x:v>
      </x:c>
    </x:row>
    <x:row r="101">
      <x:c r="A101" t="str">
        <x:v>DOS-3-100</x:v>
      </x:c>
      <x:c r="B101" t="str">
        <x:v>Not Mailed</x:v>
      </x:c>
      <x:c r="C101" s="55"/>
      <x:c r="D101" t="str">
        <x:v>No Response</x:v>
      </x:c>
      <x:c r="E101" t="str"/>
      <x:c r="F101" t="n">
        <x:v>3</x:v>
      </x:c>
      <x:c r="G101" t="str">
        <x:v>PROPERTY OWNER</x:v>
      </x:c>
      <x:c r="H101" t="str"/>
      <x:c r="I101" t="n">
        <x:v>0</x:v>
      </x:c>
      <x:c r="J101" t="str">
        <x:v>174 DELANCEY PLACE, BRONX, NY, 10462</x:v>
      </x:c>
      <x:c r="K101" t="str">
        <x:v>DOS address corroborated by ACRIS</x:v>
      </x:c>
      <x:c r="L101" t="n">
        <x:v>3</x:v>
      </x:c>
      <x:c r="M101" t="n">
        <x:v>6</x:v>
      </x:c>
      <x:c r="N101" t="str">
        <x:v>D A B REALTY LLC | DOREEN DEVELOPMENT LLC | G Y R DEVELOPMENT LLC</x:v>
      </x:c>
      <x:c r="O101" t="str">
        <x:v>1168-1170 CLAY AVENUE, NY 10456 | 2079 DALY AVENUE, NY 10460 | 235 EAST 173 STREET, NY 10457 | 237 EAST 173 STREET, NY 10457 | 239 EAST 173 STREET, NY 10457 | 241 EAST 173 STREET, NY 10457</x:v>
      </x:c>
      <x:c r="P101" t="n">
        <x:v>3</x:v>
      </x:c>
      <x:c r="Q101" s="15" t="n">
        <x:v>1</x:v>
      </x:c>
      <x:c r="R101" t="n">
        <x:v>3</x:v>
      </x:c>
      <x:c r="S101" t="str">
        <x:v>Strong DOS address corroboration</x:v>
      </x:c>
      <x:c r="T101" t="str">
        <x:v>No</x:v>
      </x:c>
      <x:c r="U101" t="n">
        <x:v>100</x:v>
      </x:c>
      <x:c r="V101" t="str">
        <x:v>https://data.ny.gov/Economic-Development/Active-Corporations-Beginning-1800/n9v6-gdp6</x:v>
      </x:c>
    </x:row>
    <x:row r="102">
      <x:c r="A102" t="str">
        <x:v>DOS-4-001</x:v>
      </x:c>
      <x:c r="B102" t="str">
        <x:v>Not Mailed</x:v>
      </x:c>
      <x:c r="C102" s="55"/>
      <x:c r="D102" t="str">
        <x:v>No Response</x:v>
      </x:c>
      <x:c r="E102" t="str"/>
      <x:c r="F102" t="n">
        <x:v>4</x:v>
      </x:c>
      <x:c r="G102" t="str">
        <x:v>PROPERTY OWNER</x:v>
      </x:c>
      <x:c r="H102" t="str"/>
      <x:c r="I102" t="n">
        <x:v>0</x:v>
      </x:c>
      <x:c r="J102" t="str">
        <x:v>780 WEST END AVE, Ste 1E, NEW YORK, NY, 10025</x:v>
      </x:c>
      <x:c r="K102" t="str">
        <x:v>DOS address corroborated by ACRIS</x:v>
      </x:c>
      <x:c r="L102" t="n">
        <x:v>4</x:v>
      </x:c>
      <x:c r="M102" t="n">
        <x:v>82</x:v>
      </x:c>
      <x:c r="N102" t="str">
        <x:v>200 E 62 ST LLC | 215 W 88 LLC | 610 WEST 110 LLC | NIB HOLDINGS LLC</x:v>
      </x:c>
      <x:c r="O102" t="str">
        <x:v>200 EAST 62 STREET APT 15A, NY 10065 | 200 EAST 62 STREET APT 17A, NY 10065 | 200 EAST 62 STREET APT 18C, NY 10065 | 200 EAST 62 STREET APT 19B, NY 10065 | 200 EAST 62 STREET APT 21A, NY 10065 | 200 EAST 62 STREET APT 22E, NY 10065 | 200 EAST 62 STREET APT 28B, NY 10065 | 200 EAST 62 STREET APT 4B, NY 10065 | 200 EAST 62 STREET APT 5E, NY 10065 | 200 EAST 62 STREET APT 6D, NY 10065 | 200 EAST 66 STREET APT A0201, NY 10065 | 200 EAST 66 STREET APT A0303, NY 10065 | 200 EAST 66 STREET APT A0606, NY 10065 | 200 EAST 66 STREET APT A0802, NY 10065 | 200 EAST 66 STREET APT A0902, NY 10065 | 200 EAST 66 STREET APT A1003, NY 10065 | 200 EAST 66 STREET APT A1004, NY 10065 | 200 EAST 66 STREET APT A1104, NY 10065 | 200 EAST 66 STREET APT A1502, NY 10065 | 200 EAST 66 STREET APT A1503, NY 10065 | 200 EAST 66 STREET APT A2005, NY 10065 | 200 EAST 66 STREET APT B0302, NY 10065 | 200 EAST 66 STREET APT B0402, NY 10065 | 200 EAST 66 STREET APT B0505, NY 10065 | 200 EAST 66 STREET APT B0701, NY 10065 | 200 EAST 66 STREET APT B0801, NY 10065 | 200 EAST 66 STREET APT B1104, NY 10065 | 200 EAST 66 STREET APT B1105, NY 10065 | 200 EAST 66 STREET APT B1406, NY 10065 | 200 EAST 66 STREET APT C0202, NY 10065 | 200 EAST 66 STREET APT C0801, NY 10065 | 200 EAST 66 STREET APT C0902, NY 10065 | 200 EAST 66 STREET APT C1104, NY 10065 | 200 EAST 66 STREET APT C1201, NY 10065 | 200 EAST 66 STREET APT C1902, NY 10065 | 200 EAST 66 STREET APT D0704, NY 10065 | 200 EAST 66 STREET APT D0901, NY 10065 | 200 EAST 66 STREET APT D0902, NY 10065 | 200 EAST 66 STREET APT D0903, NY 10065 | 200 EAST 66 STREET APT D1102, NY 10065 | 200 EAST 66 STREET APT D1104, NY 10065 | 200 EAST 66 STREET APT D1601, NY 10065 | 200 EAST 66 STREET APT D1802, NY 10065 | 200 EAST 66 STREET APT D1905, NY 10065 | 200 EAST 66 STREET APT E0301, NY 10065 | 200 EAST 66 STREET APT E1206, NY 10065 | 200 EAST 66 STREET APT E2004, NY 10065 | 200 EAST 66 STREET APT MR3, NY 10065 | 215 WEST 88 STREET APT 10D, NY 10024 | 215 WEST 88 STREET APT 10E, NY 10024 | 215 WEST 88 STREET APT 11C, NY 10024 | 215 WEST 88 STREET APT 11G, NY 10024 | 215 WEST 88 STREET APT 11H, NY 10024 | 215 WEST 88 STREET APT 12A, NY 10024 | 215 WEST 88 STREET APT 12C, NY 10024 | 215 WEST 88 STREET APT 12H, NY 10024 | 215 WEST 88 STREET APT 1A, NY 10024 | 215 WEST 88 STREET APT 1D, NY 10024 | 215 WEST 88 STREET APT 2F, NY 10024 | 215 WEST 88 STREET APT 3B, NY 10024 | 215 WEST 88 STREET APT 3C, NY 10024 | 215 WEST 88 STREET APT 3H, NY 10024 | 215 WEST 88 STREET APT 4E, NY 10024 | 215 WEST 88 STREET APT 5E, NY 10024 | 215 WEST 88 STREET APT 5G, NY 10024 | 215 WEST 88 STREET APT 6H, NY 10024 | 215 WEST 88 STREET APT 7E, NY 10024 | 215 WEST 88 STREET APT 7H, NY 10024 | 215 WEST 88 STREET APT 8C, NY 10024 | 215 WEST 88 STREET APT 8D, NY 10024 | 215 WEST 88 STREET APT 9G, NY 10024 | 610 CATHEDRAL PARKWAY APT 12B, NY 10025 | 610 CATHEDRAL PARKWAY APT 15A, NY 10025 | 610 CATHEDRAL PARKWAY APT 15B, NY 10025 | 610 CATHEDRAL PARKWAY APT 15C, NY 10025 | 610 CATHEDRAL PARKWAY APT 1A, NY 10025 | 610 CATHEDRAL PARKWAY APT 2E, NY 10025 | 610 CATHEDRAL PARKWAY APT 4E, NY 10025 | 610 CATHEDRAL PARKWAY APT 6A, NY 10025 | 610 CATHEDRAL PARKWAY APT 6B, NY 10025 | 610 CATHEDRAL PARKWAY APT 7B, NY 10025 | 610 CATHEDRAL PARKWAY APT 9B, NY 10025</x:v>
      </x:c>
      <x:c r="P102" t="n">
        <x:v>4</x:v>
      </x:c>
      <x:c r="Q102" s="15" t="n">
        <x:v>1</x:v>
      </x:c>
      <x:c r="R102" t="n">
        <x:v>1</x:v>
      </x:c>
      <x:c r="S102" t="str">
        <x:v>Shared DOS address</x:v>
      </x:c>
      <x:c r="T102" t="str">
        <x:v>No</x:v>
      </x:c>
      <x:c r="U102" t="n">
        <x:v>100</x:v>
      </x:c>
      <x:c r="V102" t="str">
        <x:v>https://data.ny.gov/Economic-Development/Active-Corporations-Beginning-1800/n9v6-gdp6</x:v>
      </x:c>
    </x:row>
    <x:row r="103">
      <x:c r="A103" t="str">
        <x:v>DOS-4-002</x:v>
      </x:c>
      <x:c r="B103" t="str">
        <x:v>Not Mailed</x:v>
      </x:c>
      <x:c r="C103" s="55"/>
      <x:c r="D103" t="str">
        <x:v>No Response</x:v>
      </x:c>
      <x:c r="E103" t="str"/>
      <x:c r="F103" t="n">
        <x:v>4</x:v>
      </x:c>
      <x:c r="G103" t="str">
        <x:v>PROPERTY OWNER</x:v>
      </x:c>
      <x:c r="H103" t="str"/>
      <x:c r="I103" t="n">
        <x:v>0</x:v>
      </x:c>
      <x:c r="J103" t="str">
        <x:v>5605 14th Avenue, BROOKLYN, NY, 11219</x:v>
      </x:c>
      <x:c r="K103" t="str">
        <x:v>DOS address corroborated by ACRIS</x:v>
      </x:c>
      <x:c r="L103" t="n">
        <x:v>4</x:v>
      </x:c>
      <x:c r="M103" t="n">
        <x:v>70</x:v>
      </x:c>
      <x:c r="N103" t="str">
        <x:v>261 WADSWORTH LLC | 57 63 WADSWORTH LLC | 840 REALTY GROUP LLC | REGO ESTATES LLC</x:v>
      </x:c>
      <x:c r="O103" t="str">
        <x:v>57-63 WADSWORTH TERRACE, NY 10040 | 615 WEST 186 STREET, NY 10033 | 65-20 BOOTH STREET APT 1A, NY 11374 | 65-20 BOOTH STREET APT 1B, NY 11374 | 65-20 BOOTH STREET APT 1C, NY 11374 | 65-20 BOOTH STREET APT 1D, NY 11374 | 65-20 BOOTH STREET APT 1E, NY 11374 | 65-20 BOOTH STREET APT 1F, NY 11374 | 65-20 BOOTH STREET APT 1G, NY 11374 | 65-20 BOOTH STREET APT 1H, NY 11374 | 65-20 BOOTH STREET APT 1J, NY 11374 | 65-20 BOOTH STREET APT 1K, NY 11374 | 65-20 BOOTH STREET APT 1L, NY 11374 | 65-20 BOOTH STREET APT 2A, NY 11374 | 65-20 BOOTH STREET APT 2B, NY 11374 | 65-20 BOOTH STREET APT 2C, NY 11374 | 65-20 BOOTH STREET APT 2D, NY 11374 | 65-20 BOOTH STREET APT 2E, NY 11374 | 65-20 BOOTH STREET APT 2F, NY 11374 | 65-20 BOOTH STREET APT 2G, NY 11374 | 65-20 BOOTH STREET APT 2H, NY 11374 | 65-20 BOOTH STREET APT 2J, NY 11374 | 65-20 BOOTH STREET APT 2K, NY 11374 | 65-20 BOOTH STREET APT 2L, NY 11374 | 65-20 BOOTH STREET APT 3A, NY 11374 | 65-20 BOOTH STREET APT 3B, NY 11374 | 65-20 BOOTH STREET APT 3C, NY 11374 | 65-20 BOOTH STREET APT 3D, NY 11374 | 65-20 BOOTH STREET APT 3E, NY 11374 | 65-20 BOOTH STREET APT 3F, NY 11374 | 65-20 BOOTH STREET APT 3G, NY 11374 | 65-20 BOOTH STREET APT 3H, NY 11374 | 65-20 BOOTH STREET APT 3J, NY 11374 | 65-20 BOOTH STREET APT 3K, NY 11374 | 65-20 BOOTH STREET APT 3L, NY 11374 | 65-20 BOOTH STREET APT 4A, NY 11374 | 65-20 BOOTH STREET APT 4B, NY 11374 | 65-20 BOOTH STREET APT 4C, NY 11374 | 65-20 BOOTH STREET APT 4D, NY 11374 | 65-20 BOOTH STREET APT 4E, NY 11374 | 65-20 BOOTH STREET APT 4F, NY 11374 | 65-20 BOOTH STREET APT 4G, NY 11374 | 65-20 BOOTH STREET APT 4H, NY 11374 | 65-20 BOOTH STREET APT 4J, NY 11374 | 65-20 BOOTH STREET APT 4K, NY 11374 | 65-20 BOOTH STREET APT 4L, NY 11374 | 65-20 BOOTH STREET APT 5A, NY 11374 | 65-20 BOOTH STREET APT 5B, NY 11374 | 65-20 BOOTH STREET APT 5C, NY 11374 | 65-20 BOOTH STREET APT 5D, NY 11374 | 65-20 BOOTH STREET APT 5E, NY 11374 | 65-20 BOOTH STREET APT 5F, NY 11374 | 65-20 BOOTH STREET APT 5G, NY 11374 | 65-20 BOOTH STREET APT 5H, NY 11374 | 65-20 BOOTH STREET APT 5J, NY 11374 | 65-20 BOOTH STREET APT 5K, NY 11374 | 65-20 BOOTH STREET APT 5L, NY 11374 | 65-20 BOOTH STREET APT 6A, NY 11374 | 65-20 BOOTH STREET APT 6B, NY 11374 | 65-20 BOOTH STREET APT 6C, NY 11374 | 65-20 BOOTH STREET APT 6D, NY 11374 | 65-20 BOOTH STREET APT 6E, NY 11374 | 65-20 BOOTH STREET APT 6F, NY 11374 | 65-20 BOOTH STREET APT 6G, NY 11374 | 65-20 BOOTH STREET APT 6H, NY 11374 | 65-20 BOOTH STREET APT 6J, NY 11374 | 65-20 BOOTH STREET APT 6K, NY 11374 | 65-20 BOOTH STREET APT 6L, NY 11374 | 65-20 BOOTH STREET APT B-BL, NY 11374 | 814 40 STREET, NY 11232</x:v>
      </x:c>
      <x:c r="P103" t="n">
        <x:v>4</x:v>
      </x:c>
      <x:c r="Q103" s="15" t="n">
        <x:v>1</x:v>
      </x:c>
      <x:c r="R103" t="n">
        <x:v>1</x:v>
      </x:c>
      <x:c r="S103" t="str">
        <x:v>Shared DOS address</x:v>
      </x:c>
      <x:c r="T103" t="str">
        <x:v>No</x:v>
      </x:c>
      <x:c r="U103" t="n">
        <x:v>100</x:v>
      </x:c>
      <x:c r="V103" t="str">
        <x:v>https://data.ny.gov/Economic-Development/Active-Corporations-Beginning-1800/n9v6-gdp6</x:v>
      </x:c>
    </x:row>
    <x:row r="104">
      <x:c r="A104" t="str">
        <x:v>DOS-4-003</x:v>
      </x:c>
      <x:c r="B104" t="str">
        <x:v>Not Mailed</x:v>
      </x:c>
      <x:c r="C104" s="55"/>
      <x:c r="D104" t="str">
        <x:v>No Response</x:v>
      </x:c>
      <x:c r="E104" t="str"/>
      <x:c r="F104" t="n">
        <x:v>4</x:v>
      </x:c>
      <x:c r="G104" t="str">
        <x:v>PROPERTY OWNER</x:v>
      </x:c>
      <x:c r="H104" t="str"/>
      <x:c r="I104" t="n">
        <x:v>0</x:v>
      </x:c>
      <x:c r="J104" t="str">
        <x:v>51-01 GRAND AVE, MASPETH, NY, 11378</x:v>
      </x:c>
      <x:c r="K104" t="str">
        <x:v>DOS address corroborated by ACRIS</x:v>
      </x:c>
      <x:c r="L104" t="n">
        <x:v>4</x:v>
      </x:c>
      <x:c r="M104" t="n">
        <x:v>55</x:v>
      </x:c>
      <x:c r="N104" t="str">
        <x:v>ELM 53 TOWER LLC | PDW HOLDINGS LLC | ROCKFU ENCORE LLC | Y AND H REALTY NY LLC</x:v>
      </x:c>
      <x:c r="O104" t="str">
        <x:v>225 EAST 34 STREET APT 6C, NY 10016 | 23-15 44TH DRIVE APT 5912, NY 11101 | 45-11 82ND STREET APT W-2A, NY 11373 | 45-11 82ND STREET APT W-2E, NY 11373 | 45-11 82ND STREET APT W-2G, NY 11373 | 45-11 82ND STREET APT W-2H, NY 11373 | 45-11 82ND STREET APT W-2J, NY 11373 | 45-11 82ND STREET APT W-3B, NY 11373 | 45-11 82ND STREET APT W-3D, NY 11373 | 45-11 82ND STREET APT W-3E, NY 11373 | 45-11 82ND STREET APT W-3G, NY 11373 | 45-11 82ND STREET APT W-3H, NY 11373 | 45-11 82ND STREET APT W-4B, NY 11373 | 45-11 82ND STREET APT W-4C, NY 11373 | 45-11 82ND STREET APT W-4J, NY 11373 | 45-11 82ND STREET APT W-5D, NY 11373 | 45-11 82ND STREET APT W-5G, NY 11373 | 45-11 82ND STREET APT W-5J, NY 11373 | 45-11 82ND STREET APT W-6A, NY 11373 | 45-11 82ND STREET APT W-6C, NY 11373 | 45-11 82ND STREET APT W-6D, NY 11373 | 45-11 82ND STREET APT W-6E, NY 11373 | 45-11 82ND STREET APT W-6F, NY 11373 | 45-11 82ND STREET APT W-6J, NY 11373 | 45-11 82ND STREET APT W-7A, NY 11373 | 45-11 82ND STREET APT W-8A, NY 11373 | 45-11 82ND STREET APT W-8B, NY 11373 | 45-11 82ND STREET APT W-8C, NY 11373 | 45-11 82ND STREET APT W-8D, NY 11373 | 45-11 82ND STREET APT W-8H, NY 11373 | 45-11 82ND STREET APT W4H, NY 11373 | 45-16 83RD STREET APT E-2B, NY 11373 | 45-16 83RD STREET APT E-2F, NY 11373 | 45-16 83RD STREET APT E-2K, NY 11373 | 45-16 83RD STREET APT E-2L, NY 11373 | 45-16 83RD STREET APT E-3E, NY 11373 | 45-16 83RD STREET APT E-3F, NY 11373 | 45-16 83RD STREET APT E-3J, NY 11373 | 45-16 83RD STREET APT E-3K, NY 11373 | 45-16 83RD STREET APT E-3L, NY 11373 | 45-16 83RD STREET APT E-4B, NY 11373 | 45-16 83RD STREET APT E-4C, NY 11373 | 45-16 83RD STREET APT E-4F, NY 11373 | 45-16 83RD STREET APT E-4L, NY 11373 | 45-16 83RD STREET APT E-5G, NY 11373 | 45-16 83RD STREET APT E-5L, NY 11373 | 45-16 83RD STREET APT E-6A, NY 11373 | 45-16 83RD STREET APT E-6B, NY 11373 | 45-16 83RD STREET APT E-6F, NY 11373 | 45-16 83RD STREET APT E-6H, NY 11373 | 45-16 83RD STREET APT E-6K, NY 11373 | 45-16 83RD STREET APT E-7B, NY 11373 | 45-16 83RD STREET APT E-8B, NY 11373 | 45-16 83RD STREET APT E-8K, NY 11373 | 56-72 49 PLACE, NY 11378</x:v>
      </x:c>
      <x:c r="P104" t="n">
        <x:v>4</x:v>
      </x:c>
      <x:c r="Q104" s="15" t="n">
        <x:v>1</x:v>
      </x:c>
      <x:c r="R104" t="n">
        <x:v>3</x:v>
      </x:c>
      <x:c r="S104" t="str">
        <x:v>Strong DOS address corroboration</x:v>
      </x:c>
      <x:c r="T104" t="str">
        <x:v>No</x:v>
      </x:c>
      <x:c r="U104" t="n">
        <x:v>100</x:v>
      </x:c>
      <x:c r="V104" t="str">
        <x:v>https://data.ny.gov/Economic-Development/Active-Corporations-Beginning-1800/n9v6-gdp6</x:v>
      </x:c>
    </x:row>
    <x:row r="105">
      <x:c r="A105" t="str">
        <x:v>DOS-4-004</x:v>
      </x:c>
      <x:c r="B105" t="str">
        <x:v>Not Mailed</x:v>
      </x:c>
      <x:c r="C105" s="55"/>
      <x:c r="D105" t="str">
        <x:v>No Response</x:v>
      </x:c>
      <x:c r="E105" t="str"/>
      <x:c r="F105" t="n">
        <x:v>4</x:v>
      </x:c>
      <x:c r="G105" t="str">
        <x:v>PROPERTY OWNER</x:v>
      </x:c>
      <x:c r="H105" t="str"/>
      <x:c r="I105" t="n">
        <x:v>0</x:v>
      </x:c>
      <x:c r="J105" t="str">
        <x:v>366 North Broadway, Suite 410, Jericho, NY, 11753</x:v>
      </x:c>
      <x:c r="K105" t="str">
        <x:v>DOS address corroborated by ACRIS</x:v>
      </x:c>
      <x:c r="L105" t="n">
        <x:v>4</x:v>
      </x:c>
      <x:c r="M105" t="n">
        <x:v>33</x:v>
      </x:c>
      <x:c r="N105" t="str">
        <x:v>44TH STREET LLC | 572 5TH AVE REALTY LLC | ELUR COMPANY LLC | LINK 52 LLC</x:v>
      </x:c>
      <x:c r="O105" t="str">
        <x:v>1600 BROADWAY APT 20F, NY 10019 | 403 EAST 62 STREET APT 6D, NY 10065 | 41-32 44 STREET APT 1A, NY 11104 | 41-32 44 STREET APT 2D, NY 11104 | 41-32 44 STREET APT 2E, NY 11104 | 41-32 44 STREET APT 3C, NY 11104 | 41-32 44 STREET APT 3D, NY 11104 | 41-32 44 STREET APT 3E, NY 11104 | 41-32 44 STREET APT 4A, NY 11104 | 41-32 44 STREET APT 4C, NY 11104 | 41-32 44 STREET APT 4D, NY 11104 | 41-32 44 STREET APT 4E, NY 11104 | 41-32 44 STREET APT 5A, NY 11104 | 41-32 44 STREET APT 5C, NY 11104 | 41-32 44 STREET APT 5D, NY 11104 | 41-32 44 STREET APT 5E, NY 11104 | 41-32 44 STREET APT 6A, NY 11104 | 41-32 44 STREET APT 6B, NY 11104 | 41-32 44 STREET APT 6D, NY 11104 | 41-32 44 STREET APT 6E, NY 11104 | 41-32 44 STREET APT 7A, NY 11104 | 41-32 44 STREET APT 7B, NY 11104 | 41-32 44 STREET APT 7C, NY 11104 | 41-32 44 STREET APT 7D, NY 11104 | 41-32 44 STREET APT P1, NY 11104 | 41-32 44 STREET APT P4, NY 11104 | 41-32 44 STREET APT P5, NY 11104 | 41-32 44 STREET APT P6, NY 11104 | 41-32 44 STREET APT P7, NY 11104 | 41-32 44 STREET APT P8, NY 11104 | 41-32 44 STREET APT P9, NY 11104 | 41-32 BEACH 44 STREET APT 6C, NY 11691 | 572 5 AVENUE, NY 11215</x:v>
      </x:c>
      <x:c r="P105" t="n">
        <x:v>4</x:v>
      </x:c>
      <x:c r="Q105" s="15" t="n">
        <x:v>1</x:v>
      </x:c>
      <x:c r="R105" t="n">
        <x:v>2</x:v>
      </x:c>
      <x:c r="S105" t="str">
        <x:v>Strong DOS address corroboration</x:v>
      </x:c>
      <x:c r="T105" t="str">
        <x:v>No</x:v>
      </x:c>
      <x:c r="U105" t="n">
        <x:v>100</x:v>
      </x:c>
      <x:c r="V105" t="str">
        <x:v>https://data.ny.gov/Economic-Development/Active-Corporations-Beginning-1800/n9v6-gdp6</x:v>
      </x:c>
    </x:row>
    <x:row r="106">
      <x:c r="A106" t="str">
        <x:v>DOS-4-005</x:v>
      </x:c>
      <x:c r="B106" t="str">
        <x:v>Not Mailed</x:v>
      </x:c>
      <x:c r="C106" s="55"/>
      <x:c r="D106" t="str">
        <x:v>No Response</x:v>
      </x:c>
      <x:c r="E106" t="str"/>
      <x:c r="F106" t="n">
        <x:v>4</x:v>
      </x:c>
      <x:c r="G106" t="str">
        <x:v>PROPERTY OWNER</x:v>
      </x:c>
      <x:c r="H106" t="str"/>
      <x:c r="I106" t="n">
        <x:v>0</x:v>
      </x:c>
      <x:c r="J106" t="str">
        <x:v>25-19 BORDEN AVENUE, LONG ISLAND CITY, NY, 11101</x:v>
      </x:c>
      <x:c r="K106" t="str">
        <x:v>DOS address corroborated by ACRIS</x:v>
      </x:c>
      <x:c r="L106" t="n">
        <x:v>4</x:v>
      </x:c>
      <x:c r="M106" t="n">
        <x:v>30</x:v>
      </x:c>
      <x:c r="N106" t="str">
        <x:v>533 48TH LLC | 55BC LLC | SEABROOK LLC | SG 31 LLC</x:v>
      </x:c>
      <x:c r="O106" t="str">
        <x:v>31-35 31 STREET APT 305, NY 11106 | 31-35 31 STREET APT 306, NY 11106 | 31-35 31 STREET APT 310, NY 11106 | 31-35 31 STREET APT 313, NY 11106 | 31-35 31 STREET APT 316, NY 11106 | 31-35 31 STREET APT 404, NY 11106 | 31-35 31 STREET APT 409, NY 11106 | 31-35 31 STREET APT 417, NY 11106 | 31-35 31 STREET APT 501, NY 11106 | 31-35 31 STREET APT 502, NY 11106 | 31-35 31 STREET APT 505, NY 11106 | 31-35 31 STREET APT 509, NY 11106 | 31-35 31 STREET APT 513, NY 11106 | 31-35 31 STREET APT 604, NY 11106 | 31-35 31 STREET APT 613, NY 11106 | 31-35 31 STREET APT 706, NY 11106 | 31-35 31 STREET APT CF-1, NY 11106 | 31-35 31 STREET APT CF-2, NY 11106 | 31-35 31 STREET APT L-1, NY 11106 | 31-35 31 STREET APT R-4, NY 11106 | 31-35 31 STREET APT R-5, NY 11106 | 31-35 31 STREET APT R-6, NY 11106 | 31-35 31 STREET APT R-7, NY 11106 | 31-35 31 STREET APT S-1, NY 11106 | 31-35 31 STREET APT S-2, NY 11106 | 31-35 31 STREET APT S-3, NY 11106 | 31-35 31 STREET APT S-4, NY 11106 | 33-20 55 STREET, NY 11377 | 5-33 48TH AVENUE APT CU-1, NY 11101 | 703 MANHATTAN AVENUE, NY 11222</x:v>
      </x:c>
      <x:c r="P106" t="n">
        <x:v>4</x:v>
      </x:c>
      <x:c r="Q106" s="15" t="n">
        <x:v>1</x:v>
      </x:c>
      <x:c r="R106" t="n">
        <x:v>3</x:v>
      </x:c>
      <x:c r="S106" t="str">
        <x:v>Strong DOS address corroboration</x:v>
      </x:c>
      <x:c r="T106" t="str">
        <x:v>No</x:v>
      </x:c>
      <x:c r="U106" t="n">
        <x:v>100</x:v>
      </x:c>
      <x:c r="V106" t="str">
        <x:v>https://data.ny.gov/Economic-Development/Active-Corporations-Beginning-1800/n9v6-gdp6</x:v>
      </x:c>
    </x:row>
    <x:row r="107">
      <x:c r="A107" t="str">
        <x:v>DOS-4-006</x:v>
      </x:c>
      <x:c r="B107" t="str">
        <x:v>Not Mailed</x:v>
      </x:c>
      <x:c r="C107" s="55"/>
      <x:c r="D107" t="str">
        <x:v>No Response</x:v>
      </x:c>
      <x:c r="E107" t="str"/>
      <x:c r="F107" t="n">
        <x:v>4</x:v>
      </x:c>
      <x:c r="G107" t="str">
        <x:v>PROPERTY OWNER</x:v>
      </x:c>
      <x:c r="H107" t="str"/>
      <x:c r="I107" t="n">
        <x:v>0</x:v>
      </x:c>
      <x:c r="J107" t="str">
        <x:v>410 PARK AVE STE 1630, NEW YORK, NY, 10022</x:v>
      </x:c>
      <x:c r="K107" t="str">
        <x:v>DOS address corroborated by ACRIS</x:v>
      </x:c>
      <x:c r="L107" t="n">
        <x:v>4</x:v>
      </x:c>
      <x:c r="M107" t="n">
        <x:v>30</x:v>
      </x:c>
      <x:c r="N107" t="str">
        <x:v>15 WEST 55TH ST PROPERTY LLC | C45 LLC | CASSA 45 LLC | MIDTOWN 45 LLC</x:v>
      </x:c>
      <x:c r="O107" t="str">
        <x:v>15-17 WEST 55 STREET, NY 10019 | 66 WEST 45 STREET APT U 28B, NY 10036 | 66 WEST 45 STREET APT U 29A, NY 10036 | 66 WEST 45 STREET APT U 29B, NY 10036 | 66 WEST 45 STREET APT U 30A, NY 10036 | 66 WEST 45 STREET APT U 30B, NY 10036 | 66 WEST 45 STREET APT U 30D, NY 10036 | 66 WEST 45 STREET APT U 31B, NY 10036 | 66 WEST 45 STREET APT U 31D, NY 10036 | 66 WEST 45 STREET APT U 33B, NY 10036 | 66 WEST 45 STREET APT U 33D, NY 10036 | 66 WEST 45 STREET APT U 34B, NY 10036 | 66 WEST 45 STREET APT U 34C, NY 10036 | 66 WEST 45 STREET APT U 35B, NY 10036 | 66 WEST 45 STREET APT U 36C, NY 10036 | 66 WEST 45 STREET APT U 37A, NY 10036 | 66 WEST 45 STREET APT U 37C, NY 10036 | 66 WEST 45 STREET APT U 38A, NY 10036 | 66 WEST 45 STREET APT U 38C, NY 10036 | 66 WEST 45 STREET APT U 41A, NY 10036 | 66 WEST 45 STREET APT U 41B, NY 10036 | 66 WEST 45 STREET APT U 42A, NY 10036 | 66 WEST 45 STREET APT U 42B, NY 10036 | 66 WEST 45 STREET APT U 43A, NY 10036 | 66 WEST 45 STREET APT U 43B, NY 10036 | 66 WEST 45 STREET APT U 44B, NY 10036 | 66 WEST 45 STREET APT U39A, NY 10036 | 66 WEST 45 STREET APT U39B, NY 10036 | 66 WEST 45 STREET APT U40A, NY 10036 | 66 WEST 45 STREET APT U40B, NY 10036</x:v>
      </x:c>
      <x:c r="P107" t="n">
        <x:v>4</x:v>
      </x:c>
      <x:c r="Q107" s="15" t="n">
        <x:v>1</x:v>
      </x:c>
      <x:c r="R107" t="n">
        <x:v>1</x:v>
      </x:c>
      <x:c r="S107" t="str">
        <x:v>Shared DOS address</x:v>
      </x:c>
      <x:c r="T107" t="str">
        <x:v>No</x:v>
      </x:c>
      <x:c r="U107" t="n">
        <x:v>100</x:v>
      </x:c>
      <x:c r="V107" t="str">
        <x:v>https://data.ny.gov/Economic-Development/Active-Corporations-Beginning-1800/n9v6-gdp6</x:v>
      </x:c>
    </x:row>
    <x:row r="108">
      <x:c r="A108" t="str">
        <x:v>DOS-4-007</x:v>
      </x:c>
      <x:c r="B108" t="str">
        <x:v>Not Mailed</x:v>
      </x:c>
      <x:c r="C108" s="55"/>
      <x:c r="D108" t="str">
        <x:v>No Response</x:v>
      </x:c>
      <x:c r="E108" t="str"/>
      <x:c r="F108" t="n">
        <x:v>4</x:v>
      </x:c>
      <x:c r="G108" t="str">
        <x:v>PROPERTY OWNER</x:v>
      </x:c>
      <x:c r="H108" t="str"/>
      <x:c r="I108" t="n">
        <x:v>0</x:v>
      </x:c>
      <x:c r="J108" t="str">
        <x:v>2307 W 13 STREET, BROOKLYN, NY, 11223</x:v>
      </x:c>
      <x:c r="K108" t="str">
        <x:v>DOS address corroborated by ACRIS</x:v>
      </x:c>
      <x:c r="L108" t="n">
        <x:v>4</x:v>
      </x:c>
      <x:c r="M108" t="n">
        <x:v>28</x:v>
      </x:c>
      <x:c r="N108" t="str">
        <x:v>12 AVE CF 108 LLC | 2107 65TH ST LLC | 6418 8TH AVE REALTY LLC | DG RESIDENTIAL LLC</x:v>
      </x:c>
      <x:c r="O108" t="str">
        <x:v>1238 63 ST APT C-108, NY 11219 | 1238 63 ST APT C-109, NY 11219 | 1238 63 ST APT D-218, NY 11219 | 1238 63 ST APT D-223, NY 11219 | 1238 63 ST APT D-229, NY 11219 | 1238 63 ST APT D-245, NY 11219 | 1238 63 ST APT D-310, NY 11219 | 1238 63 ST APT D-417, NY 11219 | 1238 63 ST APT P109, NY 11219 | 1238 63 ST APT P113, NY 11219 | 1238 63 ST APT P115, NY 11219 | 1238 63 ST APT P14, NY 11219 | 1238 63 ST APT P19, NY 11219 | 1238 63 ST APT P2, NY 11219 | 1238 63 ST APT P65, NY 11219 | 1238 63 ST APT P66, NY 11219 | 1238 63 ST APT P67, NY 11219 | 1238 63 ST APT P68, NY 11219 | 1238 63 ST APT P69, NY 11219 | 1238 63 ST APT P70, NY 11219 | 1238 63 ST APT P71, NY 11219 | 1238 63 ST APT P72, NY 11219 | 1238 63 ST APT P89, NY 11219 | 1238 63 ST APT P90, NY 11219 | 1238 63 ST APT P91, NY 11219 | 1238 63 ST APT P92, NY 11219 | 2107 65 STREET, NY 11204 | 6418 8 AVENUE, NY 11220</x:v>
      </x:c>
      <x:c r="P108" t="n">
        <x:v>4</x:v>
      </x:c>
      <x:c r="Q108" s="15" t="n">
        <x:v>1</x:v>
      </x:c>
      <x:c r="R108" t="n">
        <x:v>1</x:v>
      </x:c>
      <x:c r="S108" t="str">
        <x:v>Shared DOS address</x:v>
      </x:c>
      <x:c r="T108" t="str">
        <x:v>No</x:v>
      </x:c>
      <x:c r="U108" t="n">
        <x:v>100</x:v>
      </x:c>
      <x:c r="V108" t="str">
        <x:v>https://data.ny.gov/Economic-Development/Active-Corporations-Beginning-1800/n9v6-gdp6</x:v>
      </x:c>
    </x:row>
    <x:row r="109">
      <x:c r="A109" t="str">
        <x:v>DOS-4-008</x:v>
      </x:c>
      <x:c r="B109" t="str">
        <x:v>Not Mailed</x:v>
      </x:c>
      <x:c r="C109" s="55"/>
      <x:c r="D109" t="str">
        <x:v>No Response</x:v>
      </x:c>
      <x:c r="E109" t="str"/>
      <x:c r="F109" t="n">
        <x:v>4</x:v>
      </x:c>
      <x:c r="G109" t="str">
        <x:v>PROPERTY OWNER</x:v>
      </x:c>
      <x:c r="H109" t="str">
        <x:v>ANTONIO DI SAVERIO</x:v>
      </x:c>
      <x:c r="I109" t="n">
        <x:v>1</x:v>
      </x:c>
      <x:c r="J109" t="str">
        <x:v>41-63 71ST STREET, WOODSIDE, NY, 11377</x:v>
      </x:c>
      <x:c r="K109" t="str">
        <x:v>DOS address corroborated by ACRIS</x:v>
      </x:c>
      <x:c r="L109" t="n">
        <x:v>4</x:v>
      </x:c>
      <x:c r="M109" t="n">
        <x:v>28</x:v>
      </x:c>
      <x:c r="N109" t="str">
        <x:v>IL FIGARO LLC | SOLO REAL ESTATE MGMT LLC | TERRA CONSTRUCT MGMT LLC | TOTO MGMT LLC</x:v>
      </x:c>
      <x:c r="O109" t="str">
        <x:v>25-24 BROADWAY, NY 11106 | 25-28 BROADWAY, NY 11106 | 35-12 31 STREET APT 1, NY 11106 | 35-12 31 STREET APT 1A, NY 11106 | 35-12 31 STREET APT 2, NY 11106 | 35-12 31 STREET APT 2A, NY 11106 | 35-12 31 STREET APT 3A, NY 11106 | 35-12 31 STREET APT 7, NY 11106 | 35-12 31 STREET APT 8, NY 11106 | 35-12 31 STREET APT 9, NY 11106 | 35-14 31 STREET APT 1B, NY 11106 | 35-14 31 STREET APT 2B, NY 11106 | 35-14 31 STREET APT 3, NY 11106 | 35-14 31 STREET APT 3B, NY 11106 | 35-14 31 STREET APT 4, NY 11106 | 35-16 31 STREET APT 10, NY 11106 | 35-16 31 STREET APT 1C, NY 11106 | 35-16 31 STREET APT 2C, NY 11106 | 35-16 31 STREET APT 3C, NY 11106 | 35-18 31 STREET APT 11, NY 11106 | 35-18 31 STREET APT 12, NY 11106 | 35-18 31 STREET APT 13, NY 11106 | 35-18 31 STREET APT 1D, NY 11106 | 35-18 31 STREET APT 2D, NY 11106 | 35-18 31 STREET APT 3D, NY 11106 | 35-18 31 STREET APT 5, NY 11106 | 35-18 31 STREET APT 6, NY 11106 | 38-12 31 STREET, NY 11101</x:v>
      </x:c>
      <x:c r="P109" t="n">
        <x:v>4</x:v>
      </x:c>
      <x:c r="Q109" s="15" t="n">
        <x:v>1</x:v>
      </x:c>
      <x:c r="R109" t="n">
        <x:v>3</x:v>
      </x:c>
      <x:c r="S109" t="str">
        <x:v>Strong DOS address corroboration</x:v>
      </x:c>
      <x:c r="T109" t="str">
        <x:v>No</x:v>
      </x:c>
      <x:c r="U109" t="n">
        <x:v>100</x:v>
      </x:c>
      <x:c r="V109" t="str">
        <x:v>https://data.ny.gov/Economic-Development/Active-Corporations-Beginning-1800/n9v6-gdp6</x:v>
      </x:c>
    </x:row>
    <x:row r="110">
      <x:c r="A110" t="str">
        <x:v>DOS-4-009</x:v>
      </x:c>
      <x:c r="B110" t="str">
        <x:v>Not Mailed</x:v>
      </x:c>
      <x:c r="C110" s="55"/>
      <x:c r="D110" t="str">
        <x:v>No Response</x:v>
      </x:c>
      <x:c r="E110" t="str"/>
      <x:c r="F110" t="n">
        <x:v>4</x:v>
      </x:c>
      <x:c r="G110" t="str">
        <x:v>PROPERTY OWNER</x:v>
      </x:c>
      <x:c r="H110" t="str"/>
      <x:c r="I110" t="n">
        <x:v>0</x:v>
      </x:c>
      <x:c r="J110" t="str">
        <x:v>3 COLUMBUS CIRCLE, 23RD FLOOR, NEW YORK, NY, 10019, US</x:v>
      </x:c>
      <x:c r="K110" t="str">
        <x:v>ACRIS deed-party address</x:v>
      </x:c>
      <x:c r="L110" t="n">
        <x:v>4</x:v>
      </x:c>
      <x:c r="M110" t="n">
        <x:v>23</x:v>
      </x:c>
      <x:c r="N110" t="str">
        <x:v>147 WEST 24TH OWNER LLC | 3 COLUMBUS CIRCLE LLC SERIES A | 37 39 WEST 17TH OWNER LLC | 53 55 WEST 21ST OWNER LLC</x:v>
      </x:c>
      <x:c r="O110" t="str">
        <x:v>147 WEST 24 STREET, NY 10011 | 241 WEST 57 STREET APT 1, NY 10019 | 241 WEST 57 STREET APT 10, NY 10019 | 241 WEST 57 STREET APT 11, NY 10019 | 241 WEST 57 STREET APT 12, NY 10019 | 241 WEST 57 STREET APT 13, NY 10019 | 241 WEST 57 STREET APT 14, NY 10019 | 241 WEST 57 STREET APT 15, NY 10019 | 241 WEST 57 STREET APT 16, NY 10019 | 241 WEST 57 STREET APT 17, NY 10019 | 241 WEST 57 STREET APT 18, NY 10019 | 241 WEST 57 STREET APT 19, NY 10019 | 241 WEST 57 STREET APT 2, NY 10019 | 241 WEST 57 STREET APT 20, NY 10019 | 241 WEST 57 STREET APT 3, NY 10019 | 241 WEST 57 STREET APT 4, NY 10019 | 241 WEST 57 STREET APT 5, NY 10019 | 241 WEST 57 STREET APT 6, NY 10019 | 241 WEST 57 STREET APT 7, NY 10019 | 241 WEST 57 STREET APT 8, NY 10019 | 241 WEST 57 STREET APT 9, NY 10019 | 37-39 WEST 17 STREET, NY 10011 | 53-55 WEST 21 STREET, NY 10010</x:v>
      </x:c>
      <x:c r="P110" t="n">
        <x:v>3</x:v>
      </x:c>
      <x:c r="Q110" s="15" t="n">
        <x:v>0.75</x:v>
      </x:c>
      <x:c r="R110" t="n">
        <x:v>0</x:v>
      </x:c>
      <x:c r="S110" t="str">
        <x:v>Shared DOS address</x:v>
      </x:c>
      <x:c r="T110" t="str">
        <x:v>No</x:v>
      </x:c>
      <x:c r="U110" t="n">
        <x:v>100</x:v>
      </x:c>
      <x:c r="V110" t="str">
        <x:v>https://data.ny.gov/Economic-Development/Active-Corporations-Beginning-1800/n9v6-gdp6</x:v>
      </x:c>
    </x:row>
    <x:row r="111">
      <x:c r="A111" t="str">
        <x:v>DOS-4-010</x:v>
      </x:c>
      <x:c r="B111" t="str">
        <x:v>Not Mailed</x:v>
      </x:c>
      <x:c r="C111" s="55"/>
      <x:c r="D111" t="str">
        <x:v>No Response</x:v>
      </x:c>
      <x:c r="E111" t="str"/>
      <x:c r="F111" t="n">
        <x:v>4</x:v>
      </x:c>
      <x:c r="G111" t="str">
        <x:v>PROPERTY OWNER</x:v>
      </x:c>
      <x:c r="H111" t="str"/>
      <x:c r="I111" t="n">
        <x:v>0</x:v>
      </x:c>
      <x:c r="J111" t="str">
        <x:v>805 THIRD AVENUE, 7TH FLOOR, NEW YORK, NY, 10022, US</x:v>
      </x:c>
      <x:c r="K111" t="str">
        <x:v>ACRIS deed-party address</x:v>
      </x:c>
      <x:c r="L111" t="n">
        <x:v>4</x:v>
      </x:c>
      <x:c r="M111" t="n">
        <x:v>22</x:v>
      </x:c>
      <x:c r="N111" t="str">
        <x:v>350 EAST 86 LLC | 46 47 OWNER LLC | 655 MADISON LLC | CLINTON PB HOLDINGS I LLC</x:v>
      </x:c>
      <x:c r="O111" t="str">
        <x:v>10-14 WEST 47 STREET, NY 10036 | 11 WEST 46 STREET, NY 10036 | 13 WEST 46 STREET, NY 10036 | 15-17 WEST 46 STREET, NY 10036 | 1637 FIRST AVENUE, NY 10028 | 2-8 WEST 47 STREET, NY 10036 | 3 WEST 46 STREET, NY 10036 | 34 EAST 61 STREET, NY 10065 | 35 EAST 60 STREET, NY 10022 | 37 EAST 60 STREET APT 6, NY 10022 | 39 EAST 60 STREET, NY 10022 | 5 WEST 46 STREET, NY 10036 | 562 5 AVENUE, NY 10036 | 564-568 5 AVENUE, NY 10036 | 570 5 AVENUE, NY 10036 | 572 5 AVENUE, NY 10036 | 574 5 AVENUE, NY 10036 | 576-578 5 AVENUE, NY 10036 | 603 WEST 45 STREET, NY 10036 | 613-615 11 AVENUE, NY 10036 | 7 WEST 46 STREET, NY 10036 | 9 WEST 46 STREET, NY 10036</x:v>
      </x:c>
      <x:c r="P111" t="n">
        <x:v>4</x:v>
      </x:c>
      <x:c r="Q111" s="15" t="n">
        <x:v>1</x:v>
      </x:c>
      <x:c r="R111" t="n">
        <x:v>0</x:v>
      </x:c>
      <x:c r="S111" t="str">
        <x:v>Shared DOS address</x:v>
      </x:c>
      <x:c r="T111" t="str">
        <x:v>No</x:v>
      </x:c>
      <x:c r="U111" t="n">
        <x:v>100</x:v>
      </x:c>
      <x:c r="V111" t="str">
        <x:v>https://data.ny.gov/Economic-Development/Active-Corporations-Beginning-1800/n9v6-gdp6</x:v>
      </x:c>
    </x:row>
    <x:row r="112">
      <x:c r="A112" t="str">
        <x:v>DOS-4-011</x:v>
      </x:c>
      <x:c r="B112" t="str">
        <x:v>Not Mailed</x:v>
      </x:c>
      <x:c r="C112" s="55"/>
      <x:c r="D112" t="str">
        <x:v>No Response</x:v>
      </x:c>
      <x:c r="E112" t="str"/>
      <x:c r="F112" t="n">
        <x:v>4</x:v>
      </x:c>
      <x:c r="G112" t="str">
        <x:v>PROPERTY OWNER</x:v>
      </x:c>
      <x:c r="H112" t="str">
        <x:v>YAN WANG</x:v>
      </x:c>
      <x:c r="I112" t="n">
        <x:v>1</x:v>
      </x:c>
      <x:c r="J112" t="str">
        <x:v>87-01 56TH AVENUE, ELMHURST, NY, 11373, US</x:v>
      </x:c>
      <x:c r="K112" t="str">
        <x:v>ACRIS deed-party address</x:v>
      </x:c>
      <x:c r="L112" t="n">
        <x:v>4</x:v>
      </x:c>
      <x:c r="M112" t="n">
        <x:v>21</x:v>
      </x:c>
      <x:c r="N112" t="str">
        <x:v>8701 56 AVE LLC | W AND K GLOBAL REALTY LLC | W AND W GRAND CENTERS LLC | W AND W GRAND QUEENS LLC</x:v>
      </x:c>
      <x:c r="O112" t="str">
        <x:v>139 CENTRE STREET APT 215, NY 10013 | 139 CENTRE STREET APT 220, NY 10013 | 139 CENTRE STREET APT 224, NY 10013 | 139 CENTRE STREET APT ST2-C, NY 10013 | 37-20 PRINCE STREET APT 2A, NY 11354 | 37-20 PRINCE STREET APT 2B, NY 11354 | 37-20 PRINCE STREET APT 2C, NY 11354 | 37-20 PRINCE STREET APT 2D, NY 11354 | 37-20 PRINCE STREET APT 2E, NY 11354 | 37-20 PRINCE STREET APT 2F, NY 11354 | 37-20 PRINCE STREET APT 2G, NY 11354 | 37-20 PRINCE STREET APT 2H, NY 11354 | 37-20 PRINCE STREET APT 2I, NY 11354 | 37-20 PRINCE STREET APT 2J, NY 11354 | 37-20 PRINCE STREET APT 3A, NY 11354 | 37-20 PRINCE STREET APT 3B, NY 11354 | 37-20 PRINCE STREET APT 3C, NY 11354 | 37-20 PRINCE STREET APT 3D, NY 11354 | 85-16 QUEENS BOULEVARD, NY 11373 | 85-18 QUEENS BOULEVARD, NY 11373 | 87-01 56 AVENUE, NY 11373</x:v>
      </x:c>
      <x:c r="P112" t="n">
        <x:v>4</x:v>
      </x:c>
      <x:c r="Q112" s="15" t="n">
        <x:v>1</x:v>
      </x:c>
      <x:c r="R112" t="n">
        <x:v>1</x:v>
      </x:c>
      <x:c r="S112" t="str">
        <x:v>Active-name matches only</x:v>
      </x:c>
      <x:c r="T112" t="str">
        <x:v>No</x:v>
      </x:c>
      <x:c r="U112" t="n">
        <x:v>100</x:v>
      </x:c>
      <x:c r="V112" t="str">
        <x:v>https://data.ny.gov/Economic-Development/Active-Corporations-Beginning-1800/n9v6-gdp6</x:v>
      </x:c>
    </x:row>
    <x:row r="113">
      <x:c r="A113" t="str">
        <x:v>DOS-4-012</x:v>
      </x:c>
      <x:c r="B113" t="str">
        <x:v>Not Mailed</x:v>
      </x:c>
      <x:c r="C113" s="55"/>
      <x:c r="D113" t="str">
        <x:v>No Response</x:v>
      </x:c>
      <x:c r="E113" t="str"/>
      <x:c r="F113" t="n">
        <x:v>4</x:v>
      </x:c>
      <x:c r="G113" t="str">
        <x:v>PROPERTY OWNER</x:v>
      </x:c>
      <x:c r="H113" t="str"/>
      <x:c r="I113" t="n">
        <x:v>0</x:v>
      </x:c>
      <x:c r="J113" t="str">
        <x:v>150 GREAT NECK ROAD SUITE 402, GREAT NECK, NY, 11021, US</x:v>
      </x:c>
      <x:c r="K113" t="str">
        <x:v>ACRIS deed-party address</x:v>
      </x:c>
      <x:c r="L113" t="n">
        <x:v>4</x:v>
      </x:c>
      <x:c r="M113" t="n">
        <x:v>19</x:v>
      </x:c>
      <x:c r="N113" t="str">
        <x:v>1240 HANCOCK LLC | 714 SENECA REALTY LLC | 822 KNICKERBOCKER LLC | BLEECKER GROUP LLC</x:v>
      </x:c>
      <x:c r="O113" t="str">
        <x:v>1240 HANCOCK STREET APT 5, NY 11221 | 714 SENECA AVENUE APT 101, NY 11385 | 714 SENECA AVENUE APT 201, NY 11385 | 714 SENECA AVENUE APT 202, NY 11385 | 714 SENECA AVENUE APT 203, NY 11385 | 714 SENECA AVENUE APT 204, NY 11385 | 714 SENECA AVENUE APT 301, NY 11385 | 714 SENECA AVENUE APT 302, NY 11385 | 714 SENECA AVENUE APT 303, NY 11385 | 714 SENECA AVENUE APT 304, NY 11385 | 714 SENECA AVENUE APT 401, NY 11385 | 714 SENECA AVENUE APT 402, NY 11385 | 714 SENECA AVENUE APT 403, NY 11385 | 714 SENECA AVENUE APT 404, NY 11385 | 714 SENECA AVENUE APT 501, NY 11385 | 714 SENECA AVENUE APT 502, NY 11385 | 714 SENECA AVENUE APT 505, NY 11385 | 822 KNICKERBOCKER AVENUE APT 6, NY 11207 | 92 BLEECKER STREET, NY 11221</x:v>
      </x:c>
      <x:c r="P113" t="n">
        <x:v>4</x:v>
      </x:c>
      <x:c r="Q113" s="15" t="n">
        <x:v>1</x:v>
      </x:c>
      <x:c r="R113" t="n">
        <x:v>0</x:v>
      </x:c>
      <x:c r="S113" t="str">
        <x:v>Shared DOS address</x:v>
      </x:c>
      <x:c r="T113" t="str">
        <x:v>No</x:v>
      </x:c>
      <x:c r="U113" t="n">
        <x:v>100</x:v>
      </x:c>
      <x:c r="V113" t="str">
        <x:v>https://data.ny.gov/Economic-Development/Active-Corporations-Beginning-1800/n9v6-gdp6</x:v>
      </x:c>
    </x:row>
    <x:row r="114">
      <x:c r="A114" t="str">
        <x:v>DOS-4-013</x:v>
      </x:c>
      <x:c r="B114" t="str">
        <x:v>Not Mailed</x:v>
      </x:c>
      <x:c r="C114" s="55"/>
      <x:c r="D114" t="str">
        <x:v>No Response</x:v>
      </x:c>
      <x:c r="E114" t="str"/>
      <x:c r="F114" t="n">
        <x:v>4</x:v>
      </x:c>
      <x:c r="G114" t="str">
        <x:v>PROPERTY OWNER</x:v>
      </x:c>
      <x:c r="H114" t="str">
        <x:v>JONES LAW FIRM, P.C.</x:v>
      </x:c>
      <x:c r="I114" t="n">
        <x:v>1</x:v>
      </x:c>
      <x:c r="J114" t="str">
        <x:v>203 PARK LANE, DOUGLASTON, NY, 11363, US</x:v>
      </x:c>
      <x:c r="K114" t="str">
        <x:v>ACRIS deed-party address</x:v>
      </x:c>
      <x:c r="L114" t="n">
        <x:v>4</x:v>
      </x:c>
      <x:c r="M114" t="n">
        <x:v>17</x:v>
      </x:c>
      <x:c r="N114" t="str">
        <x:v>30TH AVENUE EAST ELMHURST LLC | 59TH STREET WOODSIDE LLC | 77TH STREET ELMHURST LLC | WOODSIDE NORTH LLC</x:v>
      </x:c>
      <x:c r="O114" t="str">
        <x:v>39-44 59 STREET, NY 11377 | 39-46 59 STREET, NY 11377 | 39-48 59 STREET, NY 11377 | 41-52 77 STREET, NY 11373 | 41-54 77 STREET, NY 11373 | 59-06 38 AVENUE APT A1, NY 11377 | 59-06 38 AVENUE APT A2, NY 11377 | 59-06 38 AVENUE APT A3, NY 11377 | 59-06 38 AVENUE APT A4, NY 11377 | 59-06 38 AVENUE APT A5, NY 11377 | 59-06 38 AVENUE APT A6, NY 11377 | 59-06 38 AVENUE APT B1, NY 11377 | 59-06 38 AVENUE APT B2, NY 11377 | 59-06 38 AVENUE APT B3, NY 11377 | 59-06 38 AVENUE APT B6, NY 11377 | 82-01 30 AVENUE, NY 11370 | 82-03 30 AVENUE, NY 11370</x:v>
      </x:c>
      <x:c r="P114" t="n">
        <x:v>3</x:v>
      </x:c>
      <x:c r="Q114" s="15" t="n">
        <x:v>0.75</x:v>
      </x:c>
      <x:c r="R114" t="n">
        <x:v>1</x:v>
      </x:c>
      <x:c r="S114" t="str">
        <x:v>Active-name matches only</x:v>
      </x:c>
      <x:c r="T114" t="str">
        <x:v>No</x:v>
      </x:c>
      <x:c r="U114" t="n">
        <x:v>100</x:v>
      </x:c>
      <x:c r="V114" t="str">
        <x:v>https://data.ny.gov/Economic-Development/Active-Corporations-Beginning-1800/n9v6-gdp6</x:v>
      </x:c>
    </x:row>
    <x:row r="115">
      <x:c r="A115" t="str">
        <x:v>DOS-4-014</x:v>
      </x:c>
      <x:c r="B115" t="str">
        <x:v>Not Mailed</x:v>
      </x:c>
      <x:c r="C115" s="55"/>
      <x:c r="D115" t="str">
        <x:v>No Response</x:v>
      </x:c>
      <x:c r="E115" t="str"/>
      <x:c r="F115" t="n">
        <x:v>4</x:v>
      </x:c>
      <x:c r="G115" t="str">
        <x:v>PROPERTY OWNER</x:v>
      </x:c>
      <x:c r="H115" t="str">
        <x:v>KUAN HE WU</x:v>
      </x:c>
      <x:c r="I115" t="n">
        <x:v>1</x:v>
      </x:c>
      <x:c r="J115" t="str">
        <x:v>58-51 MASPETH AVENUE, MASPETH, NY, 11378</x:v>
      </x:c>
      <x:c r="K115" t="str">
        <x:v>DOS address corroborated by ACRIS</x:v>
      </x:c>
      <x:c r="L115" t="n">
        <x:v>4</x:v>
      </x:c>
      <x:c r="M115" t="n">
        <x:v>17</x:v>
      </x:c>
      <x:c r="N115" t="str">
        <x:v>KH MAIN STREET REALTY LLC | KH REALTY OF FLUSHING LLC | KHW MAIN STREET REALTY LLC | KHW REALTY OF FLUSHING LLC</x:v>
      </x:c>
      <x:c r="O115" t="str">
        <x:v>134-48 BLOSSOM AVENUE APT CF1, NY 11355 | 134-48 BLOSSOM AVENUE APT CF2, NY 11355 | 134-48 BLOSSOM AVENUE APT CF3, NY 11355 | 134-48 BLOSSOM AVENUE APT CF4, NY 11355 | 134-48 BLOSSOM AVENUE APT CF5, NY 11355 | 134-48 BLOSSOM AVENUE APT CF6, NY 11355 | 134-48 BLOSSOM AVENUE APT CF7, NY 11355 | 134-48 BLOSSOM AVENUE APT CF8, NY 11355 | 134-48 BLOSSOM AVENUE APT P1, NY 11355 | 134-50 BLOSSOM AVENUE APT 6A, NY 11355 | 134-50 BLOSSOM AVENUE APT 6B, NY 11355 | 134-50 BLOSSOM AVENUE APT 6C, NY 11355 | 134-50 BLOSSOM AVENUE APT 6D, NY 11355 | 134-50 BLOSSOM AVENUE APT 6F, NY 11355 | 134-50 BLOSSOM AVENUE APT 6G, NY 11355 | 134-50 BLOSSOM AVENUE APT 6J, NY 11355 | 42-76 MAIN STREET APT C1, NY 11355</x:v>
      </x:c>
      <x:c r="P115" t="n">
        <x:v>4</x:v>
      </x:c>
      <x:c r="Q115" s="15" t="n">
        <x:v>1</x:v>
      </x:c>
      <x:c r="R115" t="n">
        <x:v>2</x:v>
      </x:c>
      <x:c r="S115" t="str">
        <x:v>Strong DOS address corroboration</x:v>
      </x:c>
      <x:c r="T115" t="str">
        <x:v>No</x:v>
      </x:c>
      <x:c r="U115" t="n">
        <x:v>100</x:v>
      </x:c>
      <x:c r="V115" t="str">
        <x:v>https://data.ny.gov/Economic-Development/Active-Corporations-Beginning-1800/n9v6-gdp6</x:v>
      </x:c>
    </x:row>
    <x:row r="116">
      <x:c r="A116" t="str">
        <x:v>DOS-4-015</x:v>
      </x:c>
      <x:c r="B116" t="str">
        <x:v>Not Mailed</x:v>
      </x:c>
      <x:c r="C116" s="55"/>
      <x:c r="D116" t="str">
        <x:v>No Response</x:v>
      </x:c>
      <x:c r="E116" t="str"/>
      <x:c r="F116" t="n">
        <x:v>4</x:v>
      </x:c>
      <x:c r="G116" t="str">
        <x:v>PROPERTY OWNER</x:v>
      </x:c>
      <x:c r="H116" t="str">
        <x:v>CHUN MIN KWOK</x:v>
      </x:c>
      <x:c r="I116" t="n">
        <x:v>1</x:v>
      </x:c>
      <x:c r="J116" t="str">
        <x:v>141-18 CHERRY AVENUE, #1A, FLUSHING, NY, 11355, US</x:v>
      </x:c>
      <x:c r="K116" t="str">
        <x:v>ACRIS deed-party address</x:v>
      </x:c>
      <x:c r="L116" t="n">
        <x:v>4</x:v>
      </x:c>
      <x:c r="M116" t="n">
        <x:v>15</x:v>
      </x:c>
      <x:c r="N116" t="str">
        <x:v>138 NORTHERN LLC | 146 GROUP LLC | 191 QUEENS LLC | NY KEY LLC</x:v>
      </x:c>
      <x:c r="O116" t="str">
        <x:v>138-12 NORTHERN BLVD APT 7F, NY 11354 | 138-12 NORTHERN BLVD APT C1, NY 11354 | 138-12 NORTHERN BLVD APT C2, NY 11354 | 138-12 NORTHERN BLVD APT C3, NY 11354 | 138-12 NORTHERN BLVD APT CF1, NY 11354 | 138-12 NORTHERN BLVD APT P1-41, NY 11354 | 35-20 146 STREET APT 3D, NY 11354 | 35-20 146 STREET APT 6E, NY 11354 | 35-20 146 STREET APT 6F, NY 11354 | 35-20 146 STREET APT C1, NY 11354 | 35-20 146 STREET APT CF1, NY 11354 | 35-20 146 STREET APT CF2, NY 11354 | 35-20 146 STREET APT P1, NY 11354 | 40-21 191 STREET, NY 11358 | 58-04 MAIN STREET APT P3, NY 11355</x:v>
      </x:c>
      <x:c r="P116" t="n">
        <x:v>4</x:v>
      </x:c>
      <x:c r="Q116" s="15" t="n">
        <x:v>1</x:v>
      </x:c>
      <x:c r="R116" t="n">
        <x:v>0</x:v>
      </x:c>
      <x:c r="S116" t="str">
        <x:v>Shared DOS address</x:v>
      </x:c>
      <x:c r="T116" t="str">
        <x:v>No</x:v>
      </x:c>
      <x:c r="U116" t="n">
        <x:v>100</x:v>
      </x:c>
      <x:c r="V116" t="str">
        <x:v>https://data.ny.gov/Economic-Development/Active-Corporations-Beginning-1800/n9v6-gdp6</x:v>
      </x:c>
    </x:row>
    <x:row r="117">
      <x:c r="A117" t="str">
        <x:v>DOS-4-016</x:v>
      </x:c>
      <x:c r="B117" t="str">
        <x:v>Not Mailed</x:v>
      </x:c>
      <x:c r="C117" s="55"/>
      <x:c r="D117" t="str">
        <x:v>No Response</x:v>
      </x:c>
      <x:c r="E117" t="str"/>
      <x:c r="F117" t="n">
        <x:v>4</x:v>
      </x:c>
      <x:c r="G117" t="str">
        <x:v>PROPERTY OWNER</x:v>
      </x:c>
      <x:c r="H117" t="str">
        <x:v>C/O BRIAN ELGART</x:v>
      </x:c>
      <x:c r="I117" t="n">
        <x:v>1</x:v>
      </x:c>
      <x:c r="J117" t="str">
        <x:v>107 82ND ST., BROOKLYN, NY, 11209</x:v>
      </x:c>
      <x:c r="K117" t="str">
        <x:v>DOS address corroborated by ACRIS</x:v>
      </x:c>
      <x:c r="L117" t="n">
        <x:v>4</x:v>
      </x:c>
      <x:c r="M117" t="n">
        <x:v>14</x:v>
      </x:c>
      <x:c r="N117" t="str">
        <x:v>33 W 63 NY LLC | 390 BUTLER LLC | FRANCINE REALTY KINGS LLC | FRANCINE REALTY NY LLC</x:v>
      </x:c>
      <x:c r="O117" t="str">
        <x:v>104-112 BOND STREET, NY 11217 | 108 PARK PLACE APT 6, NY 11217 | 109 PARK PLACE, NY 11217 | 148 WILLOW STREET APT 10, NY 11201 | 178 CLINTON STREET, NY 11201 | 272 FLATBUSH AVENUE, NY 11217 | 30 CHEEVER PLACE APT 8, NY 11231 | 319 WEST 80 STREET, NY 10024 | 33 WEST 63 STREET, NY 10023 | 373 HENRY STREET, NY 11201 | 390 2 STREET APT 16, NY 11215 | 390 BUTLER STREET, NY 11217 | 454 WEST 58 STREET, NY 10019 | 77 5 AVENUE, NY 11217</x:v>
      </x:c>
      <x:c r="P117" t="n">
        <x:v>4</x:v>
      </x:c>
      <x:c r="Q117" s="15" t="n">
        <x:v>1</x:v>
      </x:c>
      <x:c r="R117" t="n">
        <x:v>4</x:v>
      </x:c>
      <x:c r="S117" t="str">
        <x:v>Strong DOS address corroboration</x:v>
      </x:c>
      <x:c r="T117" t="str">
        <x:v>No</x:v>
      </x:c>
      <x:c r="U117" t="n">
        <x:v>100</x:v>
      </x:c>
      <x:c r="V117" t="str">
        <x:v>https://data.ny.gov/Economic-Development/Active-Corporations-Beginning-1800/n9v6-gdp6</x:v>
      </x:c>
    </x:row>
    <x:row r="118">
      <x:c r="A118" t="str">
        <x:v>DOS-4-017</x:v>
      </x:c>
      <x:c r="B118" t="str">
        <x:v>Not Mailed</x:v>
      </x:c>
      <x:c r="C118" s="55"/>
      <x:c r="D118" t="str">
        <x:v>No Response</x:v>
      </x:c>
      <x:c r="E118" t="str"/>
      <x:c r="F118" t="n">
        <x:v>4</x:v>
      </x:c>
      <x:c r="G118" t="str">
        <x:v>PROPERTY OWNER</x:v>
      </x:c>
      <x:c r="H118" t="str"/>
      <x:c r="I118" t="n">
        <x:v>0</x:v>
      </x:c>
      <x:c r="J118" t="str">
        <x:v>1721 BATH AVE, OFFICE, BROOKLYN, NY, 11214</x:v>
      </x:c>
      <x:c r="K118" t="str">
        <x:v>DOS address corroborated by ACRIS</x:v>
      </x:c>
      <x:c r="L118" t="n">
        <x:v>4</x:v>
      </x:c>
      <x:c r="M118" t="n">
        <x:v>13</x:v>
      </x:c>
      <x:c r="N118" t="str">
        <x:v>2335 BATH AVE LLC | 2337 BATH AV LLC | 315 WEST 92ND LLC | 8702 8708 18 AVE LLC</x:v>
      </x:c>
      <x:c r="O118" t="str">
        <x:v>1721 BATH AVENUE, NY 11214 | 2335 BATH AVENUE APT 1B, NY 11214 | 2335 BATH AVENUE APT 1C, NY 11214 | 2335 BATH AVENUE APT 1D, NY 11214 | 2335 BATH AVENUE APT 2B, NY 11214 | 2335 BATH AVENUE APT 3B, NY 11214 | 2335 BATH AVENUE APT 3C, NY 11214 | 2335 BATH AVENUE APT P2, NY 11214 | 2335 BATH AVENUE APT P5, NY 11214 | 2335 BATH AVENUE APT P6, NY 11214 | 2335 BATH AVENUE, NY 11214 | 2337 BATH AVENUE, NY 11214 | 315 WEST 92 STREET, NY 10025</x:v>
      </x:c>
      <x:c r="P118" t="n">
        <x:v>4</x:v>
      </x:c>
      <x:c r="Q118" s="15" t="n">
        <x:v>1</x:v>
      </x:c>
      <x:c r="R118" t="n">
        <x:v>2</x:v>
      </x:c>
      <x:c r="S118" t="str">
        <x:v>Strong DOS address corroboration</x:v>
      </x:c>
      <x:c r="T118" t="str">
        <x:v>No</x:v>
      </x:c>
      <x:c r="U118" t="n">
        <x:v>100</x:v>
      </x:c>
      <x:c r="V118" t="str">
        <x:v>https://data.ny.gov/Economic-Development/Active-Corporations-Beginning-1800/n9v6-gdp6</x:v>
      </x:c>
    </x:row>
    <x:row r="119">
      <x:c r="A119" t="str">
        <x:v>DOS-4-018</x:v>
      </x:c>
      <x:c r="B119" t="str">
        <x:v>Not Mailed</x:v>
      </x:c>
      <x:c r="C119" s="55"/>
      <x:c r="D119" t="str">
        <x:v>No Response</x:v>
      </x:c>
      <x:c r="E119" t="str"/>
      <x:c r="F119" t="n">
        <x:v>4</x:v>
      </x:c>
      <x:c r="G119" t="str">
        <x:v>PROPERTY OWNER</x:v>
      </x:c>
      <x:c r="H119" t="str"/>
      <x:c r="I119" t="n">
        <x:v>0</x:v>
      </x:c>
      <x:c r="J119" t="str">
        <x:v>26 HEYWARD STREET, BROOKLYN, NY, 11206, US</x:v>
      </x:c>
      <x:c r="K119" t="str">
        <x:v>ACRIS deed-party address</x:v>
      </x:c>
      <x:c r="L119" t="n">
        <x:v>4</x:v>
      </x:c>
      <x:c r="M119" t="n">
        <x:v>13</x:v>
      </x:c>
      <x:c r="N119" t="str">
        <x:v>PARK LYNCH BA LLC | PARK LYNCH FW LLC | PARK LYNCH MG LLC | PARK LYNCH MS LLC</x:v>
      </x:c>
      <x:c r="O119" t="str">
        <x:v>1 MIDDLETON STREET APT 2L, NY 11206 | 18 LYNCH STREET APT 2L, NY 11206 | 24 LYNCH STREET APT 3R, NY 11206 | 24 LYNCH STREET APT S1, NY 11206 | 28 LYNCH STREET APT 2R, NY 11206 | 28 LYNCH STREET APT S1, NY 11206 | 28 LYNCH STREET APT S2, NY 11206 | 4 LYNCH STREET APT 1R, NY 11206 | 4 LYNCH STREET APT 2R, NY 11206 | 5 MIDDLETON STREET APT 1R, NY 11206 | 5 MIDDLETON STREET APT 2R, NY 11206 | 5 MIDDLETON STREET APT 3R, NY 11206 | 8 LYNCH STREET APT 3L, NY 11206</x:v>
      </x:c>
      <x:c r="P119" t="n">
        <x:v>4</x:v>
      </x:c>
      <x:c r="Q119" s="15" t="n">
        <x:v>1</x:v>
      </x:c>
      <x:c r="R119" t="n">
        <x:v>0</x:v>
      </x:c>
      <x:c r="S119" t="str">
        <x:v>Shared DOS address</x:v>
      </x:c>
      <x:c r="T119" t="str">
        <x:v>No</x:v>
      </x:c>
      <x:c r="U119" t="n">
        <x:v>100</x:v>
      </x:c>
      <x:c r="V119" t="str">
        <x:v>https://data.ny.gov/Economic-Development/Active-Corporations-Beginning-1800/n9v6-gdp6</x:v>
      </x:c>
    </x:row>
    <x:row r="120">
      <x:c r="A120" t="str">
        <x:v>DOS-4-019</x:v>
      </x:c>
      <x:c r="B120" t="str">
        <x:v>Not Mailed</x:v>
      </x:c>
      <x:c r="C120" s="55"/>
      <x:c r="D120" t="str">
        <x:v>No Response</x:v>
      </x:c>
      <x:c r="E120" t="str"/>
      <x:c r="F120" t="n">
        <x:v>4</x:v>
      </x:c>
      <x:c r="G120" t="str">
        <x:v>JENNA BITTMAN</x:v>
      </x:c>
      <x:c r="H120" t="str">
        <x:v>JENNA BITTMAN</x:v>
      </x:c>
      <x:c r="I120" t="n">
        <x:v>2</x:v>
      </x:c>
      <x:c r="J120" t="str">
        <x:v>131 SPRING STREET, SUITE 405, New York, NY, 10012</x:v>
      </x:c>
      <x:c r="K120" t="str">
        <x:v>DOS address corroborated by ACRIS</x:v>
      </x:c>
      <x:c r="L120" t="n">
        <x:v>4</x:v>
      </x:c>
      <x:c r="M120" t="n">
        <x:v>12</x:v>
      </x:c>
      <x:c r="N120" t="str">
        <x:v>164 LUDLOW LLC | 84 STATE REALTY LLC | ATLANTIC GARDENS LLC | OR 239 MULBERRY LLC</x:v>
      </x:c>
      <x:c r="O120" t="str">
        <x:v>164 LUDLOW STREET, NY 10002 | 239 MULBERRY STREET, NY 10012 | 525 ATLANTIC AVENUE, NY 11217 | 527 ATLANTIC AVENUE, NY 11217 | 529 ATLANTIC AVENUE, NY 11217 | 531 ATLANTIC AVENUE, NY 11217 | 533 ATLANTIC AVENUE, NY 11217 | 535 ATLANTIC AVENUE, NY 11217 | 537 ATLANTIC AVENUE, NY 11217 | 539 ATLANTIC AVENUE, NY 11217 | 541 ATLANTIC AVENUE, NY 11217 | 84 STATE STREET, NY 11201</x:v>
      </x:c>
      <x:c r="P120" t="n">
        <x:v>4</x:v>
      </x:c>
      <x:c r="Q120" s="15" t="n">
        <x:v>1</x:v>
      </x:c>
      <x:c r="R120" t="n">
        <x:v>3</x:v>
      </x:c>
      <x:c r="S120" t="str">
        <x:v>Strong DOS address corroboration</x:v>
      </x:c>
      <x:c r="T120" t="str">
        <x:v>No</x:v>
      </x:c>
      <x:c r="U120" t="n">
        <x:v>100</x:v>
      </x:c>
      <x:c r="V120" t="str">
        <x:v>https://data.ny.gov/Economic-Development/Active-Corporations-Beginning-1800/n9v6-gdp6</x:v>
      </x:c>
    </x:row>
    <x:row r="121">
      <x:c r="A121" t="str">
        <x:v>DOS-4-020</x:v>
      </x:c>
      <x:c r="B121" t="str">
        <x:v>Not Mailed</x:v>
      </x:c>
      <x:c r="C121" s="55"/>
      <x:c r="D121" t="str">
        <x:v>No Response</x:v>
      </x:c>
      <x:c r="E121" t="str"/>
      <x:c r="F121" t="n">
        <x:v>4</x:v>
      </x:c>
      <x:c r="G121" t="str">
        <x:v>PROPERTY OWNER</x:v>
      </x:c>
      <x:c r="H121" t="str"/>
      <x:c r="I121" t="n">
        <x:v>0</x:v>
      </x:c>
      <x:c r="J121" t="str">
        <x:v>1400 BROADWAY, NEW YORK, NY, 10018, US</x:v>
      </x:c>
      <x:c r="K121" t="str">
        <x:v>ACRIS deed-party address</x:v>
      </x:c>
      <x:c r="L121" t="n">
        <x:v>4</x:v>
      </x:c>
      <x:c r="M121" t="n">
        <x:v>12</x:v>
      </x:c>
      <x:c r="N121" t="str">
        <x:v>16 LENOX GROUP LLC | 633 REALTY LLC | ESSEX HOUSE PROPERTIES LLC | GC CLARK LLC</x:v>
      </x:c>
      <x:c r="O121" t="str">
        <x:v>16 LENOX ROAD APT 12, NY 11226 | 160 CENTRAL PARK SOUTH APT 2220, NY 10019 | 160 CENTRAL PARK SOUTH APT 2716, NY 10019 | 633 3 AVENUE APT 1-B, NY 10017 | 633 3 AVENUE APT 1-C, NY 10017 | 633 3 AVENUE APT C-1, NY 10017 | 633 3 AVENUE APT C-3, NY 10017 | 633 3 AVENUE APT C-4, NY 10017 | 633 3 AVENUE APT C-5, NY 10017 | 633 3 AVENUE APT C-6, NY 10017 | 633 3 AVENUE APT C-7, NY 10017 | 8 CLARK STREET APT 41, NY 11201</x:v>
      </x:c>
      <x:c r="P121" t="n">
        <x:v>3</x:v>
      </x:c>
      <x:c r="Q121" s="15" t="n">
        <x:v>0.75</x:v>
      </x:c>
      <x:c r="R121" t="n">
        <x:v>0</x:v>
      </x:c>
      <x:c r="S121" t="str">
        <x:v>Active-name matches only</x:v>
      </x:c>
      <x:c r="T121" t="str">
        <x:v>No</x:v>
      </x:c>
      <x:c r="U121" t="n">
        <x:v>100</x:v>
      </x:c>
      <x:c r="V121" t="str">
        <x:v>https://data.ny.gov/Economic-Development/Active-Corporations-Beginning-1800/n9v6-gdp6</x:v>
      </x:c>
    </x:row>
    <x:row r="122">
      <x:c r="A122" t="str">
        <x:v>DOS-4-021</x:v>
      </x:c>
      <x:c r="B122" t="str">
        <x:v>Not Mailed</x:v>
      </x:c>
      <x:c r="C122" s="55"/>
      <x:c r="D122" t="str">
        <x:v>No Response</x:v>
      </x:c>
      <x:c r="E122" t="str"/>
      <x:c r="F122" t="n">
        <x:v>4</x:v>
      </x:c>
      <x:c r="G122" t="str">
        <x:v>PROPERTY OWNER</x:v>
      </x:c>
      <x:c r="H122" t="str"/>
      <x:c r="I122" t="n">
        <x:v>0</x:v>
      </x:c>
      <x:c r="J122" t="str">
        <x:v>1903 TOMLINSON AVENUE, BRONX, NY, 10461, US</x:v>
      </x:c>
      <x:c r="K122" t="str">
        <x:v>ACRIS deed-party address</x:v>
      </x:c>
      <x:c r="L122" t="n">
        <x:v>4</x:v>
      </x:c>
      <x:c r="M122" t="n">
        <x:v>12</x:v>
      </x:c>
      <x:c r="N122" t="str">
        <x:v>AL BROTHER S REALTY LLC | DAJC REALTY LLC | GJUSHI REALTY LLC | MLJ REALTY HOLDINGS LLC</x:v>
      </x:c>
      <x:c r="O122" t="str">
        <x:v>1526 VYSE AVENUE, NY 10460 | 1699 DAVIDSON AVENUE, NY 10453 | 1851 WALLACE AVENUE, NY 10462 | 1853 WALLACE AVENUE, NY 10462 | 1952 GLEASON AVENUE, NY 10472 | 1954 GLEASON AVENUE, NY 10472 | 2434A BEAUMONT AVENUE, NY 10458 | 2434B BEAUMONT AVENUE, NY 10458 | 2438A BEAUMONT AVENUE, NY 10458 | 2438B BEAUMONT AVENUE, NY 10458 | 834 RHINELANDER AVENUE, NY 10462 | 836 RHINELANDER AVENUE, NY 10462</x:v>
      </x:c>
      <x:c r="P122" t="n">
        <x:v>4</x:v>
      </x:c>
      <x:c r="Q122" s="15" t="n">
        <x:v>1</x:v>
      </x:c>
      <x:c r="R122" t="n">
        <x:v>0</x:v>
      </x:c>
      <x:c r="S122" t="str">
        <x:v>Shared DOS address</x:v>
      </x:c>
      <x:c r="T122" t="str">
        <x:v>No</x:v>
      </x:c>
      <x:c r="U122" t="n">
        <x:v>100</x:v>
      </x:c>
      <x:c r="V122" t="str">
        <x:v>https://data.ny.gov/Economic-Development/Active-Corporations-Beginning-1800/n9v6-gdp6</x:v>
      </x:c>
    </x:row>
    <x:row r="123">
      <x:c r="A123" t="str">
        <x:v>DOS-4-022</x:v>
      </x:c>
      <x:c r="B123" t="str">
        <x:v>Not Mailed</x:v>
      </x:c>
      <x:c r="C123" s="55"/>
      <x:c r="D123" t="str">
        <x:v>No Response</x:v>
      </x:c>
      <x:c r="E123" t="str"/>
      <x:c r="F123" t="n">
        <x:v>4</x:v>
      </x:c>
      <x:c r="G123" t="str">
        <x:v>PROPERTY OWNER</x:v>
      </x:c>
      <x:c r="H123" t="str"/>
      <x:c r="I123" t="n">
        <x:v>0</x:v>
      </x:c>
      <x:c r="J123" t="str">
        <x:v>39-07 PRINCE STREET, SUITE 3B, FLUSHING, NY, 11354, US</x:v>
      </x:c>
      <x:c r="K123" t="str">
        <x:v>ACRIS deed-party address</x:v>
      </x:c>
      <x:c r="L123" t="n">
        <x:v>4</x:v>
      </x:c>
      <x:c r="M123" t="n">
        <x:v>12</x:v>
      </x:c>
      <x:c r="N123" t="str">
        <x:v>108 ROOSEVELT LLC | JAMES AND MARK 168 LLC | MEADOW 56 LLC | QQ ASSET 53 LLC</x:v>
      </x:c>
      <x:c r="O123" t="str">
        <x:v>108-32 ROOSEVELT AVENUE, NY 11368 | 162-56 PIDGEON MEADOW ROAD, NY 11358 | 301 WEST 53 STREET APT 15G, NY 10019 | 63-14 QUEENS BOULEVARD APT AD-2K, NY 11377 | 63-14 QUEENS BOULEVARD APT AD-2M, NY 11377 | 63-14 QUEENS BOULEVARD APT AD-2N, NY 11377 | 63-14 QUEENS BOULEVARD APT AD-2P, NY 11377 | 63-14 QUEENS BOULEVARD APT AD-2Q, NY 11377 | 63-14 QUEENS BOULEVARD APT P-44, NY 11377 | 63-14 QUEENS BOULEVARD APT P-51, NY 11377 | 63-14 QUEENS BOULEVARD APT P-52, NY 11377 | 63-14 QUEENS BOULEVARD APT P-53, NY 11377</x:v>
      </x:c>
      <x:c r="P123" t="n">
        <x:v>4</x:v>
      </x:c>
      <x:c r="Q123" s="15" t="n">
        <x:v>1</x:v>
      </x:c>
      <x:c r="R123" t="n">
        <x:v>1</x:v>
      </x:c>
      <x:c r="S123" t="str">
        <x:v>Active-name matches only</x:v>
      </x:c>
      <x:c r="T123" t="str">
        <x:v>No</x:v>
      </x:c>
      <x:c r="U123" t="n">
        <x:v>100</x:v>
      </x:c>
      <x:c r="V123" t="str">
        <x:v>https://data.ny.gov/Economic-Development/Active-Corporations-Beginning-1800/n9v6-gdp6</x:v>
      </x:c>
    </x:row>
    <x:row r="124">
      <x:c r="A124" t="str">
        <x:v>DOS-4-023</x:v>
      </x:c>
      <x:c r="B124" t="str">
        <x:v>Not Mailed</x:v>
      </x:c>
      <x:c r="C124" s="55"/>
      <x:c r="D124" t="str">
        <x:v>No Response</x:v>
      </x:c>
      <x:c r="E124" t="str"/>
      <x:c r="F124" t="n">
        <x:v>4</x:v>
      </x:c>
      <x:c r="G124" t="str">
        <x:v>PROPERTY OWNER</x:v>
      </x:c>
      <x:c r="H124" t="str"/>
      <x:c r="I124" t="n">
        <x:v>0</x:v>
      </x:c>
      <x:c r="J124" t="str">
        <x:v>5-46 46TH AVENUE, LONG ISLAND CITY, NY, 11101</x:v>
      </x:c>
      <x:c r="K124" t="str">
        <x:v>DOS address corroborated by ACRIS</x:v>
      </x:c>
      <x:c r="L124" t="n">
        <x:v>4</x:v>
      </x:c>
      <x:c r="M124" t="n">
        <x:v>12</x:v>
      </x:c>
      <x:c r="N124" t="str">
        <x:v>DBLICQ LLC | PLAX BL25 LLC | PLAX BL26 LLC | PLAX BL27 LLC</x:v>
      </x:c>
      <x:c r="O124" t="str">
        <x:v>44-68 5 STREET, NY 11101 | 46-01 5 STREET, NY 11101 | 46-12 VERNON BOULEVARD, NY 11101 | 46-16 VERNON BOULEVARD, NY 11101 | 46-30 CENTER BOULEVARD APT 1504, NY 11109 | 5-01 46 ROAD, NY 11101 | 5-17 46 ROAD, NY 11101 | 5-21 46 ROAD, NY 11101 | 5-29 46 AVENUE, NY 11101 | 5-35-5-45 46 ROAD, NY 11101 | 5-37 46 AVENUE, NY 11101 | 5-38 46 AVENUE, NY 11101</x:v>
      </x:c>
      <x:c r="P124" t="n">
        <x:v>3</x:v>
      </x:c>
      <x:c r="Q124" s="15" t="n">
        <x:v>0.75</x:v>
      </x:c>
      <x:c r="R124" t="n">
        <x:v>3</x:v>
      </x:c>
      <x:c r="S124" t="str">
        <x:v>Strong DOS address corroboration</x:v>
      </x:c>
      <x:c r="T124" t="str">
        <x:v>No</x:v>
      </x:c>
      <x:c r="U124" t="n">
        <x:v>100</x:v>
      </x:c>
      <x:c r="V124" t="str">
        <x:v>https://data.ny.gov/Economic-Development/Active-Corporations-Beginning-1800/n9v6-gdp6</x:v>
      </x:c>
    </x:row>
    <x:row r="125">
      <x:c r="A125" t="str">
        <x:v>DOS-4-024</x:v>
      </x:c>
      <x:c r="B125" t="str">
        <x:v>Not Mailed</x:v>
      </x:c>
      <x:c r="C125" s="55"/>
      <x:c r="D125" t="str">
        <x:v>No Response</x:v>
      </x:c>
      <x:c r="E125" t="str"/>
      <x:c r="F125" t="n">
        <x:v>4</x:v>
      </x:c>
      <x:c r="G125" t="str">
        <x:v>PROPERTY OWNER</x:v>
      </x:c>
      <x:c r="H125" t="str"/>
      <x:c r="I125" t="n">
        <x:v>0</x:v>
      </x:c>
      <x:c r="J125" t="str">
        <x:v>70 LAFAYETTE STREET, NEW YORK, NY, 10013, US</x:v>
      </x:c>
      <x:c r="K125" t="str">
        <x:v>ACRIS deed-party address</x:v>
      </x:c>
      <x:c r="L125" t="n">
        <x:v>4</x:v>
      </x:c>
      <x:c r="M125" t="n">
        <x:v>12</x:v>
      </x:c>
      <x:c r="N125" t="str">
        <x:v>63 PITT STREET LLC | DK 14 23 BROADWAY LLC | DK 730 PROSPECT LLC | ONLY PROPERTIES LLC</x:v>
      </x:c>
      <x:c r="O125" t="str">
        <x:v>14-23 BROADWAY, NY 11106 | 156 CHAMBERS STREET, NY 10007 | 277 CHURCH STREET, NY 10013 | 31-33 WALKER STREET, NY 10013 | 415 LAFAYETTE STREET, NY 10003 | 489-493 BROOME STREET, NY 10013 | 498 BROADWAY, NY 10012 | 508-510 BROOME STREET, NY 10013 | 63 PITT STREET, NY 10002 | 730 PROSPECT PLACE, NY 11216 | 92 READE STREET, NY 10013 | 98 CHAMBERS STREET, NY 10007</x:v>
      </x:c>
      <x:c r="P125" t="n">
        <x:v>4</x:v>
      </x:c>
      <x:c r="Q125" s="15" t="n">
        <x:v>1</x:v>
      </x:c>
      <x:c r="R125" t="n">
        <x:v>3</x:v>
      </x:c>
      <x:c r="S125" t="str">
        <x:v>Strong DOS address corroboration</x:v>
      </x:c>
      <x:c r="T125" t="str">
        <x:v>No</x:v>
      </x:c>
      <x:c r="U125" t="n">
        <x:v>100</x:v>
      </x:c>
      <x:c r="V125" t="str">
        <x:v>https://data.ny.gov/Economic-Development/Active-Corporations-Beginning-1800/n9v6-gdp6</x:v>
      </x:c>
    </x:row>
    <x:row r="126">
      <x:c r="A126" t="str">
        <x:v>DOS-4-025</x:v>
      </x:c>
      <x:c r="B126" t="str">
        <x:v>Not Mailed</x:v>
      </x:c>
      <x:c r="C126" s="55"/>
      <x:c r="D126" t="str">
        <x:v>No Response</x:v>
      </x:c>
      <x:c r="E126" t="str"/>
      <x:c r="F126" t="n">
        <x:v>4</x:v>
      </x:c>
      <x:c r="G126" t="str">
        <x:v>PROPERTY OWNER</x:v>
      </x:c>
      <x:c r="H126" t="str"/>
      <x:c r="I126" t="n">
        <x:v>0</x:v>
      </x:c>
      <x:c r="J126" t="str">
        <x:v>9777 VITRAIL LANE, DELRAY BEACH, FL, 33446, US</x:v>
      </x:c>
      <x:c r="K126" t="str">
        <x:v>ACRIS deed-party address</x:v>
      </x:c>
      <x:c r="L126" t="n">
        <x:v>4</x:v>
      </x:c>
      <x:c r="M126" t="n">
        <x:v>12</x:v>
      </x:c>
      <x:c r="N126" t="str">
        <x:v>CJC RETACO LLC | KIMCOMATT REALTY 775 LLC | KIMCOMATT REALTY 840 LLC | TML KINGSLAND PARTNERS LLC</x:v>
      </x:c>
      <x:c r="O126" t="str">
        <x:v>1100 LAFAYETTE AVENUE, NY 10474 | 356 4 AVENUE, NY 11215 | 400 KINGSLAND AVENUE, NY 11222 | 775 TIFFANY STREET, NY 10474 | 830-850 GARRISON AVENUE, NY 10474 | 857 BARRY STREET, NY 10474 | 861 BARRY STREET, NY 10474 | 863 BARRY STREET, NY 10474 | BARRY STREET</x:v>
      </x:c>
      <x:c r="P126" t="n">
        <x:v>4</x:v>
      </x:c>
      <x:c r="Q126" s="15" t="n">
        <x:v>1</x:v>
      </x:c>
      <x:c r="R126" t="n">
        <x:v>0</x:v>
      </x:c>
      <x:c r="S126" t="str">
        <x:v>Shared DOS address</x:v>
      </x:c>
      <x:c r="T126" t="str">
        <x:v>No</x:v>
      </x:c>
      <x:c r="U126" t="n">
        <x:v>100</x:v>
      </x:c>
      <x:c r="V126" t="str">
        <x:v>https://data.ny.gov/Economic-Development/Active-Corporations-Beginning-1800/n9v6-gdp6</x:v>
      </x:c>
    </x:row>
    <x:row r="127">
      <x:c r="A127" t="str">
        <x:v>DOS-4-026</x:v>
      </x:c>
      <x:c r="B127" t="str">
        <x:v>Not Mailed</x:v>
      </x:c>
      <x:c r="C127" s="55"/>
      <x:c r="D127" t="str">
        <x:v>No Response</x:v>
      </x:c>
      <x:c r="E127" t="str"/>
      <x:c r="F127" t="n">
        <x:v>4</x:v>
      </x:c>
      <x:c r="G127" t="str">
        <x:v>JENNY D. KWAN</x:v>
      </x:c>
      <x:c r="H127" t="str">
        <x:v>JENNY D. KWAN</x:v>
      </x:c>
      <x:c r="I127" t="n">
        <x:v>4</x:v>
      </x:c>
      <x:c r="J127" t="str">
        <x:v>11 UTOPIA COURT, STATEN ISLAND, NY, 10304</x:v>
      </x:c>
      <x:c r="K127" t="str">
        <x:v>DOS address corroborated by ACRIS</x:v>
      </x:c>
      <x:c r="L127" t="n">
        <x:v>4</x:v>
      </x:c>
      <x:c r="M127" t="n">
        <x:v>11</x:v>
      </x:c>
      <x:c r="N127" t="str">
        <x:v>DOUBLE J 139 LLC | DOUBLE J RITZ LLC | DOUBLE J SKYMARK 16 LLC | DOUBLE J SKYMARK 9 LLC</x:v>
      </x:c>
      <x:c r="O127" t="str">
        <x:v>10 LITTLE WEST STREET APT 17E, NY 10004 | 139 CENTRE STREET APT 307, NY 10013 | 139 CENTRE STREET APT 309, NY 10013 | 139 CENTRE STREET APT 311, NY 10013 | 139 CENTRE STREET APT 313, NY 10013 | 139 CENTRE STREET APT 801, NY 10013 | 139 CENTRE STREET APT ST3-A, NY 10013 | 139 CENTRE STREET APT ST3-B, NY 10013 | 139 CENTRE STREET APT ST3-C, NY 10013 | 35 WEST 15 STREET APT 16B, NY 10011 | 35 WEST 15 STREET APT 9D, NY 10011</x:v>
      </x:c>
      <x:c r="P127" t="n">
        <x:v>4</x:v>
      </x:c>
      <x:c r="Q127" s="15" t="n">
        <x:v>1</x:v>
      </x:c>
      <x:c r="R127" t="n">
        <x:v>3</x:v>
      </x:c>
      <x:c r="S127" t="str">
        <x:v>Strong DOS address corroboration</x:v>
      </x:c>
      <x:c r="T127" t="str">
        <x:v>No</x:v>
      </x:c>
      <x:c r="U127" t="n">
        <x:v>100</x:v>
      </x:c>
      <x:c r="V127" t="str">
        <x:v>https://data.ny.gov/Economic-Development/Active-Corporations-Beginning-1800/n9v6-gdp6</x:v>
      </x:c>
    </x:row>
    <x:row r="128">
      <x:c r="A128" t="str">
        <x:v>DOS-4-027</x:v>
      </x:c>
      <x:c r="B128" t="str">
        <x:v>Not Mailed</x:v>
      </x:c>
      <x:c r="C128" s="55"/>
      <x:c r="D128" t="str">
        <x:v>No Response</x:v>
      </x:c>
      <x:c r="E128" t="str"/>
      <x:c r="F128" t="n">
        <x:v>4</x:v>
      </x:c>
      <x:c r="G128" t="str">
        <x:v>PROPERTY OWNER</x:v>
      </x:c>
      <x:c r="H128" t="str"/>
      <x:c r="I128" t="n">
        <x:v>0</x:v>
      </x:c>
      <x:c r="J128" t="str">
        <x:v>133 NORTH 4 STREET, BROOKLYN, NY, 11249, US</x:v>
      </x:c>
      <x:c r="K128" t="str">
        <x:v>ACRIS deed-party address</x:v>
      </x:c>
      <x:c r="L128" t="n">
        <x:v>4</x:v>
      </x:c>
      <x:c r="M128" t="n">
        <x:v>11</x:v>
      </x:c>
      <x:c r="N128" t="str">
        <x:v>1 LIKA LLC | 4 LIKA LLC | 5 LIKA LLC | 6 LIKA LLC</x:v>
      </x:c>
      <x:c r="O128" t="str">
        <x:v>114 NORTH 7 STREET, NY 11249 | 133 NORTH 4 STREET, NY 11249 | 174 ROEBLING STREET, NY 11211 | 185 METROPOLITAN AVENUE, NY 11249 | 187 METROPOLITAN AVENUE, NY 11249 | 230 LEONARD STREET, NY 11211 | 290 DEVOE STREET, NY 11211 | 457 KEAP STREET, NY 11211 | 81 NORTH 7 STREET, NY 11249 | 82 DEVOE STREET, NY 11211 | 95 NORTH 7 STREET, NY 11249</x:v>
      </x:c>
      <x:c r="P128" t="n">
        <x:v>4</x:v>
      </x:c>
      <x:c r="Q128" s="15" t="n">
        <x:v>1</x:v>
      </x:c>
      <x:c r="R128" t="n">
        <x:v>0</x:v>
      </x:c>
      <x:c r="S128" t="str">
        <x:v>Shared DOS address</x:v>
      </x:c>
      <x:c r="T128" t="str">
        <x:v>No</x:v>
      </x:c>
      <x:c r="U128" t="n">
        <x:v>100</x:v>
      </x:c>
      <x:c r="V128" t="str">
        <x:v>https://data.ny.gov/Economic-Development/Active-Corporations-Beginning-1800/n9v6-gdp6</x:v>
      </x:c>
    </x:row>
    <x:row r="129">
      <x:c r="A129" t="str">
        <x:v>DOS-4-028</x:v>
      </x:c>
      <x:c r="B129" t="str">
        <x:v>Not Mailed</x:v>
      </x:c>
      <x:c r="C129" s="55"/>
      <x:c r="D129" t="str">
        <x:v>No Response</x:v>
      </x:c>
      <x:c r="E129" t="str"/>
      <x:c r="F129" t="n">
        <x:v>4</x:v>
      </x:c>
      <x:c r="G129" t="str">
        <x:v>PROPERTY OWNER</x:v>
      </x:c>
      <x:c r="H129" t="str"/>
      <x:c r="I129" t="n">
        <x:v>0</x:v>
      </x:c>
      <x:c r="J129" t="str">
        <x:v>1590 TROY AVENUE, BROOKLYN, NY, 11234</x:v>
      </x:c>
      <x:c r="K129" t="str">
        <x:v>DOS address corroborated by ACRIS</x:v>
      </x:c>
      <x:c r="L129" t="n">
        <x:v>4</x:v>
      </x:c>
      <x:c r="M129" t="n">
        <x:v>11</x:v>
      </x:c>
      <x:c r="N129" t="str">
        <x:v>106 02 ROCKAWAY BEACH LLC | 8613 DITMAS AVE REALTY LLC | CROISIC FEE OWNER II LLC | JDT REALTY ENTERPRISES LLC</x:v>
      </x:c>
      <x:c r="O129" t="str">
        <x:v>1590 TROY AVENUE, NY 11234 | 1600-1616 TROY AVENUE, NY 11234 | 1620 TROY AVENUE, NY 11234 | 218-220 5 AVENUE, NY 10001 | 4105 AVENUE H, NY 11210 | 4301-4303 AVENUE H, NY 11210 | 4315-4323 AVENUE H, NY 11210 | 8613-8623 DITMAS AVENUE, NY 11236 | 903-909 EAST 43 STREET, NY 11210 | 913-915 EAST 43 STREET, NY 11210 | ROCKAWAY BEACH BLVD</x:v>
      </x:c>
      <x:c r="P129" t="n">
        <x:v>4</x:v>
      </x:c>
      <x:c r="Q129" s="15" t="n">
        <x:v>1</x:v>
      </x:c>
      <x:c r="R129" t="n">
        <x:v>2</x:v>
      </x:c>
      <x:c r="S129" t="str">
        <x:v>Strong DOS address corroboration</x:v>
      </x:c>
      <x:c r="T129" t="str">
        <x:v>No</x:v>
      </x:c>
      <x:c r="U129" t="n">
        <x:v>100</x:v>
      </x:c>
      <x:c r="V129" t="str">
        <x:v>https://data.ny.gov/Economic-Development/Active-Corporations-Beginning-1800/n9v6-gdp6</x:v>
      </x:c>
    </x:row>
    <x:row r="130">
      <x:c r="A130" t="str">
        <x:v>DOS-4-029</x:v>
      </x:c>
      <x:c r="B130" t="str">
        <x:v>Not Mailed</x:v>
      </x:c>
      <x:c r="C130" s="55"/>
      <x:c r="D130" t="str">
        <x:v>No Response</x:v>
      </x:c>
      <x:c r="E130" t="str"/>
      <x:c r="F130" t="n">
        <x:v>4</x:v>
      </x:c>
      <x:c r="G130" t="str">
        <x:v>PROPERTY OWNER</x:v>
      </x:c>
      <x:c r="H130" t="str">
        <x:v>PAUL REALI</x:v>
      </x:c>
      <x:c r="I130" t="n">
        <x:v>1</x:v>
      </x:c>
      <x:c r="J130" t="str">
        <x:v>187-40 HOLLIS AVENUE, HOLLIS, NY, 11423, US</x:v>
      </x:c>
      <x:c r="K130" t="str">
        <x:v>ACRIS deed-party address</x:v>
      </x:c>
      <x:c r="L130" t="n">
        <x:v>4</x:v>
      </x:c>
      <x:c r="M130" t="n">
        <x:v>11</x:v>
      </x:c>
      <x:c r="N130" t="str">
        <x:v>ROYAL BROTHERS HOLDING LLC | ROYAL BROTHERS HOLLIS REALTY LLC | ROYAL BROTHERS JAMAICA REALTY LLC | ROYAL BROTHERS LIBERTY LLC</x:v>
      </x:c>
      <x:c r="O130" t="str">
        <x:v>168-10-168-46 DOUGLAS AVENUE, NY 11433 | 168-39 LIBERTY AVENUE, NY 11433 | 169-01 LIBERTY AVENUE, NY 11433 | 169-03 LIBERTY AVENUE, NY 11433 | 169-05 LIBERTY AVENUE, NY 11433 | 169-18 LIBERTY AVENUE, NY 11433 | 170-19 DOUGLAS AVENUE, NY 11433 | 170-25-170-35 DOUGLAS AVENUE, NY 11433 | 187-10 JAMAICA AVENUE, NY 11423 | LIBERTY AVENUE</x:v>
      </x:c>
      <x:c r="P130" t="n">
        <x:v>4</x:v>
      </x:c>
      <x:c r="Q130" s="15" t="n">
        <x:v>1</x:v>
      </x:c>
      <x:c r="R130" t="n">
        <x:v>0</x:v>
      </x:c>
      <x:c r="S130" t="str">
        <x:v>Shared DOS address</x:v>
      </x:c>
      <x:c r="T130" t="str">
        <x:v>No</x:v>
      </x:c>
      <x:c r="U130" t="n">
        <x:v>100</x:v>
      </x:c>
      <x:c r="V130" t="str">
        <x:v>https://data.ny.gov/Economic-Development/Active-Corporations-Beginning-1800/n9v6-gdp6</x:v>
      </x:c>
    </x:row>
    <x:row r="131">
      <x:c r="A131" t="str">
        <x:v>DOS-4-030</x:v>
      </x:c>
      <x:c r="B131" t="str">
        <x:v>Not Mailed</x:v>
      </x:c>
      <x:c r="C131" s="55"/>
      <x:c r="D131" t="str">
        <x:v>No Response</x:v>
      </x:c>
      <x:c r="E131" t="str"/>
      <x:c r="F131" t="n">
        <x:v>4</x:v>
      </x:c>
      <x:c r="G131" t="str">
        <x:v>LEZER CHAIM</x:v>
      </x:c>
      <x:c r="H131" t="str">
        <x:v>LEZER CHAIM</x:v>
      </x:c>
      <x:c r="I131" t="n">
        <x:v>3</x:v>
      </x:c>
      <x:c r="J131" t="str">
        <x:v>272  KEAP ST, BKLYN, NY, US</x:v>
      </x:c>
      <x:c r="K131" t="str">
        <x:v>ACRIS deed-party address</x:v>
      </x:c>
      <x:c r="L131" t="n">
        <x:v>4</x:v>
      </x:c>
      <x:c r="M131" t="n">
        <x:v>11</x:v>
      </x:c>
      <x:c r="N131" t="str">
        <x:v>K AND C I LLC | K AND C II LLC | K AND C III LLC | K AND C IV LLC</x:v>
      </x:c>
      <x:c r="O131" t="str">
        <x:v>106 NORTH 6 STREET, NY 11249 | 1554-1560 61 STREET, NY 11219 | 235 BERRY STREET, NY 11249 | 432 BEDFORD AVENUE, NY 11249 | 55 DIVISION AVENUE, NY 11249 | 55A DIVISION AVENUE, NY 11249 | 57 DIVISION AVENUE, NY 11249 | 64 GRAND STREET, NY 11249 | 891 BEDFORD AVENUE, NY 11205 | 893 BEDFORD AVENUE, NY 11205 | 96-02 LIBERTY AVENUE, NY 11417</x:v>
      </x:c>
      <x:c r="P131" t="n">
        <x:v>3</x:v>
      </x:c>
      <x:c r="Q131" s="15" t="n">
        <x:v>0.75</x:v>
      </x:c>
      <x:c r="R131" t="n">
        <x:v>0</x:v>
      </x:c>
      <x:c r="S131" t="str">
        <x:v>Shared DOS address</x:v>
      </x:c>
      <x:c r="T131" t="str">
        <x:v>No</x:v>
      </x:c>
      <x:c r="U131" t="n">
        <x:v>100</x:v>
      </x:c>
      <x:c r="V131" t="str">
        <x:v>https://data.ny.gov/Economic-Development/Active-Corporations-Beginning-1800/n9v6-gdp6</x:v>
      </x:c>
    </x:row>
    <x:row r="132">
      <x:c r="A132" t="str">
        <x:v>DOS-4-031</x:v>
      </x:c>
      <x:c r="B132" t="str">
        <x:v>Not Mailed</x:v>
      </x:c>
      <x:c r="C132" s="55"/>
      <x:c r="D132" t="str">
        <x:v>No Response</x:v>
      </x:c>
      <x:c r="E132" t="str"/>
      <x:c r="F132" t="n">
        <x:v>4</x:v>
      </x:c>
      <x:c r="G132" t="str">
        <x:v>PROPERTY OWNER</x:v>
      </x:c>
      <x:c r="H132" t="str"/>
      <x:c r="I132" t="n">
        <x:v>0</x:v>
      </x:c>
      <x:c r="J132" t="str">
        <x:v>347 FIFTH AVE, 16TH FLOOR, NEW YORK, NY, 10016, US</x:v>
      </x:c>
      <x:c r="K132" t="str">
        <x:v>ACRIS deed-party address</x:v>
      </x:c>
      <x:c r="L132" t="n">
        <x:v>4</x:v>
      </x:c>
      <x:c r="M132" t="n">
        <x:v>11</x:v>
      </x:c>
      <x:c r="N132" t="str">
        <x:v>REDROCK MANAGER FO LLC | REDROCK MANAGER REALTY LLC | REDROCK MANAGER STT LLC | REDROCK MANAGER T3 LLC</x:v>
      </x:c>
      <x:c r="O132" t="str">
        <x:v>113-115 EAST 72 STREET APT 24, NY 10021 | 210 EAST 38 STREET, NY 10016 | 210 WEST 79 STREET, NY 10024 | 212 WEST 79 STREET, NY 10024 | 216 WEST 79 STREET, NY 10024 | 328 EAST 52 STREET, NY 10022 | 330-334 EAST 52 STREET, NY 10022 | 351-355 3 AVENUE, NY 10010 | 701 9 AVENUE, NY 10019 | 703 9 AVENUE, NY 10019 | EAST 52 STREET</x:v>
      </x:c>
      <x:c r="P132" t="n">
        <x:v>4</x:v>
      </x:c>
      <x:c r="Q132" s="15" t="n">
        <x:v>1</x:v>
      </x:c>
      <x:c r="R132" t="n">
        <x:v>0</x:v>
      </x:c>
      <x:c r="S132" t="str">
        <x:v>Shared DOS address</x:v>
      </x:c>
      <x:c r="T132" t="str">
        <x:v>No</x:v>
      </x:c>
      <x:c r="U132" t="n">
        <x:v>100</x:v>
      </x:c>
      <x:c r="V132" t="str">
        <x:v>https://data.ny.gov/Economic-Development/Active-Corporations-Beginning-1800/n9v6-gdp6</x:v>
      </x:c>
    </x:row>
    <x:row r="133">
      <x:c r="A133" t="str">
        <x:v>DOS-4-032</x:v>
      </x:c>
      <x:c r="B133" t="str">
        <x:v>Not Mailed</x:v>
      </x:c>
      <x:c r="C133" s="55"/>
      <x:c r="D133" t="str">
        <x:v>No Response</x:v>
      </x:c>
      <x:c r="E133" t="str"/>
      <x:c r="F133" t="n">
        <x:v>4</x:v>
      </x:c>
      <x:c r="G133" t="str">
        <x:v>PROPERTY OWNER</x:v>
      </x:c>
      <x:c r="H133" t="str"/>
      <x:c r="I133" t="n">
        <x:v>0</x:v>
      </x:c>
      <x:c r="J133" t="str">
        <x:v>3711 SHORE PARKWAY, BROOKLYN, NY, 11235, US</x:v>
      </x:c>
      <x:c r="K133" t="str">
        <x:v>ACRIS deed-party address</x:v>
      </x:c>
      <x:c r="L133" t="n">
        <x:v>4</x:v>
      </x:c>
      <x:c r="M133" t="n">
        <x:v>11</x:v>
      </x:c>
      <x:c r="N133" t="str">
        <x:v>DG CLIFTON LLC | GJEMS LLC | SDV NOSTRAND REALTY LLC | SG CLIFTON LLC</x:v>
      </x:c>
      <x:c r="O133" t="str">
        <x:v>102 CLIFTON PLACE APT 1A, NY 11238 | 102 CLIFTON PLACE APT 1B, NY 11238 | 102 CLIFTON PLACE APT 2A, NY 11238 | 102 CLIFTON PLACE APT 3A, NY 11238 | 3710 NOSTRAND AVENUE, NY 11235 | 3714 NOSTRAND AVENUE, NY 11235 | 3716 NOSTRAND AVENUE, NY 11235 | 98 CLIFTON PLACE APT 1A, NY 11238 | 98 CLIFTON PLACE APT 1B, NY 11238 | 98 CLIFTON PLACE APT 2A, NY 11238 | 98 CLIFTON PLACE APT 3A, NY 11238</x:v>
      </x:c>
      <x:c r="P133" t="n">
        <x:v>4</x:v>
      </x:c>
      <x:c r="Q133" s="15" t="n">
        <x:v>1</x:v>
      </x:c>
      <x:c r="R133" t="n">
        <x:v>0</x:v>
      </x:c>
      <x:c r="S133" t="str">
        <x:v>Shared DOS address</x:v>
      </x:c>
      <x:c r="T133" t="str">
        <x:v>No</x:v>
      </x:c>
      <x:c r="U133" t="n">
        <x:v>100</x:v>
      </x:c>
      <x:c r="V133" t="str">
        <x:v>https://data.ny.gov/Economic-Development/Active-Corporations-Beginning-1800/n9v6-gdp6</x:v>
      </x:c>
    </x:row>
    <x:row r="134">
      <x:c r="A134" t="str">
        <x:v>DOS-4-033</x:v>
      </x:c>
      <x:c r="B134" t="str">
        <x:v>Not Mailed</x:v>
      </x:c>
      <x:c r="C134" s="55"/>
      <x:c r="D134" t="str">
        <x:v>No Response</x:v>
      </x:c>
      <x:c r="E134" t="str"/>
      <x:c r="F134" t="n">
        <x:v>4</x:v>
      </x:c>
      <x:c r="G134" t="str">
        <x:v>PROPERTY OWNER</x:v>
      </x:c>
      <x:c r="H134" t="str">
        <x:v>c/o anthony c. viola</x:v>
      </x:c>
      <x:c r="I134" t="n">
        <x:v>1</x:v>
      </x:c>
      <x:c r="J134" t="str">
        <x:v>68 SUMMIT STREET, BROOKLYN, NY, 11231, US</x:v>
      </x:c>
      <x:c r="K134" t="str">
        <x:v>ACRIS deed-party address</x:v>
      </x:c>
      <x:c r="L134" t="n">
        <x:v>4</x:v>
      </x:c>
      <x:c r="M134" t="n">
        <x:v>11</x:v>
      </x:c>
      <x:c r="N134" t="str">
        <x:v>105 HAMILTON LLC | 638 SACKETT LLC | J E ROBERTS HOLDINGS OF NYC LLC | J E ROBERTS OF NYC LLC</x:v>
      </x:c>
      <x:c r="O134" t="str">
        <x:v>101 HAMILTON AVENUE, NY 11231 | 288 COLUMBIA STREET, NY 11231 | 290 COLUMBIA STREET, NY 11231 | 638-642 SACKETT STREET, NY 11217 | 7 WOODHULL STREET, NY 11231 | 83-87 HAMILTON AVENUE, NY 11231 | COLUMBIA STREET, NY 11231 | HAMILTON AVENUE, NY 11231 | SUMMIT STREET, NY 11231 | WOODHULL STREET, NY 11231</x:v>
      </x:c>
      <x:c r="P134" t="n">
        <x:v>3</x:v>
      </x:c>
      <x:c r="Q134" s="15" t="n">
        <x:v>0.75</x:v>
      </x:c>
      <x:c r="R134" t="n">
        <x:v>0</x:v>
      </x:c>
      <x:c r="S134" t="str">
        <x:v>Shared DOS address</x:v>
      </x:c>
      <x:c r="T134" t="str">
        <x:v>No</x:v>
      </x:c>
      <x:c r="U134" t="n">
        <x:v>100</x:v>
      </x:c>
      <x:c r="V134" t="str">
        <x:v>https://data.ny.gov/Economic-Development/Active-Corporations-Beginning-1800/n9v6-gdp6</x:v>
      </x:c>
    </x:row>
    <x:row r="135">
      <x:c r="A135" t="str">
        <x:v>DOS-4-034</x:v>
      </x:c>
      <x:c r="B135" t="str">
        <x:v>Not Mailed</x:v>
      </x:c>
      <x:c r="C135" s="55"/>
      <x:c r="D135" t="str">
        <x:v>No Response</x:v>
      </x:c>
      <x:c r="E135" t="str"/>
      <x:c r="F135" t="n">
        <x:v>4</x:v>
      </x:c>
      <x:c r="G135" t="str">
        <x:v>PROPERTY OWNER</x:v>
      </x:c>
      <x:c r="H135" t="str"/>
      <x:c r="I135" t="n">
        <x:v>0</x:v>
      </x:c>
      <x:c r="J135" t="str">
        <x:v>DUELL LLC, 5  EAST 57TH STREET, NY, NY, 10022, US</x:v>
      </x:c>
      <x:c r="K135" t="str">
        <x:v>ACRIS deed-party address</x:v>
      </x:c>
      <x:c r="L135" t="n">
        <x:v>4</x:v>
      </x:c>
      <x:c r="M135" t="n">
        <x:v>11</x:v>
      </x:c>
      <x:c r="N135" t="str">
        <x:v>1 4 MANAGEMENT LLC | 10 12 LLC | 148 LLC | 453 LLC</x:v>
      </x:c>
      <x:c r="O135" t="str">
        <x:v>1 MILLIGAN PLACE, NY 10011 | 10 CHRISTOPHER STREET APT COMM, NY 10014 | 148 WEST 4 STREET, NY 10012 | 2 MILLIGAN PLACE, NY 10011 | 3 MILLIGAN PLACE, NY 10011 | 4 MILLIGAN PLACE, NY 10011 | 453 AVENUE OF THE AMER, NY 10011 | 455 AVENUE OF THE AMER, NY 10011 | 457 AVENUE OF THE AMER, NY 10011 | 459 AVENUE OF THE AMER, NY 10011 | 461 AVENUE OF THE AMER, NY 10011</x:v>
      </x:c>
      <x:c r="P135" t="n">
        <x:v>4</x:v>
      </x:c>
      <x:c r="Q135" s="15" t="n">
        <x:v>1</x:v>
      </x:c>
      <x:c r="R135" t="n">
        <x:v>1</x:v>
      </x:c>
      <x:c r="S135" t="str">
        <x:v>Active-name matches only</x:v>
      </x:c>
      <x:c r="T135" t="str">
        <x:v>No</x:v>
      </x:c>
      <x:c r="U135" t="n">
        <x:v>100</x:v>
      </x:c>
      <x:c r="V135" t="str">
        <x:v>https://data.ny.gov/Economic-Development/Active-Corporations-Beginning-1800/n9v6-gdp6</x:v>
      </x:c>
    </x:row>
    <x:row r="136">
      <x:c r="A136" t="str">
        <x:v>DOS-4-035</x:v>
      </x:c>
      <x:c r="B136" t="str">
        <x:v>Not Mailed</x:v>
      </x:c>
      <x:c r="C136" s="55"/>
      <x:c r="D136" t="str">
        <x:v>No Response</x:v>
      </x:c>
      <x:c r="E136" t="str"/>
      <x:c r="F136" t="n">
        <x:v>4</x:v>
      </x:c>
      <x:c r="G136" t="str">
        <x:v>PROPERTY OWNER</x:v>
      </x:c>
      <x:c r="H136" t="str"/>
      <x:c r="I136" t="n">
        <x:v>0</x:v>
      </x:c>
      <x:c r="J136" t="str">
        <x:v>150 Old Mamaroneck Road, White Plains, NY, 10605</x:v>
      </x:c>
      <x:c r="K136" t="str">
        <x:v>DOS address corroborated by ACRIS</x:v>
      </x:c>
      <x:c r="L136" t="n">
        <x:v>4</x:v>
      </x:c>
      <x:c r="M136" t="n">
        <x:v>10</x:v>
      </x:c>
      <x:c r="N136" t="str">
        <x:v>49 47 31ST STREET LLC | JP 65 ARDEN LLC | JP 7589 LLC | JPP 24TH AVE LLC</x:v>
      </x:c>
      <x:c r="O136" t="str">
        <x:v>1400 STORY AVENUE, NY 10473 | 1410 STORY AVENUE, NY 10473 | 31-12 24TH AVENUE APT 2C, NY 11102 | 31-12 24TH AVENUE APT 3E, NY 11102 | 31-12 24TH AVENUE APT 4C, NY 11102 | 31-12 24TH AVENUE APT 5E, NY 11102 | 46-50 SHERMAN AVENUE, NY 10040 | 75 WADSWORTH TERRACE, NY 10040 | LAFAYETTE AVENUE | STORY AVENUE</x:v>
      </x:c>
      <x:c r="P136" t="n">
        <x:v>4</x:v>
      </x:c>
      <x:c r="Q136" s="15" t="n">
        <x:v>1</x:v>
      </x:c>
      <x:c r="R136" t="n">
        <x:v>3</x:v>
      </x:c>
      <x:c r="S136" t="str">
        <x:v>Strong DOS address corroboration</x:v>
      </x:c>
      <x:c r="T136" t="str">
        <x:v>No</x:v>
      </x:c>
      <x:c r="U136" t="n">
        <x:v>100</x:v>
      </x:c>
      <x:c r="V136" t="str">
        <x:v>https://data.ny.gov/Economic-Development/Active-Corporations-Beginning-1800/n9v6-gdp6</x:v>
      </x:c>
    </x:row>
    <x:row r="137">
      <x:c r="A137" t="str">
        <x:v>DOS-4-036</x:v>
      </x:c>
      <x:c r="B137" t="str">
        <x:v>Not Mailed</x:v>
      </x:c>
      <x:c r="C137" s="55"/>
      <x:c r="D137" t="str">
        <x:v>No Response</x:v>
      </x:c>
      <x:c r="E137" t="str"/>
      <x:c r="F137" t="n">
        <x:v>4</x:v>
      </x:c>
      <x:c r="G137" t="str">
        <x:v>PROPERTY OWNER</x:v>
      </x:c>
      <x:c r="H137" t="str"/>
      <x:c r="I137" t="n">
        <x:v>0</x:v>
      </x:c>
      <x:c r="J137" t="str">
        <x:v>2361 NOSTRAND AVENUE, SUITE 901, BROOKLYN, NY, 11210</x:v>
      </x:c>
      <x:c r="K137" t="str">
        <x:v>DOS address corroborated by ACRIS</x:v>
      </x:c>
      <x:c r="L137" t="n">
        <x:v>4</x:v>
      </x:c>
      <x:c r="M137" t="n">
        <x:v>10</x:v>
      </x:c>
      <x:c r="N137" t="str">
        <x:v>1212 SEAGIRT LLC | 147 BEACH 116 LLC | 1700 FLATBUSH AVE HOLDINGS LLC | CH102 HOLDING LLC</x:v>
      </x:c>
      <x:c r="O137" t="str">
        <x:v>101-19 ROCKAWAY BEACH BLVD, NY 11694 | 12-12 SEAGIRT BLVD, NY 11691 | 133 BEACH 116TH STREET APT RETU1, NY 11694 | 133 BEACH 116TH STREET APT RETU2, NY 11694 | 133 BEACH 116TH STREET APT RETU3, NY 11694 | 133 BEACH 116TH STREET APT RETU4, NY 11694 | 133 BEACH 116TH STREET APT RETU5, NY 11694 | 133 BEACH 116TH STREET APT RETU6, NY 11694 | 1698 FLATBUSH AVENUE, NY 11210 | 1700 FLATBUSH AVENUE, NY 11210</x:v>
      </x:c>
      <x:c r="P137" t="n">
        <x:v>4</x:v>
      </x:c>
      <x:c r="Q137" s="15" t="n">
        <x:v>1</x:v>
      </x:c>
      <x:c r="R137" t="n">
        <x:v>2</x:v>
      </x:c>
      <x:c r="S137" t="str">
        <x:v>Strong DOS address corroboration</x:v>
      </x:c>
      <x:c r="T137" t="str">
        <x:v>No</x:v>
      </x:c>
      <x:c r="U137" t="n">
        <x:v>100</x:v>
      </x:c>
      <x:c r="V137" t="str">
        <x:v>https://data.ny.gov/Economic-Development/Active-Corporations-Beginning-1800/n9v6-gdp6</x:v>
      </x:c>
    </x:row>
    <x:row r="138">
      <x:c r="A138" t="str">
        <x:v>DOS-4-037</x:v>
      </x:c>
      <x:c r="B138" t="str">
        <x:v>Not Mailed</x:v>
      </x:c>
      <x:c r="C138" s="55"/>
      <x:c r="D138" t="str">
        <x:v>No Response</x:v>
      </x:c>
      <x:c r="E138" t="str"/>
      <x:c r="F138" t="n">
        <x:v>4</x:v>
      </x:c>
      <x:c r="G138" t="str">
        <x:v>PROPERTY OWNER</x:v>
      </x:c>
      <x:c r="H138" t="str"/>
      <x:c r="I138" t="n">
        <x:v>0</x:v>
      </x:c>
      <x:c r="J138" t="str">
        <x:v>715 PARK LANE, CEDARHURST, NY, 11516, US</x:v>
      </x:c>
      <x:c r="K138" t="str">
        <x:v>ACRIS deed-party address</x:v>
      </x:c>
      <x:c r="L138" t="n">
        <x:v>4</x:v>
      </x:c>
      <x:c r="M138" t="n">
        <x:v>10</x:v>
      </x:c>
      <x:c r="N138" t="str">
        <x:v>1267 EAST 88 ST LLC | 4225 MONTICELLO LLC | S AND Y PROPERTY LLC | SASY PROPERTY GROUP LLC</x:v>
      </x:c>
      <x:c r="O138" t="str">
        <x:v>101 WILLIAMS AVENUE, NY 11207 | 1267 EAST 88 STREET, NY 11236 | 277 LIBERTY AVENUE, NY 11207 | 279 LIBERTY AVENUE, NY 11207 | 4225 MONTICELLO AVENUE, NY 10466 | 83 WILLIAMS AVENUE, NY 11207 | 91 WILLIAMS AVENUE, NY 11207 | 926 FLATBUSH AVENUE, NY 11226 | 95 WILLIAMS AVENUE, NY 11207 | 99 WILLIAMS AVENUE, NY 11207</x:v>
      </x:c>
      <x:c r="P138" t="n">
        <x:v>3</x:v>
      </x:c>
      <x:c r="Q138" s="15" t="n">
        <x:v>0.75</x:v>
      </x:c>
      <x:c r="R138" t="n">
        <x:v>1</x:v>
      </x:c>
      <x:c r="S138" t="str">
        <x:v>Active-name matches only</x:v>
      </x:c>
      <x:c r="T138" t="str">
        <x:v>No</x:v>
      </x:c>
      <x:c r="U138" t="n">
        <x:v>100</x:v>
      </x:c>
      <x:c r="V138" t="str">
        <x:v>https://data.ny.gov/Economic-Development/Active-Corporations-Beginning-1800/n9v6-gdp6</x:v>
      </x:c>
    </x:row>
    <x:row r="139">
      <x:c r="A139" t="str">
        <x:v>DOS-4-038</x:v>
      </x:c>
      <x:c r="B139" t="str">
        <x:v>Not Mailed</x:v>
      </x:c>
      <x:c r="C139" s="55"/>
      <x:c r="D139" t="str">
        <x:v>No Response</x:v>
      </x:c>
      <x:c r="E139" t="str"/>
      <x:c r="F139" t="n">
        <x:v>4</x:v>
      </x:c>
      <x:c r="G139" t="str">
        <x:v>PROPERTY OWNER</x:v>
      </x:c>
      <x:c r="H139" t="str"/>
      <x:c r="I139" t="n">
        <x:v>0</x:v>
      </x:c>
      <x:c r="J139" t="str">
        <x:v>7202 72ND COURT, BROOKLYN, NY, 11209</x:v>
      </x:c>
      <x:c r="K139" t="str">
        <x:v>DOS address corroborated by ACRIS</x:v>
      </x:c>
      <x:c r="L139" t="n">
        <x:v>4</x:v>
      </x:c>
      <x:c r="M139" t="n">
        <x:v>10</x:v>
      </x:c>
      <x:c r="N139" t="str">
        <x:v>92ND COURT LLC | E WENTZ LLC | FOUR 3RD AVE LLC | J LATSKO LLC</x:v>
      </x:c>
      <x:c r="O139" t="str">
        <x:v>170 ST JOHNS PLACE APT 6, NY 11217 | 172 ST JOHNS PLACE APT 6, NY 11217 | 174 ST JOHNS PLACE APT 6, NY 11217 | 176 ST JOHNS PLACE APT 6, NY 11217 | 187 BERKELEY PLACE APT 8, NY 11217 | 7202 72 COURT, NY 11209 | 9012 3 AVENUE, NY 11209 | 9014 3 AVENUE, NY 11209 | 9016 3 AVENUE, NY 11209 | 9719 3 AVENUE, NY 11209</x:v>
      </x:c>
      <x:c r="P139" t="n">
        <x:v>4</x:v>
      </x:c>
      <x:c r="Q139" s="15" t="n">
        <x:v>1</x:v>
      </x:c>
      <x:c r="R139" t="n">
        <x:v>4</x:v>
      </x:c>
      <x:c r="S139" t="str">
        <x:v>Strong DOS address corroboration</x:v>
      </x:c>
      <x:c r="T139" t="str">
        <x:v>No</x:v>
      </x:c>
      <x:c r="U139" t="n">
        <x:v>100</x:v>
      </x:c>
      <x:c r="V139" t="str">
        <x:v>https://data.ny.gov/Economic-Development/Active-Corporations-Beginning-1800/n9v6-gdp6</x:v>
      </x:c>
    </x:row>
    <x:row r="140">
      <x:c r="A140" t="str">
        <x:v>DOS-4-039</x:v>
      </x:c>
      <x:c r="B140" t="str">
        <x:v>Not Mailed</x:v>
      </x:c>
      <x:c r="C140" s="55"/>
      <x:c r="D140" t="str">
        <x:v>No Response</x:v>
      </x:c>
      <x:c r="E140" t="str"/>
      <x:c r="F140" t="n">
        <x:v>4</x:v>
      </x:c>
      <x:c r="G140" t="str">
        <x:v>PROPERTY OWNER</x:v>
      </x:c>
      <x:c r="H140" t="str"/>
      <x:c r="I140" t="n">
        <x:v>0</x:v>
      </x:c>
      <x:c r="J140" t="str">
        <x:v>183 Wilson St., Ste. 133, Brooklyn, NY, 11211</x:v>
      </x:c>
      <x:c r="K140" t="str">
        <x:v>DOS address corroborated by ACRIS</x:v>
      </x:c>
      <x:c r="L140" t="n">
        <x:v>4</x:v>
      </x:c>
      <x:c r="M140" t="n">
        <x:v>9</x:v>
      </x:c>
      <x:c r="N140" t="str">
        <x:v>236 242 GOLD ST LLC | 55 BORINQUEN PLACE LLC | WHIPPLE JS LLC | WHIPPLE YN LLC</x:v>
      </x:c>
      <x:c r="O140" t="str">
        <x:v>236 GOLD STREET, NY 11201 | 244 GOLD STREET, NY 11201 | 246 GOLD STREET, NY 11201 | 7 WHIPPLE STREET APT 302, NY 11206 | 7 WHIPPLE STREET APT 502, NY 11206 | 7 WHIPPLE STREET APT 602, NY 11206 | 7 WHIPPLE STREET APT 702, NY 11206 | GOLD STREET, NY 11201 | MARCY AVENUE</x:v>
      </x:c>
      <x:c r="P140" t="n">
        <x:v>4</x:v>
      </x:c>
      <x:c r="Q140" s="15" t="n">
        <x:v>1</x:v>
      </x:c>
      <x:c r="R140" t="n">
        <x:v>1</x:v>
      </x:c>
      <x:c r="S140" t="str">
        <x:v>Shared DOS address</x:v>
      </x:c>
      <x:c r="T140" t="str">
        <x:v>No</x:v>
      </x:c>
      <x:c r="U140" t="n">
        <x:v>100</x:v>
      </x:c>
      <x:c r="V140" t="str">
        <x:v>https://data.ny.gov/Economic-Development/Active-Corporations-Beginning-1800/n9v6-gdp6</x:v>
      </x:c>
    </x:row>
    <x:row r="141">
      <x:c r="A141" t="str">
        <x:v>DOS-4-040</x:v>
      </x:c>
      <x:c r="B141" t="str">
        <x:v>Not Mailed</x:v>
      </x:c>
      <x:c r="C141" s="55"/>
      <x:c r="D141" t="str">
        <x:v>No Response</x:v>
      </x:c>
      <x:c r="E141" t="str"/>
      <x:c r="F141" t="n">
        <x:v>4</x:v>
      </x:c>
      <x:c r="G141" t="str">
        <x:v>PROPERTY OWNER</x:v>
      </x:c>
      <x:c r="H141" t="str"/>
      <x:c r="I141" t="n">
        <x:v>0</x:v>
      </x:c>
      <x:c r="J141" t="str">
        <x:v>213 NEW GLOUCESTER ROAD, NORTH YARMOUTH, ME, 04097, US</x:v>
      </x:c>
      <x:c r="K141" t="str">
        <x:v>ACRIS deed-party address</x:v>
      </x:c>
      <x:c r="L141" t="n">
        <x:v>4</x:v>
      </x:c>
      <x:c r="M141" t="n">
        <x:v>9</x:v>
      </x:c>
      <x:c r="N141" t="str">
        <x:v>DA ROB REALTY LLC | EASTLAKE EQUITIES LLC | ROUND POND PROPERTIES LLC | TOWNHOUSE REVIVAL PROPERTIES LLC</x:v>
      </x:c>
      <x:c r="O141" t="str">
        <x:v>207 6 AVENUE APT 3, NY 11217 | 231 CLERMONT AVENUE, NY 11205 | 300 CLINTON STREET APT 3, NY 11201 | 302 CLINTON STREET APT 7, NY 11201 | 33 SOUTH ELLIOTT PLACE, NY 11217 | 335 FLATBUSH AVENUE, NY 11217 | 348 STATE STREET APT 6, NY 11217 | 41 7 AVENUE APT 4, NY 11217 | 632 VANDERBILT AVENUE, NY 11238</x:v>
      </x:c>
      <x:c r="P141" t="n">
        <x:v>4</x:v>
      </x:c>
      <x:c r="Q141" s="15" t="n">
        <x:v>1</x:v>
      </x:c>
      <x:c r="R141" t="n">
        <x:v>0</x:v>
      </x:c>
      <x:c r="S141" t="str">
        <x:v>Shared DOS address</x:v>
      </x:c>
      <x:c r="T141" t="str">
        <x:v>No</x:v>
      </x:c>
      <x:c r="U141" t="n">
        <x:v>100</x:v>
      </x:c>
      <x:c r="V141" t="str">
        <x:v>https://data.ny.gov/Economic-Development/Active-Corporations-Beginning-1800/n9v6-gdp6</x:v>
      </x:c>
    </x:row>
    <x:row r="142">
      <x:c r="A142" t="str">
        <x:v>DOS-4-041</x:v>
      </x:c>
      <x:c r="B142" t="str">
        <x:v>Not Mailed</x:v>
      </x:c>
      <x:c r="C142" s="55"/>
      <x:c r="D142" t="str">
        <x:v>No Response</x:v>
      </x:c>
      <x:c r="E142" t="str"/>
      <x:c r="F142" t="n">
        <x:v>4</x:v>
      </x:c>
      <x:c r="G142" t="str">
        <x:v>PROPERTY OWNER</x:v>
      </x:c>
      <x:c r="H142" t="str"/>
      <x:c r="I142" t="n">
        <x:v>0</x:v>
      </x:c>
      <x:c r="J142" t="str">
        <x:v>2546 EAST 17TH STREET  -  2ND FLOOR, BROOKLYN, NY, 11235, US</x:v>
      </x:c>
      <x:c r="K142" t="str">
        <x:v>ACRIS deed-party address</x:v>
      </x:c>
      <x:c r="L142" t="n">
        <x:v>4</x:v>
      </x:c>
      <x:c r="M142" t="n">
        <x:v>9</x:v>
      </x:c>
      <x:c r="N142" t="str">
        <x:v>30 PARK PLACE OLIMP LLC | GZH PROPERTIES LLC | MADINA PROPERTIES LLC | ZT PROPERTIES LLC</x:v>
      </x:c>
      <x:c r="O142" t="str">
        <x:v>207 BRIGHTON BEACH AVE, NY 11235 | 211 BRIGHTON BEACH AVE, NY 11235 | 30 PARK PLACE APT 64B, NY 10007 | 322 WEST 57 STREET APT 52H3, NY 10019 | 322 WEST 57 STREET APT 52X, NY 10019 | 412 KINGS HIGHWAY APT C1C2, NY 11223 | 412 KINGS HIGHWAY APT P20, NY 11223 | 412 KINGS HIGHWAY APT P22, NY 11223 | 412 KINGS HIGHWAY APT P23, NY 11223</x:v>
      </x:c>
      <x:c r="P142" t="n">
        <x:v>4</x:v>
      </x:c>
      <x:c r="Q142" s="15" t="n">
        <x:v>1</x:v>
      </x:c>
      <x:c r="R142" t="n">
        <x:v>0</x:v>
      </x:c>
      <x:c r="S142" t="str">
        <x:v>Shared DOS address</x:v>
      </x:c>
      <x:c r="T142" t="str">
        <x:v>No</x:v>
      </x:c>
      <x:c r="U142" t="n">
        <x:v>100</x:v>
      </x:c>
      <x:c r="V142" t="str">
        <x:v>https://data.ny.gov/Economic-Development/Active-Corporations-Beginning-1800/n9v6-gdp6</x:v>
      </x:c>
    </x:row>
    <x:row r="143">
      <x:c r="A143" t="str">
        <x:v>DOS-4-042</x:v>
      </x:c>
      <x:c r="B143" t="str">
        <x:v>Not Mailed</x:v>
      </x:c>
      <x:c r="C143" s="55"/>
      <x:c r="D143" t="str">
        <x:v>No Response</x:v>
      </x:c>
      <x:c r="E143" t="str"/>
      <x:c r="F143" t="n">
        <x:v>4</x:v>
      </x:c>
      <x:c r="G143" t="str">
        <x:v>PROPERTY OWNER</x:v>
      </x:c>
      <x:c r="H143" t="str"/>
      <x:c r="I143" t="n">
        <x:v>0</x:v>
      </x:c>
      <x:c r="J143" t="str">
        <x:v>430 PARK AVENUE, 15TH FLOOR, NEW YORK, NY, 10022, US</x:v>
      </x:c>
      <x:c r="K143" t="str">
        <x:v>ACRIS deed-party address</x:v>
      </x:c>
      <x:c r="L143" t="n">
        <x:v>4</x:v>
      </x:c>
      <x:c r="M143" t="n">
        <x:v>9</x:v>
      </x:c>
      <x:c r="N143" t="str">
        <x:v>1004 FULTON OWNER LLC | 42ND STREET GORP PROPERTY LLC | 733 DEKALB OWNER LLC | HIGHLINE 22 OWNER LLC</x:v>
      </x:c>
      <x:c r="O143" t="str">
        <x:v>1004 FULTON STREET, NY 11238 | 110-115 EAST 42 STREET APT GAR, NY 10017 | 110-120 EAST 42 STREET APT COM, NY 10017 | 110-120 EAST 42 STREET APT COM-C, NY 10017 | 203 10 AVENUE, NY 10011 | 205 10 AVENUE, NY 10011 | 207 10 AVENUE, NY 10011 | 505 WEST 22 STREET, NY 10011 | 733 DEKALB AVENUE, NY 11216</x:v>
      </x:c>
      <x:c r="P143" t="n">
        <x:v>4</x:v>
      </x:c>
      <x:c r="Q143" s="15" t="n">
        <x:v>1</x:v>
      </x:c>
      <x:c r="R143" t="n">
        <x:v>0</x:v>
      </x:c>
      <x:c r="S143" t="str">
        <x:v>Shared DOS address</x:v>
      </x:c>
      <x:c r="T143" t="str">
        <x:v>No</x:v>
      </x:c>
      <x:c r="U143" t="n">
        <x:v>100</x:v>
      </x:c>
      <x:c r="V143" t="str">
        <x:v>https://data.ny.gov/Economic-Development/Active-Corporations-Beginning-1800/n9v6-gdp6</x:v>
      </x:c>
    </x:row>
    <x:row r="144">
      <x:c r="A144" t="str">
        <x:v>DOS-4-043</x:v>
      </x:c>
      <x:c r="B144" t="str">
        <x:v>Not Mailed</x:v>
      </x:c>
      <x:c r="C144" s="55"/>
      <x:c r="D144" t="str">
        <x:v>No Response</x:v>
      </x:c>
      <x:c r="E144" t="str"/>
      <x:c r="F144" t="n">
        <x:v>4</x:v>
      </x:c>
      <x:c r="G144" t="str">
        <x:v>C/O TERENCE L. KELLEHER, ESQ.</x:v>
      </x:c>
      <x:c r="H144" t="str">
        <x:v>C/O TERENCE L. KELLEHER, ESQ.</x:v>
      </x:c>
      <x:c r="I144" t="n">
        <x:v>3</x:v>
      </x:c>
      <x:c r="J144" t="str">
        <x:v>440 CLINTON STREET, BROOKLYN, NY, 11231, US</x:v>
      </x:c>
      <x:c r="K144" t="str">
        <x:v>ACRIS deed-party address</x:v>
      </x:c>
      <x:c r="L144" t="n">
        <x:v>4</x:v>
      </x:c>
      <x:c r="M144" t="n">
        <x:v>9</x:v>
      </x:c>
      <x:c r="N144" t="str">
        <x:v>117 127 CARROLL STREET GARAGE LLC | 25 FIRST PLACE LLC | 53 HAZEL COURT LLC | 54 IRA COURT LLC</x:v>
      </x:c>
      <x:c r="O144" t="str">
        <x:v>121 CARROLL STREET, NY 11231 | 25 1 PLACE, NY 11231 | 49 HAZEL COURT, NY 11229 | 53 HAZEL COURT, NY 11229 | 54 IRA COURT, NY 11229 | 57 HAZEL COURT, NY 11229 | CARROLL STREET, NY 11231 | HAZEL COURT</x:v>
      </x:c>
      <x:c r="P144" t="n">
        <x:v>4</x:v>
      </x:c>
      <x:c r="Q144" s="15" t="n">
        <x:v>1</x:v>
      </x:c>
      <x:c r="R144" t="n">
        <x:v>0</x:v>
      </x:c>
      <x:c r="S144" t="str">
        <x:v>Shared DOS address</x:v>
      </x:c>
      <x:c r="T144" t="str">
        <x:v>No</x:v>
      </x:c>
      <x:c r="U144" t="n">
        <x:v>100</x:v>
      </x:c>
      <x:c r="V144" t="str">
        <x:v>https://data.ny.gov/Economic-Development/Active-Corporations-Beginning-1800/n9v6-gdp6</x:v>
      </x:c>
    </x:row>
    <x:row r="145">
      <x:c r="A145" t="str">
        <x:v>DOS-4-044</x:v>
      </x:c>
      <x:c r="B145" t="str">
        <x:v>Not Mailed</x:v>
      </x:c>
      <x:c r="C145" s="55"/>
      <x:c r="D145" t="str">
        <x:v>No Response</x:v>
      </x:c>
      <x:c r="E145" t="str"/>
      <x:c r="F145" t="n">
        <x:v>4</x:v>
      </x:c>
      <x:c r="G145" t="str">
        <x:v>PROPERTY OWNER</x:v>
      </x:c>
      <x:c r="H145" t="str"/>
      <x:c r="I145" t="n">
        <x:v>0</x:v>
      </x:c>
      <x:c r="J145" t="str">
        <x:v>54 BURTON AVENUE, WOODMERE, NY, 11598</x:v>
      </x:c>
      <x:c r="K145" t="str">
        <x:v>DOS address corroborated by ACRIS</x:v>
      </x:c>
      <x:c r="L145" t="n">
        <x:v>4</x:v>
      </x:c>
      <x:c r="M145" t="n">
        <x:v>9</x:v>
      </x:c>
      <x:c r="N145" t="str">
        <x:v>MMJ PROPERTY MANAGEMENT LLC | SCOTTIE PROPERTY MANAGEMENT LLC | SINDHI PROPERTY MANAGEMENT LLC | TADEEPRON PROPERTY MANAGEMENT LLC</x:v>
      </x:c>
      <x:c r="O145" t="str">
        <x:v>1190 BUSHWICK AVENUE, NY 11221 | 148 EAST 150 STREET, NY 10451 | 1800 ST JOHNS PLACE, NY 11233 | 22-98 NAMEOKE AVENUE, NY 11691 | 280 CORNELIA STREET, NY 11221 | 320 BEACH 27 STREET, NY 11691 | 50-36 101 STREET, NY 11368 | 674 JAMAICA AVENUE, NY 11208 | 725 VAN NEST AVENUE, NY 10462</x:v>
      </x:c>
      <x:c r="P145" t="n">
        <x:v>4</x:v>
      </x:c>
      <x:c r="Q145" s="15" t="n">
        <x:v>1</x:v>
      </x:c>
      <x:c r="R145" t="n">
        <x:v>1</x:v>
      </x:c>
      <x:c r="S145" t="str">
        <x:v>Shared DOS address</x:v>
      </x:c>
      <x:c r="T145" t="str">
        <x:v>No</x:v>
      </x:c>
      <x:c r="U145" t="n">
        <x:v>100</x:v>
      </x:c>
      <x:c r="V145" t="str">
        <x:v>https://data.ny.gov/Economic-Development/Active-Corporations-Beginning-1800/n9v6-gdp6</x:v>
      </x:c>
    </x:row>
    <x:row r="146">
      <x:c r="A146" t="str">
        <x:v>DOS-4-045</x:v>
      </x:c>
      <x:c r="B146" t="str">
        <x:v>Not Mailed</x:v>
      </x:c>
      <x:c r="C146" s="55"/>
      <x:c r="D146" t="str">
        <x:v>No Response</x:v>
      </x:c>
      <x:c r="E146" t="str"/>
      <x:c r="F146" t="n">
        <x:v>4</x:v>
      </x:c>
      <x:c r="G146" t="str">
        <x:v>PROPERTY OWNER</x:v>
      </x:c>
      <x:c r="H146" t="str"/>
      <x:c r="I146" t="n">
        <x:v>0</x:v>
      </x:c>
      <x:c r="J146" t="str">
        <x:v>57-77 80 STREET, MIDDLE VILLAGE, NY, 11379, US</x:v>
      </x:c>
      <x:c r="K146" t="str">
        <x:v>ACRIS deed-party address</x:v>
      </x:c>
      <x:c r="L146" t="n">
        <x:v>4</x:v>
      </x:c>
      <x:c r="M146" t="n">
        <x:v>9</x:v>
      </x:c>
      <x:c r="N146" t="str">
        <x:v>NAV 1094 5418 LLC | NAV 115 1701 LLC | NAV 291 LLC | NAV 76 78 LLC</x:v>
      </x:c>
      <x:c r="O146" t="str">
        <x:v>102 MC KIBBIN STREET, NY 11206 | 1094 FLUSHING AVENUE, NY 11237 | 115 IRVING AVENUE, NY 11237 | 1701 MADISON STREET, NY 11385 | 291 KNICKERBOCKER AVENUE, NY 11237 | 392 WOODWARD AVENUE, NY 11385 | 54-18 FLUSHING AVENUE, NY 11378 | 76 MANHATTAN AVENUE, NY 11206 | 78 MANHATTAN AVENUE, NY 11206</x:v>
      </x:c>
      <x:c r="P146" t="n">
        <x:v>0</x:v>
      </x:c>
      <x:c r="Q146" s="15" t="n">
        <x:v>0</x:v>
      </x:c>
      <x:c r="R146" t="n">
        <x:v>0</x:v>
      </x:c>
      <x:c r="S146" t="str">
        <x:v>Needs manual review</x:v>
      </x:c>
      <x:c r="T146" t="str">
        <x:v>No</x:v>
      </x:c>
      <x:c r="U146" t="n">
        <x:v>100</x:v>
      </x:c>
      <x:c r="V146" t="str">
        <x:v>https://data.ny.gov/Economic-Development/Active-Corporations-Beginning-1800/n9v6-gdp6</x:v>
      </x:c>
    </x:row>
    <x:row r="147">
      <x:c r="A147" t="str">
        <x:v>DOS-4-046</x:v>
      </x:c>
      <x:c r="B147" t="str">
        <x:v>Not Mailed</x:v>
      </x:c>
      <x:c r="C147" s="55"/>
      <x:c r="D147" t="str">
        <x:v>No Response</x:v>
      </x:c>
      <x:c r="E147" t="str"/>
      <x:c r="F147" t="n">
        <x:v>4</x:v>
      </x:c>
      <x:c r="G147" t="str">
        <x:v>PROPERTY OWNER</x:v>
      </x:c>
      <x:c r="H147" t="str"/>
      <x:c r="I147" t="n">
        <x:v>0</x:v>
      </x:c>
      <x:c r="J147" t="str">
        <x:v>59-05 59TH DR., MASPETH, NY, 11378</x:v>
      </x:c>
      <x:c r="K147" t="str">
        <x:v>DOS address corroborated by ACRIS</x:v>
      </x:c>
      <x:c r="L147" t="n">
        <x:v>4</x:v>
      </x:c>
      <x:c r="M147" t="n">
        <x:v>9</x:v>
      </x:c>
      <x:c r="N147" t="str">
        <x:v>65 82 LLC | 65 84 LLC | 65 86 LLC | COURTYARD 120 LLC</x:v>
      </x:c>
      <x:c r="O147" t="str">
        <x:v>65-82 TERRACE COURT, NY 11379 | 65-84 TERRACE COURT, NY 11379 | 65-86 TERRACE COURT, NY 11379 | 85-15 120 STREET APT 1C, NY 11415 | 85-15 120 STREET APT 1F, NY 11415 | 85-15 120 STREET APT 1G, NY 11415 | 85-15 120 STREET APT 2C, NY 11415 | 85-15 120 STREET APT 2D, NY 11415 | 85-15 120 STREET APT 3E, NY 11415</x:v>
      </x:c>
      <x:c r="P147" t="n">
        <x:v>4</x:v>
      </x:c>
      <x:c r="Q147" s="15" t="n">
        <x:v>1</x:v>
      </x:c>
      <x:c r="R147" t="n">
        <x:v>3</x:v>
      </x:c>
      <x:c r="S147" t="str">
        <x:v>Strong DOS address corroboration</x:v>
      </x:c>
      <x:c r="T147" t="str">
        <x:v>No</x:v>
      </x:c>
      <x:c r="U147" t="n">
        <x:v>100</x:v>
      </x:c>
      <x:c r="V147" t="str">
        <x:v>https://data.ny.gov/Economic-Development/Active-Corporations-Beginning-1800/n9v6-gdp6</x:v>
      </x:c>
    </x:row>
    <x:row r="148">
      <x:c r="A148" t="str">
        <x:v>DOS-4-047</x:v>
      </x:c>
      <x:c r="B148" t="str">
        <x:v>Not Mailed</x:v>
      </x:c>
      <x:c r="C148" s="55"/>
      <x:c r="D148" t="str">
        <x:v>No Response</x:v>
      </x:c>
      <x:c r="E148" t="str"/>
      <x:c r="F148" t="n">
        <x:v>4</x:v>
      </x:c>
      <x:c r="G148" t="str">
        <x:v>LYUBOV MEDUEDOUSKAYA</x:v>
      </x:c>
      <x:c r="H148" t="str">
        <x:v>LYUBOV MEDUEDOUSKAYA</x:v>
      </x:c>
      <x:c r="I148" t="n">
        <x:v>3</x:v>
      </x:c>
      <x:c r="J148" t="str">
        <x:v>75 OCEANA DRIVE EAST, PH1C, BROOKLYN, NY, 11235, US</x:v>
      </x:c>
      <x:c r="K148" t="str">
        <x:v>ACRIS deed-party address</x:v>
      </x:c>
      <x:c r="L148" t="n">
        <x:v>4</x:v>
      </x:c>
      <x:c r="M148" t="n">
        <x:v>9</x:v>
      </x:c>
      <x:c r="N148" t="str">
        <x:v>135 OCEANA PH2A LLC | 155 OCEANA 2A LLC | 75 OCEANA PH1C LLC | 75 OCEANA PH2E LLC</x:v>
      </x:c>
      <x:c r="O148" t="str">
        <x:v>135 OCEANA DRIVE EAST APT PH2A, NY 11235 | 150 OCEANA DRIVE WEST APT 1, NY 11235 | 155 OCEANA DRIVE EAST APT 2A, NY 11235 | 55 OCEANA DRIVE EAST APT 13, NY 11235 | 55 OCEANA DRIVE EAST APT 21, NY 11235 | 55 OCEANA DRIVE EAST APT PH2E, NY 11235 | 55 OCEANA DRIVE EAST APT STG3, NY 11235 | 75 OCEANA DRIVE EAST APT 5, NY 11235 | 75 OCEANA DRIVE EAST APT PH1C, NY 11235</x:v>
      </x:c>
      <x:c r="P148" t="n">
        <x:v>3</x:v>
      </x:c>
      <x:c r="Q148" s="15" t="n">
        <x:v>0.75</x:v>
      </x:c>
      <x:c r="R148" t="n">
        <x:v>0</x:v>
      </x:c>
      <x:c r="S148" t="str">
        <x:v>Shared DOS address</x:v>
      </x:c>
      <x:c r="T148" t="str">
        <x:v>No</x:v>
      </x:c>
      <x:c r="U148" t="n">
        <x:v>100</x:v>
      </x:c>
      <x:c r="V148" t="str">
        <x:v>https://data.ny.gov/Economic-Development/Active-Corporations-Beginning-1800/n9v6-gdp6</x:v>
      </x:c>
    </x:row>
    <x:row r="149">
      <x:c r="A149" t="str">
        <x:v>DOS-4-048</x:v>
      </x:c>
      <x:c r="B149" t="str">
        <x:v>Not Mailed</x:v>
      </x:c>
      <x:c r="C149" s="55"/>
      <x:c r="D149" t="str">
        <x:v>No Response</x:v>
      </x:c>
      <x:c r="E149" t="str"/>
      <x:c r="F149" t="n">
        <x:v>4</x:v>
      </x:c>
      <x:c r="G149" t="str">
        <x:v>PROPERTY OWNER</x:v>
      </x:c>
      <x:c r="H149" t="str"/>
      <x:c r="I149" t="n">
        <x:v>0</x:v>
      </x:c>
      <x:c r="J149" t="str">
        <x:v>129 macdougal street, NEW YORK, NY, 10012</x:v>
      </x:c>
      <x:c r="K149" t="str">
        <x:v>DOS address corroborated by ACRIS</x:v>
      </x:c>
      <x:c r="L149" t="n">
        <x:v>4</x:v>
      </x:c>
      <x:c r="M149" t="n">
        <x:v>8</x:v>
      </x:c>
      <x:c r="N149" t="str">
        <x:v>131 MACDOUGAL LLC | 337 SOUTH 5TH STREET LLC | 508 BROADWAY PARTNERS LLC | N 9TH LLC</x:v>
      </x:c>
      <x:c r="O149" t="str">
        <x:v>131 MAC DOUGAL STREET, NY 10012 | 260 NORTH 9 STREET APT G8, NY 11211 | 260 NORTH 9 STREET APT G9-10, NY 11211 | 337 SOUTH 5 STREET, NY 11211 | 508 BROADWAY APT 2, NY 10012 | 508 BROADWAY APT 3, NY 10012 | 508 BROADWAY APT 4, NY 10012 | 508 BROADWAY APT 5, NY 10012</x:v>
      </x:c>
      <x:c r="P149" t="n">
        <x:v>3</x:v>
      </x:c>
      <x:c r="Q149" s="15" t="n">
        <x:v>0.75</x:v>
      </x:c>
      <x:c r="R149" t="n">
        <x:v>3</x:v>
      </x:c>
      <x:c r="S149" t="str">
        <x:v>Strong DOS address corroboration</x:v>
      </x:c>
      <x:c r="T149" t="str">
        <x:v>No</x:v>
      </x:c>
      <x:c r="U149" t="n">
        <x:v>100</x:v>
      </x:c>
      <x:c r="V149" t="str">
        <x:v>https://data.ny.gov/Economic-Development/Active-Corporations-Beginning-1800/n9v6-gdp6</x:v>
      </x:c>
    </x:row>
    <x:row r="150">
      <x:c r="A150" t="str">
        <x:v>DOS-4-049</x:v>
      </x:c>
      <x:c r="B150" t="str">
        <x:v>Not Mailed</x:v>
      </x:c>
      <x:c r="C150" s="55"/>
      <x:c r="D150" t="str">
        <x:v>No Response</x:v>
      </x:c>
      <x:c r="E150" t="str"/>
      <x:c r="F150" t="n">
        <x:v>4</x:v>
      </x:c>
      <x:c r="G150" t="str">
        <x:v>PROPERTY OWNER</x:v>
      </x:c>
      <x:c r="H150" t="str">
        <x:v>IDAN SHITRIT</x:v>
      </x:c>
      <x:c r="I150" t="n">
        <x:v>1</x:v>
      </x:c>
      <x:c r="J150" t="str">
        <x:v>134 NORTH 4TH STREET, BROOKLYN, NY, 11249, US</x:v>
      </x:c>
      <x:c r="K150" t="str">
        <x:v>ACRIS deed-party address</x:v>
      </x:c>
      <x:c r="L150" t="n">
        <x:v>4</x:v>
      </x:c>
      <x:c r="M150" t="n">
        <x:v>8</x:v>
      </x:c>
      <x:c r="N150" t="str">
        <x:v>149 GREEN BROOKLYN CONDOS LLC | CLAY PROPERTIES LLC | FREEMAN BUILDING LLC | WILLIAMSBURG ON 5TH LLC</x:v>
      </x:c>
      <x:c r="O150" t="str">
        <x:v>149 GREEN STREET APT 202, NY 11222 | 149 GREEN STREET APT 302, NY 11222 | 149 GREEN STREET APT 501, NY 11222 | 149 GREEN STREET APT 601, NY 11222 | 19 CLAY STREET, NY 11222 | 199-203 NORTH 5 STREET, NY 11211 | 60 COMMERCIAL STREET, NY 11222 | 78 FREEMAN ST APT 3, NY 11222</x:v>
      </x:c>
      <x:c r="P150" t="n">
        <x:v>4</x:v>
      </x:c>
      <x:c r="Q150" s="15" t="n">
        <x:v>1</x:v>
      </x:c>
      <x:c r="R150" t="n">
        <x:v>0</x:v>
      </x:c>
      <x:c r="S150" t="str">
        <x:v>Active-name matches only</x:v>
      </x:c>
      <x:c r="T150" t="str">
        <x:v>No</x:v>
      </x:c>
      <x:c r="U150" t="n">
        <x:v>100</x:v>
      </x:c>
      <x:c r="V150" t="str">
        <x:v>https://data.ny.gov/Economic-Development/Active-Corporations-Beginning-1800/n9v6-gdp6</x:v>
      </x:c>
    </x:row>
    <x:row r="151">
      <x:c r="A151" t="str">
        <x:v>DOS-4-050</x:v>
      </x:c>
      <x:c r="B151" t="str">
        <x:v>Not Mailed</x:v>
      </x:c>
      <x:c r="C151" s="55"/>
      <x:c r="D151" t="str">
        <x:v>No Response</x:v>
      </x:c>
      <x:c r="E151" t="str"/>
      <x:c r="F151" t="n">
        <x:v>4</x:v>
      </x:c>
      <x:c r="G151" t="str">
        <x:v>PROPERTY OWNER</x:v>
      </x:c>
      <x:c r="H151" t="str">
        <x:v>HANGDONG ZHANG</x:v>
      </x:c>
      <x:c r="I151" t="n">
        <x:v>1</x:v>
      </x:c>
      <x:c r="J151" t="str">
        <x:v>136-20 38TH AVE SUITE 3E, FLUSHING, NY, 11354</x:v>
      </x:c>
      <x:c r="K151" t="str">
        <x:v>DOS address corroborated by ACRIS</x:v>
      </x:c>
      <x:c r="L151" t="n">
        <x:v>4</x:v>
      </x:c>
      <x:c r="M151" t="n">
        <x:v>8</x:v>
      </x:c>
      <x:c r="N151" t="str">
        <x:v>BS LIC REALTY LLC | GBJ 12 REALTY LLC | GBV 39 REALTY LLC | GBZ 39 REALTY LLC</x:v>
      </x:c>
      <x:c r="O151" t="str">
        <x:v>133-45 39 AVENUE, NY 11354 | 150-18 12TH ROAD, NY 11357 | 150-20 12TH ROAD, NY 11357 | 150-22 12TH ROAD, NY 11357 | 150-24 12TH ROAD, NY 11357 | 150-26 12TH ROAD, NY 11357 | 42-38 27TH STREET, NY 11101 | 517 39 STREET, NY 11232</x:v>
      </x:c>
      <x:c r="P151" t="n">
        <x:v>4</x:v>
      </x:c>
      <x:c r="Q151" s="15" t="n">
        <x:v>1</x:v>
      </x:c>
      <x:c r="R151" t="n">
        <x:v>1</x:v>
      </x:c>
      <x:c r="S151" t="str">
        <x:v>Shared DOS address</x:v>
      </x:c>
      <x:c r="T151" t="str">
        <x:v>No</x:v>
      </x:c>
      <x:c r="U151" t="n">
        <x:v>100</x:v>
      </x:c>
      <x:c r="V151" t="str">
        <x:v>https://data.ny.gov/Economic-Development/Active-Corporations-Beginning-1800/n9v6-gdp6</x:v>
      </x:c>
    </x:row>
    <x:row r="152">
      <x:c r="A152" t="str">
        <x:v>DOS-4-051</x:v>
      </x:c>
      <x:c r="B152" t="str">
        <x:v>Not Mailed</x:v>
      </x:c>
      <x:c r="C152" s="55"/>
      <x:c r="D152" t="str">
        <x:v>No Response</x:v>
      </x:c>
      <x:c r="E152" t="str"/>
      <x:c r="F152" t="n">
        <x:v>4</x:v>
      </x:c>
      <x:c r="G152" t="str">
        <x:v>PROPERTY OWNER</x:v>
      </x:c>
      <x:c r="H152" t="str"/>
      <x:c r="I152" t="n">
        <x:v>0</x:v>
      </x:c>
      <x:c r="J152" t="str">
        <x:v>1431 NOSTRAND AVENUE, BROOKLYN, NY, 11226, US</x:v>
      </x:c>
      <x:c r="K152" t="str">
        <x:v>ACRIS deed-party address</x:v>
      </x:c>
      <x:c r="L152" t="n">
        <x:v>4</x:v>
      </x:c>
      <x:c r="M152" t="n">
        <x:v>8</x:v>
      </x:c>
      <x:c r="N152" t="str">
        <x:v>1373 FLATBUSH LLC | 15 EAST 19TH LLC | 15 EAST 19TH ST LLC | 1517 FULTON LLC</x:v>
      </x:c>
      <x:c r="O152" t="str">
        <x:v>1034 NOSTRAND AVENUE, NY 11225 | 1373 FLATBUSH AVENUE, NY 11220 | 1377 FLATBUSH AVENUE, NY 11210 | 1510 FULTON STREET, NY 11216 | 1512 FULTON STREET, NY 11216 | 163 ERASMUS STREET, NY 11226 | 6 COLEMAN SQUARE, NY 11414 | 944 UTICA AVENUE, NY 11203</x:v>
      </x:c>
      <x:c r="P152" t="n">
        <x:v>3</x:v>
      </x:c>
      <x:c r="Q152" s="15" t="n">
        <x:v>0.75</x:v>
      </x:c>
      <x:c r="R152" t="n">
        <x:v>0</x:v>
      </x:c>
      <x:c r="S152" t="str">
        <x:v>Shared DOS address</x:v>
      </x:c>
      <x:c r="T152" t="str">
        <x:v>No</x:v>
      </x:c>
      <x:c r="U152" t="n">
        <x:v>100</x:v>
      </x:c>
      <x:c r="V152" t="str">
        <x:v>https://data.ny.gov/Economic-Development/Active-Corporations-Beginning-1800/n9v6-gdp6</x:v>
      </x:c>
    </x:row>
    <x:row r="153">
      <x:c r="A153" t="str">
        <x:v>DOS-4-052</x:v>
      </x:c>
      <x:c r="B153" t="str">
        <x:v>Not Mailed</x:v>
      </x:c>
      <x:c r="C153" s="55"/>
      <x:c r="D153" t="str">
        <x:v>No Response</x:v>
      </x:c>
      <x:c r="E153" t="str"/>
      <x:c r="F153" t="n">
        <x:v>4</x:v>
      </x:c>
      <x:c r="G153" t="str">
        <x:v>PROPERTY OWNER</x:v>
      </x:c>
      <x:c r="H153" t="str"/>
      <x:c r="I153" t="n">
        <x:v>0</x:v>
      </x:c>
      <x:c r="J153" t="str">
        <x:v>1628 CHURCH AVENUE, BROOKLYN, NY, 11226</x:v>
      </x:c>
      <x:c r="K153" t="str">
        <x:v>DOS address corroborated by ACRIS</x:v>
      </x:c>
      <x:c r="L153" t="n">
        <x:v>4</x:v>
      </x:c>
      <x:c r="M153" t="n">
        <x:v>8</x:v>
      </x:c>
      <x:c r="N153" t="str">
        <x:v>1019 E 46 REALTY LLC | 51 STREET LLC | ALM ASSOCIATES LLC | BRIGHTON 3RD GROUP LLC</x:v>
      </x:c>
      <x:c r="O153" t="str">
        <x:v>1019-1039 EAST 46 STREET, NY 11203 | 195 CLASSON AVENUE APT 1A, NY 11205 | 195 CLASSON AVENUE APT 2B, NY 11205 | 195 CLASSON AVENUE APT 3A, NY 11205 | 195 CLASSON AVENUE APT 4B, NY 11205 | 354 EAST 51 STREET, NY 11203 | 356 EAST 51 STREET, NY 11203 | 9 BRIGHTON 3 ROAD, NY 11235</x:v>
      </x:c>
      <x:c r="P153" t="n">
        <x:v>4</x:v>
      </x:c>
      <x:c r="Q153" s="15" t="n">
        <x:v>1</x:v>
      </x:c>
      <x:c r="R153" t="n">
        <x:v>4</x:v>
      </x:c>
      <x:c r="S153" t="str">
        <x:v>Strong DOS address corroboration</x:v>
      </x:c>
      <x:c r="T153" t="str">
        <x:v>No</x:v>
      </x:c>
      <x:c r="U153" t="n">
        <x:v>100</x:v>
      </x:c>
      <x:c r="V153" t="str">
        <x:v>https://data.ny.gov/Economic-Development/Active-Corporations-Beginning-1800/n9v6-gdp6</x:v>
      </x:c>
    </x:row>
    <x:row r="154">
      <x:c r="A154" t="str">
        <x:v>DOS-4-053</x:v>
      </x:c>
      <x:c r="B154" t="str">
        <x:v>Not Mailed</x:v>
      </x:c>
      <x:c r="C154" s="55"/>
      <x:c r="D154" t="str">
        <x:v>No Response</x:v>
      </x:c>
      <x:c r="E154" t="str"/>
      <x:c r="F154" t="n">
        <x:v>4</x:v>
      </x:c>
      <x:c r="G154" t="str">
        <x:v>PROPERTY OWNER</x:v>
      </x:c>
      <x:c r="H154" t="str"/>
      <x:c r="I154" t="n">
        <x:v>0</x:v>
      </x:c>
      <x:c r="J154" t="str">
        <x:v>168-17 LIBERTY AVE., JAMAICA, NY, 11433</x:v>
      </x:c>
      <x:c r="K154" t="str">
        <x:v>DOS address corroborated by ACRIS</x:v>
      </x:c>
      <x:c r="L154" t="n">
        <x:v>4</x:v>
      </x:c>
      <x:c r="M154" t="n">
        <x:v>8</x:v>
      </x:c>
      <x:c r="N154" t="str">
        <x:v>AV REALTY 168 17 LIBERTY AVENUE LLC | AV REALTY 168 25 27 LIBERTY AVENUE LLC | AV REALTY 168 26 28 LIBERTY AVENUE LLC | AVF REALTY168 36 40 LIBERTY AVENUE LLC</x:v>
      </x:c>
      <x:c r="O154" t="str">
        <x:v>168-17-168-19 LIBERTY AVENUE, NY 11433 | 168-25 LIBERTY AVENUE, NY 11433 | 168-26 LIBERTY AVENUE, NY 11433 | 168-28 LIBERTY AVENUE, NY 11433 | 168-36 LIBERTY AVENUE, NY 11433 | 168-38 LIBERTY AVENUE, NY 11433 | 168-40 LIBERTY AVENUE, NY 11433 | LIBERTY AVENUE</x:v>
      </x:c>
      <x:c r="P154" t="n">
        <x:v>3</x:v>
      </x:c>
      <x:c r="Q154" s="15" t="n">
        <x:v>0.75</x:v>
      </x:c>
      <x:c r="R154" t="n">
        <x:v>3</x:v>
      </x:c>
      <x:c r="S154" t="str">
        <x:v>Strong DOS address corroboration</x:v>
      </x:c>
      <x:c r="T154" t="str">
        <x:v>No</x:v>
      </x:c>
      <x:c r="U154" t="n">
        <x:v>100</x:v>
      </x:c>
      <x:c r="V154" t="str">
        <x:v>https://data.ny.gov/Economic-Development/Active-Corporations-Beginning-1800/n9v6-gdp6</x:v>
      </x:c>
    </x:row>
    <x:row r="155">
      <x:c r="A155" t="str">
        <x:v>DOS-4-054</x:v>
      </x:c>
      <x:c r="B155" t="str">
        <x:v>Not Mailed</x:v>
      </x:c>
      <x:c r="C155" s="55"/>
      <x:c r="D155" t="str">
        <x:v>No Response</x:v>
      </x:c>
      <x:c r="E155" t="str"/>
      <x:c r="F155" t="n">
        <x:v>4</x:v>
      </x:c>
      <x:c r="G155" t="str">
        <x:v>PROPERTY OWNER</x:v>
      </x:c>
      <x:c r="H155" t="str"/>
      <x:c r="I155" t="n">
        <x:v>0</x:v>
      </x:c>
      <x:c r="J155" t="str">
        <x:v>1913 BRONXDALE AVE, BRONX, NY, 10462</x:v>
      </x:c>
      <x:c r="K155" t="str">
        <x:v>DOS address corroborated by ACRIS</x:v>
      </x:c>
      <x:c r="L155" t="n">
        <x:v>4</x:v>
      </x:c>
      <x:c r="M155" t="n">
        <x:v>8</x:v>
      </x:c>
      <x:c r="N155" t="str">
        <x:v>1911 1913 BRONXDALE AVENUE REALTY LLC | 1912 1920 MULINER AVE REALTY LLC | 2593 LURTING AVENUE LLC | 4 PEACE STREET HOLDINGS LLC</x:v>
      </x:c>
      <x:c r="O155" t="str">
        <x:v>1901 MULINER AVENUE, NY 10462 | 1903 BRONXDALE AVENUE, NY 10462 | 1907-1911 BRONXDALE AVENUE, NY 10462 | 1912-1914 MULINER AVENUE, NY 10462 | 1913 BRONXDALE AVENUE, NY 10462 | 2593 LURTING AVENUE, NY 10469 | 4-55 PEACE STREET, NY 10464 | BRONXDALE AVENUE</x:v>
      </x:c>
      <x:c r="P155" t="n">
        <x:v>4</x:v>
      </x:c>
      <x:c r="Q155" s="15" t="n">
        <x:v>1</x:v>
      </x:c>
      <x:c r="R155" t="n">
        <x:v>4</x:v>
      </x:c>
      <x:c r="S155" t="str">
        <x:v>Strong DOS address corroboration</x:v>
      </x:c>
      <x:c r="T155" t="str">
        <x:v>No</x:v>
      </x:c>
      <x:c r="U155" t="n">
        <x:v>100</x:v>
      </x:c>
      <x:c r="V155" t="str">
        <x:v>https://data.ny.gov/Economic-Development/Active-Corporations-Beginning-1800/n9v6-gdp6</x:v>
      </x:c>
    </x:row>
    <x:row r="156">
      <x:c r="A156" t="str">
        <x:v>DOS-4-055</x:v>
      </x:c>
      <x:c r="B156" t="str">
        <x:v>Not Mailed</x:v>
      </x:c>
      <x:c r="C156" s="55"/>
      <x:c r="D156" t="str">
        <x:v>No Response</x:v>
      </x:c>
      <x:c r="E156" t="str"/>
      <x:c r="F156" t="n">
        <x:v>4</x:v>
      </x:c>
      <x:c r="G156" t="str">
        <x:v>PROPERTY OWNER</x:v>
      </x:c>
      <x:c r="H156" t="str"/>
      <x:c r="I156" t="n">
        <x:v>0</x:v>
      </x:c>
      <x:c r="J156" t="str">
        <x:v>214-57 27TH AVENUE, BAYSIDE, NY, 11360</x:v>
      </x:c>
      <x:c r="K156" t="str">
        <x:v>DOS address corroborated by ACRIS</x:v>
      </x:c>
      <x:c r="L156" t="n">
        <x:v>4</x:v>
      </x:c>
      <x:c r="M156" t="n">
        <x:v>8</x:v>
      </x:c>
      <x:c r="N156" t="str">
        <x:v>160 W 86 REALTY GROUP LLC | 193 2ND AVE REALTY GROUP LLC | 416 W 47TH STREET REALTY LLC | 56 MORTON STREET REALTY LLC</x:v>
      </x:c>
      <x:c r="O156" t="str">
        <x:v>160 WEST 86 STREET APT MS-1, NY 10024 | 193-195 2 AVENUE APT 1A, NY 10003 | 193-195 2 AVENUE APT 4, NY 10003 | 193-195 2 AVENUE APT C-1, NY 10003 | 193-195 2 AVENUE APT C-4, NY 10003 | 193-195 2 AVENUE APT C2, NY 10003 | 416 WEST 47 STREET, NY 10036 | 56 MORTON STREET, NY 10014</x:v>
      </x:c>
      <x:c r="P156" t="n">
        <x:v>4</x:v>
      </x:c>
      <x:c r="Q156" s="15" t="n">
        <x:v>1</x:v>
      </x:c>
      <x:c r="R156" t="n">
        <x:v>4</x:v>
      </x:c>
      <x:c r="S156" t="str">
        <x:v>Strong DOS address corroboration</x:v>
      </x:c>
      <x:c r="T156" t="str">
        <x:v>No</x:v>
      </x:c>
      <x:c r="U156" t="n">
        <x:v>100</x:v>
      </x:c>
      <x:c r="V156" t="str">
        <x:v>https://data.ny.gov/Economic-Development/Active-Corporations-Beginning-1800/n9v6-gdp6</x:v>
      </x:c>
    </x:row>
    <x:row r="157">
      <x:c r="A157" t="str">
        <x:v>DOS-4-056</x:v>
      </x:c>
      <x:c r="B157" t="str">
        <x:v>Not Mailed</x:v>
      </x:c>
      <x:c r="C157" s="55"/>
      <x:c r="D157" t="str">
        <x:v>No Response</x:v>
      </x:c>
      <x:c r="E157" t="str"/>
      <x:c r="F157" t="n">
        <x:v>4</x:v>
      </x:c>
      <x:c r="G157" t="str">
        <x:v>PROPERTY OWNER</x:v>
      </x:c>
      <x:c r="H157" t="str"/>
      <x:c r="I157" t="n">
        <x:v>0</x:v>
      </x:c>
      <x:c r="J157" t="str">
        <x:v>252 EXETER STREET, BROOKLYN, NY, 11235</x:v>
      </x:c>
      <x:c r="K157" t="str">
        <x:v>DOS address corroborated by ACRIS</x:v>
      </x:c>
      <x:c r="L157" t="n">
        <x:v>4</x:v>
      </x:c>
      <x:c r="M157" t="n">
        <x:v>8</x:v>
      </x:c>
      <x:c r="N157" t="str">
        <x:v>DIANA AND SOFIA LLC | HDT JOY HOUSE LLC | LJ23 LLC | TULYA AND JACOB LLC</x:v>
      </x:c>
      <x:c r="O157" t="str">
        <x:v>120 OCEANA DRIVE WEST APT 5A, NY 11235 | 165 IRWIN STREET, NY 11235 | 2552 OCEAN PARKWAY, NY 11235 | 297 AVENUE X, NY 11223 | 501 SURF AVENUE APT 1, NY 11224 | 501-541 SURF AVENUE APT 11D, NY 11224 | 501-541 SURF AVENUE APT 3A, NY 11224 | 501-541 SURF AVENUE APT 8J, NY 11224</x:v>
      </x:c>
      <x:c r="P157" t="n">
        <x:v>4</x:v>
      </x:c>
      <x:c r="Q157" s="15" t="n">
        <x:v>1</x:v>
      </x:c>
      <x:c r="R157" t="n">
        <x:v>2</x:v>
      </x:c>
      <x:c r="S157" t="str">
        <x:v>Strong DOS address corroboration</x:v>
      </x:c>
      <x:c r="T157" t="str">
        <x:v>No</x:v>
      </x:c>
      <x:c r="U157" t="n">
        <x:v>100</x:v>
      </x:c>
      <x:c r="V157" t="str">
        <x:v>https://data.ny.gov/Economic-Development/Active-Corporations-Beginning-1800/n9v6-gdp6</x:v>
      </x:c>
    </x:row>
    <x:row r="158">
      <x:c r="A158" t="str">
        <x:v>DOS-4-057</x:v>
      </x:c>
      <x:c r="B158" t="str">
        <x:v>Not Mailed</x:v>
      </x:c>
      <x:c r="C158" s="55"/>
      <x:c r="D158" t="str">
        <x:v>No Response</x:v>
      </x:c>
      <x:c r="E158" t="str"/>
      <x:c r="F158" t="n">
        <x:v>4</x:v>
      </x:c>
      <x:c r="G158" t="str">
        <x:v>PROPERTY OWNER</x:v>
      </x:c>
      <x:c r="H158" t="str"/>
      <x:c r="I158" t="n">
        <x:v>0</x:v>
      </x:c>
      <x:c r="J158" t="str">
        <x:v>259 Ellen Place, Jericho, NY, 11753</x:v>
      </x:c>
      <x:c r="K158" t="str">
        <x:v>DOS address corroborated by ACRIS</x:v>
      </x:c>
      <x:c r="L158" t="n">
        <x:v>4</x:v>
      </x:c>
      <x:c r="M158" t="n">
        <x:v>8</x:v>
      </x:c>
      <x:c r="N158" t="str">
        <x:v>JEFFERSON 198 LLC | MARTIN 4031 LLC | MARTIN 4141 LLC | TRISTAN MARTIN 3745 LLC</x:v>
      </x:c>
      <x:c r="O158" t="str">
        <x:v>198 JEFFERSON STREET, NY 11206 | 37-45-37-47 75 STREET, NY 11372 | 40-31 97 STREET, NY 11368 | 40-67 JUNCTION BOULEVARD, NY 11368 | 41-41 48 STREET, NY 11104 | 41-47 48 STREET, NY 11104 | 47-45 46 STREET, NY 11377 | 87-02 188 STREET, NY 11423</x:v>
      </x:c>
      <x:c r="P158" t="n">
        <x:v>4</x:v>
      </x:c>
      <x:c r="Q158" s="15" t="n">
        <x:v>1</x:v>
      </x:c>
      <x:c r="R158" t="n">
        <x:v>4</x:v>
      </x:c>
      <x:c r="S158" t="str">
        <x:v>Strong DOS address corroboration</x:v>
      </x:c>
      <x:c r="T158" t="str">
        <x:v>No</x:v>
      </x:c>
      <x:c r="U158" t="n">
        <x:v>100</x:v>
      </x:c>
      <x:c r="V158" t="str">
        <x:v>https://data.ny.gov/Economic-Development/Active-Corporations-Beginning-1800/n9v6-gdp6</x:v>
      </x:c>
    </x:row>
    <x:row r="159">
      <x:c r="A159" t="str">
        <x:v>DOS-4-058</x:v>
      </x:c>
      <x:c r="B159" t="str">
        <x:v>Not Mailed</x:v>
      </x:c>
      <x:c r="C159" s="55"/>
      <x:c r="D159" t="str">
        <x:v>No Response</x:v>
      </x:c>
      <x:c r="E159" t="str"/>
      <x:c r="F159" t="n">
        <x:v>4</x:v>
      </x:c>
      <x:c r="G159" t="str">
        <x:v>PROPERTY OWNER</x:v>
      </x:c>
      <x:c r="H159" t="str"/>
      <x:c r="I159" t="n">
        <x:v>0</x:v>
      </x:c>
      <x:c r="J159" t="str">
        <x:v>3 TALISMAN COURT, DIX HILLS, NY, 11746</x:v>
      </x:c>
      <x:c r="K159" t="str">
        <x:v>DOS address corroborated by ACRIS</x:v>
      </x:c>
      <x:c r="L159" t="n">
        <x:v>4</x:v>
      </x:c>
      <x:c r="M159" t="n">
        <x:v>8</x:v>
      </x:c>
      <x:c r="N159" t="str">
        <x:v>FULTON MACDOUGAL MGMT LLC | FULTON NAZIA MANAGEMENT LLC | MUN FULTON MNGMT LLC | UROOB EQUITY LLC</x:v>
      </x:c>
      <x:c r="O159" t="str">
        <x:v>133-19 AMBER STREET, NY 11414 | 1470 BROADWAY, NY 11221 | 17 MAC DOUGAL STREET, NY 11233 | 1922-1924 FULTON STREET, NY 11233 | 1924 FULTON STREET, NY 11233 | 1926 FULTON STREET, NY 11233 | 1932 FULTON STREET, NY 11233 | 951 HERKIMER STREET, NY 11233</x:v>
      </x:c>
      <x:c r="P159" t="n">
        <x:v>4</x:v>
      </x:c>
      <x:c r="Q159" s="15" t="n">
        <x:v>1</x:v>
      </x:c>
      <x:c r="R159" t="n">
        <x:v>2</x:v>
      </x:c>
      <x:c r="S159" t="str">
        <x:v>Strong DOS address corroboration</x:v>
      </x:c>
      <x:c r="T159" t="str">
        <x:v>No</x:v>
      </x:c>
      <x:c r="U159" t="n">
        <x:v>100</x:v>
      </x:c>
      <x:c r="V159" t="str">
        <x:v>https://data.ny.gov/Economic-Development/Active-Corporations-Beginning-1800/n9v6-gdp6</x:v>
      </x:c>
    </x:row>
    <x:row r="160">
      <x:c r="A160" t="str">
        <x:v>DOS-4-059</x:v>
      </x:c>
      <x:c r="B160" t="str">
        <x:v>Not Mailed</x:v>
      </x:c>
      <x:c r="C160" s="55"/>
      <x:c r="D160" t="str">
        <x:v>No Response</x:v>
      </x:c>
      <x:c r="E160" t="str"/>
      <x:c r="F160" t="n">
        <x:v>4</x:v>
      </x:c>
      <x:c r="G160" t="str">
        <x:v>PROPERTY OWNER</x:v>
      </x:c>
      <x:c r="H160" t="str">
        <x:v>C/O FARZAD FAKHERI</x:v>
      </x:c>
      <x:c r="I160" t="n">
        <x:v>1</x:v>
      </x:c>
      <x:c r="J160" t="str">
        <x:v>330 EAST 38TH STREET, NEW YORK, NY, 10016, US</x:v>
      </x:c>
      <x:c r="K160" t="str">
        <x:v>ACRIS deed-party address</x:v>
      </x:c>
      <x:c r="L160" t="n">
        <x:v>4</x:v>
      </x:c>
      <x:c r="M160" t="n">
        <x:v>8</x:v>
      </x:c>
      <x:c r="N160" t="str">
        <x:v>CCFF REALTY LLC | HIGH RISE VENTURES LLC | JERU265 LLC | P A VENTURES LLC</x:v>
      </x:c>
      <x:c r="O160" t="str">
        <x:v>330 EAST 38 STREET APT 48E, NY 10016 | 330 EAST 38 STREET APT 51J, NY 10016 | 330 EAST 38 STREET APT 54E, NY 10016 | 330 EAST 38 STREET APT 55A, NY 10016 | 330 EAST 38 STREET APT 55Q, NY 10016 | 330 EAST 38 STREET APT 56A, NY 10016 | 330 EAST 38 STREET APT 56Q, NY 10016 | 330 EAST 38 STREET APT 9C, NY 10016</x:v>
      </x:c>
      <x:c r="P160" t="n">
        <x:v>4</x:v>
      </x:c>
      <x:c r="Q160" s="15" t="n">
        <x:v>1</x:v>
      </x:c>
      <x:c r="R160" t="n">
        <x:v>2</x:v>
      </x:c>
      <x:c r="S160" t="str">
        <x:v>Strong DOS address corroboration</x:v>
      </x:c>
      <x:c r="T160" t="str">
        <x:v>No</x:v>
      </x:c>
      <x:c r="U160" t="n">
        <x:v>100</x:v>
      </x:c>
      <x:c r="V160" t="str">
        <x:v>https://data.ny.gov/Economic-Development/Active-Corporations-Beginning-1800/n9v6-gdp6</x:v>
      </x:c>
    </x:row>
    <x:row r="161">
      <x:c r="A161" t="str">
        <x:v>DOS-4-060</x:v>
      </x:c>
      <x:c r="B161" t="str">
        <x:v>Not Mailed</x:v>
      </x:c>
      <x:c r="C161" s="55"/>
      <x:c r="D161" t="str">
        <x:v>No Response</x:v>
      </x:c>
      <x:c r="E161" t="str"/>
      <x:c r="F161" t="n">
        <x:v>4</x:v>
      </x:c>
      <x:c r="G161" t="str">
        <x:v>PROPERTY OWNER</x:v>
      </x:c>
      <x:c r="H161" t="str"/>
      <x:c r="I161" t="n">
        <x:v>0</x:v>
      </x:c>
      <x:c r="J161" t="str">
        <x:v>3347 MICHELSON DRIVE, SUITE 200, IRVINE, CA, 92612, US</x:v>
      </x:c>
      <x:c r="K161" t="str">
        <x:v>ACRIS deed-party address</x:v>
      </x:c>
      <x:c r="L161" t="n">
        <x:v>4</x:v>
      </x:c>
      <x:c r="M161" t="n">
        <x:v>8</x:v>
      </x:c>
      <x:c r="N161" t="str">
        <x:v>659 COURT STREET LLC | 845 E 136TH ST LLC | RXR LBA RED HOOK COURT STREET OWNER LLC | RXR LBA RED HOOK OWNER LLC</x:v>
      </x:c>
      <x:c r="O161" t="str">
        <x:v>659-669 COURT STREET, NY 11231 | 722 COURT STREET, NY 11231 | 728 COURT STREET, NY 11231 | 730 CLINTON STREET, NY 11231 | 730 COURT STREET, NY 11231 | 764 HENRY STREET, NY 11231 | 845 EAST 136 STREET, NY 10454 | GOWANUS CANAL, NY 11231</x:v>
      </x:c>
      <x:c r="P161" t="n">
        <x:v>4</x:v>
      </x:c>
      <x:c r="Q161" s="15" t="n">
        <x:v>1</x:v>
      </x:c>
      <x:c r="R161" t="n">
        <x:v>0</x:v>
      </x:c>
      <x:c r="S161" t="str">
        <x:v>Shared DOS address</x:v>
      </x:c>
      <x:c r="T161" t="str">
        <x:v>No</x:v>
      </x:c>
      <x:c r="U161" t="n">
        <x:v>100</x:v>
      </x:c>
      <x:c r="V161" t="str">
        <x:v>https://data.ny.gov/Economic-Development/Active-Corporations-Beginning-1800/n9v6-gdp6</x:v>
      </x:c>
    </x:row>
    <x:row r="162">
      <x:c r="A162" t="str">
        <x:v>DOS-4-061</x:v>
      </x:c>
      <x:c r="B162" t="str">
        <x:v>Not Mailed</x:v>
      </x:c>
      <x:c r="C162" s="55"/>
      <x:c r="D162" t="str">
        <x:v>No Response</x:v>
      </x:c>
      <x:c r="E162" t="str"/>
      <x:c r="F162" t="n">
        <x:v>4</x:v>
      </x:c>
      <x:c r="G162" t="str">
        <x:v>PROPERTY OWNER</x:v>
      </x:c>
      <x:c r="H162" t="str"/>
      <x:c r="I162" t="n">
        <x:v>0</x:v>
      </x:c>
      <x:c r="J162" t="str">
        <x:v>378 AVENUE P, BROOKLYN, NY, 11204</x:v>
      </x:c>
      <x:c r="K162" t="str">
        <x:v>DOS address corroborated by ACRIS</x:v>
      </x:c>
      <x:c r="L162" t="n">
        <x:v>4</x:v>
      </x:c>
      <x:c r="M162" t="n">
        <x:v>8</x:v>
      </x:c>
      <x:c r="N162" t="str">
        <x:v>EXXIG REALTY LLC | LEVENDIS REALTY LLC | SAXXESS REALTY LLC | XESAG REALTY LLC</x:v>
      </x:c>
      <x:c r="O162" t="str">
        <x:v>2826 FT HAMILTON PARKWAY, NY 11218 | 374 AVENUE P, NY 11204 | 378 AVENUE P, NY 11204 | 3920 LAUREL AVENUE, NY 11224 | 4214 SEA GATE AVENUE, NY 11224 | 646 6 AVENUE, NY 11215 | 650 6 AVENUE, NY 11215 | 652 6 AVENUE, NY 11215</x:v>
      </x:c>
      <x:c r="P162" t="n">
        <x:v>3</x:v>
      </x:c>
      <x:c r="Q162" s="15" t="n">
        <x:v>0.75</x:v>
      </x:c>
      <x:c r="R162" t="n">
        <x:v>3</x:v>
      </x:c>
      <x:c r="S162" t="str">
        <x:v>Strong DOS address corroboration</x:v>
      </x:c>
      <x:c r="T162" t="str">
        <x:v>No</x:v>
      </x:c>
      <x:c r="U162" t="n">
        <x:v>100</x:v>
      </x:c>
      <x:c r="V162" t="str">
        <x:v>https://data.ny.gov/Economic-Development/Active-Corporations-Beginning-1800/n9v6-gdp6</x:v>
      </x:c>
    </x:row>
    <x:row r="163">
      <x:c r="A163" t="str">
        <x:v>DOS-4-062</x:v>
      </x:c>
      <x:c r="B163" t="str">
        <x:v>Not Mailed</x:v>
      </x:c>
      <x:c r="C163" s="55"/>
      <x:c r="D163" t="str">
        <x:v>No Response</x:v>
      </x:c>
      <x:c r="E163" t="str"/>
      <x:c r="F163" t="n">
        <x:v>4</x:v>
      </x:c>
      <x:c r="G163" t="str">
        <x:v>PROPERTY OWNER</x:v>
      </x:c>
      <x:c r="H163" t="str">
        <x:v>C /O OVED &amp; OVED LLP</x:v>
      </x:c>
      <x:c r="I163" t="n">
        <x:v>1</x:v>
      </x:c>
      <x:c r="J163" t="str">
        <x:v>401 GREENWICH STREET, NEW YORK, NY, 10013</x:v>
      </x:c>
      <x:c r="K163" t="str">
        <x:v>DOS address corroborated by ACRIS</x:v>
      </x:c>
      <x:c r="L163" t="n">
        <x:v>4</x:v>
      </x:c>
      <x:c r="M163" t="n">
        <x:v>8</x:v>
      </x:c>
      <x:c r="N163" t="str">
        <x:v>INFINITY AND BEYOND LLC | INTER DIMENSION LLC | SOHO GROUP HOLDINGS LLC | TRIBECA RE HOLDINGS LLC</x:v>
      </x:c>
      <x:c r="O163" t="str">
        <x:v>1 IRVING PLACE APT GPH-A, NY 10003 | 15 BROAD STREET APT 800, NY 10005 | 15 WEST 53 STREET APT 25C, NY 10019 | 152 FRANKLIN STREET APT 1COMM, NY 10013 | 255 HUDSON STREET APT 4A, NY 10013 | 255 WEST 85 STREET APT PH4A, NY 10024 | 350 WEST 50 STREET APT 3EE, NY 10019 | 80 PARK AVENUE APT 10D, NY 10016</x:v>
      </x:c>
      <x:c r="P163" t="n">
        <x:v>4</x:v>
      </x:c>
      <x:c r="Q163" s="15" t="n">
        <x:v>1</x:v>
      </x:c>
      <x:c r="R163" t="n">
        <x:v>2</x:v>
      </x:c>
      <x:c r="S163" t="str">
        <x:v>Strong DOS address corroboration</x:v>
      </x:c>
      <x:c r="T163" t="str">
        <x:v>No</x:v>
      </x:c>
      <x:c r="U163" t="n">
        <x:v>100</x:v>
      </x:c>
      <x:c r="V163" t="str">
        <x:v>https://data.ny.gov/Economic-Development/Active-Corporations-Beginning-1800/n9v6-gdp6</x:v>
      </x:c>
    </x:row>
    <x:row r="164">
      <x:c r="A164" t="str">
        <x:v>DOS-4-063</x:v>
      </x:c>
      <x:c r="B164" t="str">
        <x:v>Not Mailed</x:v>
      </x:c>
      <x:c r="C164" s="55"/>
      <x:c r="D164" t="str">
        <x:v>No Response</x:v>
      </x:c>
      <x:c r="E164" t="str"/>
      <x:c r="F164" t="n">
        <x:v>4</x:v>
      </x:c>
      <x:c r="G164" t="str">
        <x:v>PROPERTY OWNER</x:v>
      </x:c>
      <x:c r="H164" t="str"/>
      <x:c r="I164" t="n">
        <x:v>0</x:v>
      </x:c>
      <x:c r="J164" t="str">
        <x:v>5309 NEW UTRECHT AVE, BROOKLYN, NY, 11219</x:v>
      </x:c>
      <x:c r="K164" t="str">
        <x:v>DOS address corroborated by ACRIS</x:v>
      </x:c>
      <x:c r="L164" t="n">
        <x:v>4</x:v>
      </x:c>
      <x:c r="M164" t="n">
        <x:v>8</x:v>
      </x:c>
      <x:c r="N164" t="str">
        <x:v>1543 56 ST LLC | BARKER PROJECT LLC | HEATHLAND LLC | PORTLAND ESTATE LLC</x:v>
      </x:c>
      <x:c r="O164" t="str">
        <x:v>1113 38 STREET, NY 11218 | 1543 56 STREET, NY 11219 | 1561 55 STREET, NY 11219 | 2506 BARKER AVENUE, NY 10467 | 2514 BARKER AVENUE, NY 10467 | 2516 BARKER AVENUE, NY 10467 | 2518 BARKER AVENUE, NY 10467 | 2520 BARKER AVENUE, NY 10467</x:v>
      </x:c>
      <x:c r="P164" t="n">
        <x:v>4</x:v>
      </x:c>
      <x:c r="Q164" s="15" t="n">
        <x:v>1</x:v>
      </x:c>
      <x:c r="R164" t="n">
        <x:v>4</x:v>
      </x:c>
      <x:c r="S164" t="str">
        <x:v>Strong DOS address corroboration</x:v>
      </x:c>
      <x:c r="T164" t="str">
        <x:v>No</x:v>
      </x:c>
      <x:c r="U164" t="n">
        <x:v>100</x:v>
      </x:c>
      <x:c r="V164" t="str">
        <x:v>https://data.ny.gov/Economic-Development/Active-Corporations-Beginning-1800/n9v6-gdp6</x:v>
      </x:c>
    </x:row>
    <x:row r="165">
      <x:c r="A165" t="str">
        <x:v>DOS-4-064</x:v>
      </x:c>
      <x:c r="B165" t="str">
        <x:v>Not Mailed</x:v>
      </x:c>
      <x:c r="C165" s="55"/>
      <x:c r="D165" t="str">
        <x:v>No Response</x:v>
      </x:c>
      <x:c r="E165" t="str"/>
      <x:c r="F165" t="n">
        <x:v>4</x:v>
      </x:c>
      <x:c r="G165" t="str">
        <x:v>PROPERTY OWNER</x:v>
      </x:c>
      <x:c r="H165" t="str"/>
      <x:c r="I165" t="n">
        <x:v>0</x:v>
      </x:c>
      <x:c r="J165" t="str">
        <x:v>543 BEDFORD AVENUE #267, BROOKLYN, NY, 11211, US</x:v>
      </x:c>
      <x:c r="K165" t="str">
        <x:v>ACRIS deed-party address</x:v>
      </x:c>
      <x:c r="L165" t="n">
        <x:v>4</x:v>
      </x:c>
      <x:c r="M165" t="n">
        <x:v>8</x:v>
      </x:c>
      <x:c r="N165" t="str">
        <x:v>1689 STERLING LLC | E 53 STREET LLC | LIC 38 REALTY LLC | TAYLOR EQUITIES NY LLC</x:v>
      </x:c>
      <x:c r="O165" t="str">
        <x:v>102 EAST 53 STREET, NY 11203 | 1689 STERLING PLACE, NY 11233 | 34-10 38 STREET, NY 11101 | 34-12 38 STREET, NY 11101 | 34-16 38TH STREET, NY 11101 | 34-22 38 STREET, NY 11101 | 34-24 38 STREET, NY 11101 | 419 FRANKLIN AVENUE, NY 11238</x:v>
      </x:c>
      <x:c r="P165" t="n">
        <x:v>4</x:v>
      </x:c>
      <x:c r="Q165" s="15" t="n">
        <x:v>1</x:v>
      </x:c>
      <x:c r="R165" t="n">
        <x:v>3</x:v>
      </x:c>
      <x:c r="S165" t="str">
        <x:v>Strong DOS address corroboration</x:v>
      </x:c>
      <x:c r="T165" t="str">
        <x:v>No</x:v>
      </x:c>
      <x:c r="U165" t="n">
        <x:v>100</x:v>
      </x:c>
      <x:c r="V165" t="str">
        <x:v>https://data.ny.gov/Economic-Development/Active-Corporations-Beginning-1800/n9v6-gdp6</x:v>
      </x:c>
    </x:row>
    <x:row r="166">
      <x:c r="A166" t="str">
        <x:v>DOS-4-065</x:v>
      </x:c>
      <x:c r="B166" t="str">
        <x:v>Not Mailed</x:v>
      </x:c>
      <x:c r="C166" s="55"/>
      <x:c r="D166" t="str">
        <x:v>No Response</x:v>
      </x:c>
      <x:c r="E166" t="str"/>
      <x:c r="F166" t="n">
        <x:v>4</x:v>
      </x:c>
      <x:c r="G166" t="str">
        <x:v>PROPERTY OWNER</x:v>
      </x:c>
      <x:c r="H166" t="str"/>
      <x:c r="I166" t="n">
        <x:v>0</x:v>
      </x:c>
      <x:c r="J166" t="str">
        <x:v>60 columbus circle, 20th floor, NEW YORK, NY, 10023</x:v>
      </x:c>
      <x:c r="K166" t="str">
        <x:v>DOS address corroborated by ACRIS</x:v>
      </x:c>
      <x:c r="L166" t="n">
        <x:v>4</x:v>
      </x:c>
      <x:c r="M166" t="n">
        <x:v>8</x:v>
      </x:c>
      <x:c r="N166" t="str">
        <x:v>23 INDIA RU OWNER LLC | BOUTIQUE 35TH STREET ACQUISITION LLC | RSG SHEF 130 CORNELIA LLC | SM COURT LOFTS LLC</x:v>
      </x:c>
      <x:c r="O166" t="str">
        <x:v>130 CORNELIA STREET, NY 11221 | 23 INDIA STREET APT RU, NY 11222 | 29-33 WEST 35 STREET, NY 10001 | 505 COURT STREET APT 2N, NY 11231 | 505 COURT STREET APT 3P, NY 11231 | 505 COURT STREET APT 4B, NY 11231 | 505 COURT STREET APT 6D, NY 11231 | 505 COURT STREET APT 8G, NY 11231</x:v>
      </x:c>
      <x:c r="P166" t="n">
        <x:v>4</x:v>
      </x:c>
      <x:c r="Q166" s="15" t="n">
        <x:v>1</x:v>
      </x:c>
      <x:c r="R166" t="n">
        <x:v>2</x:v>
      </x:c>
      <x:c r="S166" t="str">
        <x:v>Strong DOS address corroboration</x:v>
      </x:c>
      <x:c r="T166" t="str">
        <x:v>No</x:v>
      </x:c>
      <x:c r="U166" t="n">
        <x:v>100</x:v>
      </x:c>
      <x:c r="V166" t="str">
        <x:v>https://data.ny.gov/Economic-Development/Active-Corporations-Beginning-1800/n9v6-gdp6</x:v>
      </x:c>
    </x:row>
    <x:row r="167">
      <x:c r="A167" t="str">
        <x:v>DOS-4-066</x:v>
      </x:c>
      <x:c r="B167" t="str">
        <x:v>Not Mailed</x:v>
      </x:c>
      <x:c r="C167" s="55"/>
      <x:c r="D167" t="str">
        <x:v>No Response</x:v>
      </x:c>
      <x:c r="E167" t="str"/>
      <x:c r="F167" t="n">
        <x:v>4</x:v>
      </x:c>
      <x:c r="G167" t="str">
        <x:v>C/O RAYMOUR &amp; FLANIGAN</x:v>
      </x:c>
      <x:c r="H167" t="str">
        <x:v>C/O RAYMOUR &amp; FLANIGAN</x:v>
      </x:c>
      <x:c r="I167" t="n">
        <x:v>2</x:v>
      </x:c>
      <x:c r="J167" t="str">
        <x:v>ATTN: GENERAL COUNSEL, 7248 MORGAN ROAD, LIVERPOOL, NY, 13088</x:v>
      </x:c>
      <x:c r="K167" t="str">
        <x:v>DOS address corroborated by ACRIS</x:v>
      </x:c>
      <x:c r="L167" t="n">
        <x:v>4</x:v>
      </x:c>
      <x:c r="M167" t="n">
        <x:v>8</x:v>
      </x:c>
      <x:c r="N167" t="str">
        <x:v>3035 CROPSEY AVENUE LLC | BROOKLYN FLATBUSH AVENUE LLC | CITYLAKE PROPERTIES LLC | ELMHURST 86 08 QUEENS BOULEVARD LLC</x:v>
      </x:c>
      <x:c r="O167" t="str">
        <x:v>1505 HART PLACE, NY 11224 | 1509 HART PLACE, NY 11224 | 240 RIVERSIDE BOULEVARD APT PH1BT, NY 10069 | 240 RIVERSIDE BOULEVARD APT PH3AB, NY 10069 | 240 RIVERSIDE BOULEVARD APT SU 50, NY 10069 | 240 RIVERSIDE BOULEVARD APT SU 51, NY 10069 | 2570 FLATBUSH AVENUE, NY 11234 | 86-08 QUEENS BOULEVARD, NY 11373</x:v>
      </x:c>
      <x:c r="P167" t="n">
        <x:v>4</x:v>
      </x:c>
      <x:c r="Q167" s="15" t="n">
        <x:v>1</x:v>
      </x:c>
      <x:c r="R167" t="n">
        <x:v>2</x:v>
      </x:c>
      <x:c r="S167" t="str">
        <x:v>Strong DOS address corroboration</x:v>
      </x:c>
      <x:c r="T167" t="str">
        <x:v>No</x:v>
      </x:c>
      <x:c r="U167" t="n">
        <x:v>100</x:v>
      </x:c>
      <x:c r="V167" t="str">
        <x:v>https://data.ny.gov/Economic-Development/Active-Corporations-Beginning-1800/n9v6-gdp6</x:v>
      </x:c>
    </x:row>
    <x:row r="168">
      <x:c r="A168" t="str">
        <x:v>DOS-4-067</x:v>
      </x:c>
      <x:c r="B168" t="str">
        <x:v>Not Mailed</x:v>
      </x:c>
      <x:c r="C168" s="55"/>
      <x:c r="D168" t="str">
        <x:v>No Response</x:v>
      </x:c>
      <x:c r="E168" t="str"/>
      <x:c r="F168" t="n">
        <x:v>4</x:v>
      </x:c>
      <x:c r="G168" t="str">
        <x:v>PROPERTY OWNER</x:v>
      </x:c>
      <x:c r="H168" t="str"/>
      <x:c r="I168" t="n">
        <x:v>0</x:v>
      </x:c>
      <x:c r="J168" t="str">
        <x:v>83 ACORN STREET, STATEN ISLAND, NY, 10306</x:v>
      </x:c>
      <x:c r="K168" t="str">
        <x:v>DOS address corroborated by ACRIS</x:v>
      </x:c>
      <x:c r="L168" t="n">
        <x:v>4</x:v>
      </x:c>
      <x:c r="M168" t="n">
        <x:v>8</x:v>
      </x:c>
      <x:c r="N168" t="str">
        <x:v>275 GREENWICH 10A HOLDINGS LLC | 282 21ST STREET REAL ESTATE HOLDINGS LLC | 3455 GUIDER AVENUE REAL ESTATE HOLDINGS LLC | 35 MCDONALD AVENUE REAL ESTATE HOLDINGS LLC</x:v>
      </x:c>
      <x:c r="O168" t="str">
        <x:v>275 GREENWICH STREET APT 10AS, NY 10007 | 282-284 21 STREET APT 1, NY 11215 | 282-284 21 STREET APT P4, NY 11215 | 3435 GUIDER AVENUE APT 6A, NY 11235 | 3435 GUIDER AVENUE APT P1, NY 11235 | 3435 GUIDER AVENUE APT P2, NY 11235 | 35 MCDONALD AVENUE APT 5B, NY 11218 | 35 MCDONALD AVENUE APT P24, NY 11218</x:v>
      </x:c>
      <x:c r="P168" t="n">
        <x:v>3</x:v>
      </x:c>
      <x:c r="Q168" s="15" t="n">
        <x:v>0.75</x:v>
      </x:c>
      <x:c r="R168" t="n">
        <x:v>3</x:v>
      </x:c>
      <x:c r="S168" t="str">
        <x:v>Strong DOS address corroboration</x:v>
      </x:c>
      <x:c r="T168" t="str">
        <x:v>No</x:v>
      </x:c>
      <x:c r="U168" t="n">
        <x:v>100</x:v>
      </x:c>
      <x:c r="V168" t="str">
        <x:v>https://data.ny.gov/Economic-Development/Active-Corporations-Beginning-1800/n9v6-gdp6</x:v>
      </x:c>
    </x:row>
    <x:row r="169">
      <x:c r="A169" t="str">
        <x:v>DOS-4-068</x:v>
      </x:c>
      <x:c r="B169" t="str">
        <x:v>Not Mailed</x:v>
      </x:c>
      <x:c r="C169" s="55"/>
      <x:c r="D169" t="str">
        <x:v>No Response</x:v>
      </x:c>
      <x:c r="E169" t="str"/>
      <x:c r="F169" t="n">
        <x:v>4</x:v>
      </x:c>
      <x:c r="G169" t="str">
        <x:v>DAVID CHAIT</x:v>
      </x:c>
      <x:c r="H169" t="str">
        <x:v>DAVID CHAIT</x:v>
      </x:c>
      <x:c r="I169" t="n">
        <x:v>3</x:v>
      </x:c>
      <x:c r="J169" t="str">
        <x:v>P.O. BOX 99, MERRICK, NY, 11566, US</x:v>
      </x:c>
      <x:c r="K169" t="str">
        <x:v>ACRIS deed-party address</x:v>
      </x:c>
      <x:c r="L169" t="n">
        <x:v>4</x:v>
      </x:c>
      <x:c r="M169" t="n">
        <x:v>8</x:v>
      </x:c>
      <x:c r="N169" t="str">
        <x:v>62 07 DECOSTA LLC | ALMEDA AVENUE LLC | DAVID CHAIT LLC | DUNTON COURT HB LLC</x:v>
      </x:c>
      <x:c r="O169" t="str">
        <x:v>62-03 ALMEDA AVENUE, NY 11692 | 62-06 BURCHELL ROAD, NY 11692 | 62-07 ALMEDA AVENUE, NY 11692 | 62-07 DE COSTA AVENUE, NY 11692 | BEACH 63 STREET | DUNTON STREET | RAU COURT</x:v>
      </x:c>
      <x:c r="P169" t="n">
        <x:v>4</x:v>
      </x:c>
      <x:c r="Q169" s="15" t="n">
        <x:v>1</x:v>
      </x:c>
      <x:c r="R169" t="n">
        <x:v>1</x:v>
      </x:c>
      <x:c r="S169" t="str">
        <x:v>Active-name matches only</x:v>
      </x:c>
      <x:c r="T169" t="str">
        <x:v>No</x:v>
      </x:c>
      <x:c r="U169" t="n">
        <x:v>100</x:v>
      </x:c>
      <x:c r="V169" t="str">
        <x:v>https://data.ny.gov/Economic-Development/Active-Corporations-Beginning-1800/n9v6-gdp6</x:v>
      </x:c>
    </x:row>
    <x:row r="170">
      <x:c r="A170" t="str">
        <x:v>DOS-4-069</x:v>
      </x:c>
      <x:c r="B170" t="str">
        <x:v>Not Mailed</x:v>
      </x:c>
      <x:c r="C170" s="55"/>
      <x:c r="D170" t="str">
        <x:v>No Response</x:v>
      </x:c>
      <x:c r="E170" t="str"/>
      <x:c r="F170" t="n">
        <x:v>4</x:v>
      </x:c>
      <x:c r="G170" t="str">
        <x:v>MAYANK PATEL</x:v>
      </x:c>
      <x:c r="H170" t="str">
        <x:v>MAYANK PATEL</x:v>
      </x:c>
      <x:c r="I170" t="n">
        <x:v>3</x:v>
      </x:c>
      <x:c r="J170" t="str">
        <x:v>114 ROBBY LANE, NEW HYDE PARK, NY, 11040</x:v>
      </x:c>
      <x:c r="K170" t="str">
        <x:v>DOS address corroborated by ACRIS</x:v>
      </x:c>
      <x:c r="L170" t="n">
        <x:v>4</x:v>
      </x:c>
      <x:c r="M170" t="n">
        <x:v>7</x:v>
      </x:c>
      <x:c r="N170" t="str">
        <x:v>146 LIBERTY AVENUE LLC | 719 SNEDIKER AVE LLC | 97 LEFFERTS LLC | R3S LLC</x:v>
      </x:c>
      <x:c r="O170" t="str">
        <x:v>139-14 95 AVENUE, NY 11435 | 146-18 LIBERTY AVENUE, NY 11435 | 146-18 WALTHAM STREET, NY 11435 | 88-29 163 STREET, NY 11432 | 95 AVENUE | 97-24-97-26 LEFFERTS BOULEVARD, NY 11419</x:v>
      </x:c>
      <x:c r="P170" t="n">
        <x:v>4</x:v>
      </x:c>
      <x:c r="Q170" s="15" t="n">
        <x:v>1</x:v>
      </x:c>
      <x:c r="R170" t="n">
        <x:v>3</x:v>
      </x:c>
      <x:c r="S170" t="str">
        <x:v>Strong DOS address corroboration</x:v>
      </x:c>
      <x:c r="T170" t="str">
        <x:v>No</x:v>
      </x:c>
      <x:c r="U170" t="n">
        <x:v>100</x:v>
      </x:c>
      <x:c r="V170" t="str">
        <x:v>https://data.ny.gov/Economic-Development/Active-Corporations-Beginning-1800/n9v6-gdp6</x:v>
      </x:c>
    </x:row>
    <x:row r="171">
      <x:c r="A171" t="str">
        <x:v>DOS-4-070</x:v>
      </x:c>
      <x:c r="B171" t="str">
        <x:v>Not Mailed</x:v>
      </x:c>
      <x:c r="C171" s="55"/>
      <x:c r="D171" t="str">
        <x:v>No Response</x:v>
      </x:c>
      <x:c r="E171" t="str"/>
      <x:c r="F171" t="n">
        <x:v>4</x:v>
      </x:c>
      <x:c r="G171" t="str">
        <x:v>PROPERTY OWNER</x:v>
      </x:c>
      <x:c r="H171" t="str"/>
      <x:c r="I171" t="n">
        <x:v>0</x:v>
      </x:c>
      <x:c r="J171" t="str">
        <x:v>14 WEST 23RD STREET, NEW YORK, NY, 10010, US</x:v>
      </x:c>
      <x:c r="K171" t="str">
        <x:v>ACRIS deed-party address</x:v>
      </x:c>
      <x:c r="L171" t="n">
        <x:v>4</x:v>
      </x:c>
      <x:c r="M171" t="n">
        <x:v>7</x:v>
      </x:c>
      <x:c r="N171" t="str">
        <x:v>ENOSIS REALTY LLC | NEO MADISON LLC | PARK SLOPE PLAZA ASSOC LLC | STUDIO PARK LLC</x:v>
      </x:c>
      <x:c r="O171" t="str">
        <x:v>1298 MADISON AVENUE, NY 10128 | 18 WEST 23 STREET, NY 10010 | 415 86 STREET, NY 11209 | 417 86 STREET, NY 11209 | 419 86 STREET, NY 11209 | 446 9 STREET, NY 11215 | 543 10 STREET, NY 11215</x:v>
      </x:c>
      <x:c r="P171" t="n">
        <x:v>4</x:v>
      </x:c>
      <x:c r="Q171" s="15" t="n">
        <x:v>1</x:v>
      </x:c>
      <x:c r="R171" t="n">
        <x:v>0</x:v>
      </x:c>
      <x:c r="S171" t="str">
        <x:v>Shared DOS address</x:v>
      </x:c>
      <x:c r="T171" t="str">
        <x:v>No</x:v>
      </x:c>
      <x:c r="U171" t="n">
        <x:v>100</x:v>
      </x:c>
      <x:c r="V171" t="str">
        <x:v>https://data.ny.gov/Economic-Development/Active-Corporations-Beginning-1800/n9v6-gdp6</x:v>
      </x:c>
    </x:row>
    <x:row r="172">
      <x:c r="A172" t="str">
        <x:v>DOS-4-071</x:v>
      </x:c>
      <x:c r="B172" t="str">
        <x:v>Not Mailed</x:v>
      </x:c>
      <x:c r="C172" s="55"/>
      <x:c r="D172" t="str">
        <x:v>No Response</x:v>
      </x:c>
      <x:c r="E172" t="str"/>
      <x:c r="F172" t="n">
        <x:v>4</x:v>
      </x:c>
      <x:c r="G172" t="str">
        <x:v>PROPERTY OWNER</x:v>
      </x:c>
      <x:c r="H172" t="str"/>
      <x:c r="I172" t="n">
        <x:v>0</x:v>
      </x:c>
      <x:c r="J172" t="str">
        <x:v>140 CHARLES STREET, UNIT 15B, NEW YORK, NY, 10014, US</x:v>
      </x:c>
      <x:c r="K172" t="str">
        <x:v>ACRIS deed-party address</x:v>
      </x:c>
      <x:c r="L172" t="n">
        <x:v>4</x:v>
      </x:c>
      <x:c r="M172" t="n">
        <x:v>7</x:v>
      </x:c>
      <x:c r="N172" t="str">
        <x:v>140 CHARLES STREET 14B LLC | 140 CHARLES STREET 14C LLC | 140 CHARLES STREET 14D LLC | 140 CHARLES STREET 15 LLC</x:v>
      </x:c>
      <x:c r="O172" t="str">
        <x:v>677 WASHINGTON STREET APT 14B, NY 10014 | 677 WASHINGTON STREET APT 14C, NY 10014 | 677 WASHINGTON STREET APT 14D, NY 10014 | 677 WASHINGTON STREET APT 15A, NY 10014 | 677 WASHINGTON STREET APT 15B, NY 10014 | 677 WASHINGTON STREET APT 15C, NY 10014 | 677 WASHINGTON STREET APT 15E, NY 10014</x:v>
      </x:c>
      <x:c r="P172" t="n">
        <x:v>4</x:v>
      </x:c>
      <x:c r="Q172" s="15" t="n">
        <x:v>1</x:v>
      </x:c>
      <x:c r="R172" t="n">
        <x:v>0</x:v>
      </x:c>
      <x:c r="S172" t="str">
        <x:v>Shared DOS address</x:v>
      </x:c>
      <x:c r="T172" t="str">
        <x:v>No</x:v>
      </x:c>
      <x:c r="U172" t="n">
        <x:v>100</x:v>
      </x:c>
      <x:c r="V172" t="str">
        <x:v>https://data.ny.gov/Economic-Development/Active-Corporations-Beginning-1800/n9v6-gdp6</x:v>
      </x:c>
    </x:row>
    <x:row r="173">
      <x:c r="A173" t="str">
        <x:v>DOS-4-072</x:v>
      </x:c>
      <x:c r="B173" t="str">
        <x:v>Not Mailed</x:v>
      </x:c>
      <x:c r="C173" s="55"/>
      <x:c r="D173" t="str">
        <x:v>No Response</x:v>
      </x:c>
      <x:c r="E173" t="str"/>
      <x:c r="F173" t="n">
        <x:v>4</x:v>
      </x:c>
      <x:c r="G173" t="str">
        <x:v>PROPERTY OWNER</x:v>
      </x:c>
      <x:c r="H173" t="str"/>
      <x:c r="I173" t="n">
        <x:v>0</x:v>
      </x:c>
      <x:c r="J173" t="str">
        <x:v>147-18 HILLSIDE AVE, JAMAICA, NY, 11435</x:v>
      </x:c>
      <x:c r="K173" t="str">
        <x:v>DOS address corroborated by ACRIS</x:v>
      </x:c>
      <x:c r="L173" t="n">
        <x:v>4</x:v>
      </x:c>
      <x:c r="M173" t="n">
        <x:v>7</x:v>
      </x:c>
      <x:c r="N173" t="str">
        <x:v>532 BEACH 72ND LLC | BEACH 29 GROUP LLC | BEACH 29 MULTIFAMILY LLC | BEACH 31 BUYER LLC</x:v>
      </x:c>
      <x:c r="O173" t="str">
        <x:v>132 BEACH 31ST STREET, NY 11691 | 139 BEACH 29 STREET, NY 11691 | 155 BEACH 29TH STREET, NY 11691 | 159 BEACH 30TH STREET, NY 11691 | 163 BEACH 29TH STREET, NY 11691 | 173 BEACH 30TH STREET, NY 11691 | 532 BEACH 72 STREET, NY 11692</x:v>
      </x:c>
      <x:c r="P173" t="n">
        <x:v>4</x:v>
      </x:c>
      <x:c r="Q173" s="15" t="n">
        <x:v>1</x:v>
      </x:c>
      <x:c r="R173" t="n">
        <x:v>4</x:v>
      </x:c>
      <x:c r="S173" t="str">
        <x:v>Strong DOS address corroboration</x:v>
      </x:c>
      <x:c r="T173" t="str">
        <x:v>No</x:v>
      </x:c>
      <x:c r="U173" t="n">
        <x:v>100</x:v>
      </x:c>
      <x:c r="V173" t="str">
        <x:v>https://data.ny.gov/Economic-Development/Active-Corporations-Beginning-1800/n9v6-gdp6</x:v>
      </x:c>
    </x:row>
    <x:row r="174">
      <x:c r="A174" t="str">
        <x:v>DOS-4-073</x:v>
      </x:c>
      <x:c r="B174" t="str">
        <x:v>Not Mailed</x:v>
      </x:c>
      <x:c r="C174" s="55"/>
      <x:c r="D174" t="str">
        <x:v>No Response</x:v>
      </x:c>
      <x:c r="E174" t="str"/>
      <x:c r="F174" t="n">
        <x:v>4</x:v>
      </x:c>
      <x:c r="G174" t="str">
        <x:v>SEMYON VALLER</x:v>
      </x:c>
      <x:c r="H174" t="str">
        <x:v>SEMYON VALLER</x:v>
      </x:c>
      <x:c r="I174" t="n">
        <x:v>2</x:v>
      </x:c>
      <x:c r="J174" t="str">
        <x:v>1517 VOORHIES AVE, BROOKLYN, NY, 11235</x:v>
      </x:c>
      <x:c r="K174" t="str">
        <x:v>DOS address corroborated by ACRIS</x:v>
      </x:c>
      <x:c r="L174" t="n">
        <x:v>4</x:v>
      </x:c>
      <x:c r="M174" t="n">
        <x:v>7</x:v>
      </x:c>
      <x:c r="N174" t="str">
        <x:v>1517 VOORHIES AVE LLC | 1605 VOORHIES AVE LLC | 2736 2738 OCEAN AVENUE LLC | TRIBOROUGH GI REALTY LLC</x:v>
      </x:c>
      <x:c r="O174" t="str">
        <x:v>1517 VOORHIES AVENUE, NY 11235 | 1605 VOORHIES AVENUE, NY 11235 | 1672 SHEEPSHEAD BAY ROAD, NY 11235 | 1674-1676 SHEEPSHEAD BAY ROAD, NY 11235 | 2736 OCEAN AVENUE APT 1A, NY 11229 | 2736 OCEAN AVENUE APT P10, NY 11229 | 2736 OCEAN AVENUE APT P9, NY 11229</x:v>
      </x:c>
      <x:c r="P174" t="n">
        <x:v>3</x:v>
      </x:c>
      <x:c r="Q174" s="15" t="n">
        <x:v>0.75</x:v>
      </x:c>
      <x:c r="R174" t="n">
        <x:v>2</x:v>
      </x:c>
      <x:c r="S174" t="str">
        <x:v>Strong DOS address corroboration</x:v>
      </x:c>
      <x:c r="T174" t="str">
        <x:v>No</x:v>
      </x:c>
      <x:c r="U174" t="n">
        <x:v>100</x:v>
      </x:c>
      <x:c r="V174" t="str">
        <x:v>https://data.ny.gov/Economic-Development/Active-Corporations-Beginning-1800/n9v6-gdp6</x:v>
      </x:c>
    </x:row>
    <x:row r="175">
      <x:c r="A175" t="str">
        <x:v>DOS-4-074</x:v>
      </x:c>
      <x:c r="B175" t="str">
        <x:v>Not Mailed</x:v>
      </x:c>
      <x:c r="C175" s="55"/>
      <x:c r="D175" t="str">
        <x:v>No Response</x:v>
      </x:c>
      <x:c r="E175" t="str"/>
      <x:c r="F175" t="n">
        <x:v>4</x:v>
      </x:c>
      <x:c r="G175" t="str">
        <x:v>PROPERTY OWNER</x:v>
      </x:c>
      <x:c r="H175" t="str"/>
      <x:c r="I175" t="n">
        <x:v>0</x:v>
      </x:c>
      <x:c r="J175" t="str">
        <x:v>160-23   24 AVENUE`, WHITESTONE, NY, 11357, US</x:v>
      </x:c>
      <x:c r="K175" t="str">
        <x:v>ACRIS deed-party address</x:v>
      </x:c>
      <x:c r="L175" t="n">
        <x:v>4</x:v>
      </x:c>
      <x:c r="M175" t="n">
        <x:v>7</x:v>
      </x:c>
      <x:c r="N175" t="str">
        <x:v>1704 WOODBINE REALTY LLC | 1710 PALMETTO REALTY LLC | 5934 LINDEN REALTY LLC | 6331 FOREST REALTY LLC</x:v>
      </x:c>
      <x:c r="O175" t="str">
        <x:v>1704 WOODBINE STREET, NY 11385 | 1710 PALMETTO STREET, NY 11385 | 1716 PALMETTO STREET, NY 11385 | 1722 WOODBINE STREET, NY 11385 | 1724 WOODBINE STREET, NY 11385 | 59-34 LINDEN STREET, NY 11385 | 63-31 FOREST AVENUE, NY 11385</x:v>
      </x:c>
      <x:c r="P175" t="n">
        <x:v>4</x:v>
      </x:c>
      <x:c r="Q175" s="15" t="n">
        <x:v>1</x:v>
      </x:c>
      <x:c r="R175" t="n">
        <x:v>0</x:v>
      </x:c>
      <x:c r="S175" t="str">
        <x:v>Shared DOS address</x:v>
      </x:c>
      <x:c r="T175" t="str">
        <x:v>No</x:v>
      </x:c>
      <x:c r="U175" t="n">
        <x:v>100</x:v>
      </x:c>
      <x:c r="V175" t="str">
        <x:v>https://data.ny.gov/Economic-Development/Active-Corporations-Beginning-1800/n9v6-gdp6</x:v>
      </x:c>
    </x:row>
    <x:row r="176">
      <x:c r="A176" t="str">
        <x:v>DOS-4-075</x:v>
      </x:c>
      <x:c r="B176" t="str">
        <x:v>Not Mailed</x:v>
      </x:c>
      <x:c r="C176" s="55"/>
      <x:c r="D176" t="str">
        <x:v>No Response</x:v>
      </x:c>
      <x:c r="E176" t="str"/>
      <x:c r="F176" t="n">
        <x:v>4</x:v>
      </x:c>
      <x:c r="G176" t="str">
        <x:v>PROPERTY OWNER</x:v>
      </x:c>
      <x:c r="H176" t="str">
        <x:v>Gregory T. O'Connell</x:v>
      </x:c>
      <x:c r="I176" t="n">
        <x:v>1</x:v>
      </x:c>
      <x:c r="J176" t="str">
        <x:v>175 VAN DYKE STREET, SUITE 322A, BROOKLYN, NY, 11231, US</x:v>
      </x:c>
      <x:c r="K176" t="str">
        <x:v>ACRIS deed-party address</x:v>
      </x:c>
      <x:c r="L176" t="n">
        <x:v>4</x:v>
      </x:c>
      <x:c r="M176" t="n">
        <x:v>7</x:v>
      </x:c>
      <x:c r="N176" t="str">
        <x:v>146 CONOVER STREET LLC | 16 TIFFANY PL LLC | 238 CONOVER STREET LLC | 9 4TH PLACE LLC</x:v>
      </x:c>
      <x:c r="O176" t="str">
        <x:v>100 DEGRAW STREET APT 4, NY 11231 | 108 VAN DYKE STREET, NY 11231 | 146 CONOVER STREET, NY 11231 | 16 TIFFANY PLACE APT 8, NY 11231 | 238-252 CONOVER STREET, NY 11231 | 9 4 PLACE APT 8, NY 11231 | 92-96 VAN DYKE STREET, NY 11231</x:v>
      </x:c>
      <x:c r="P176" t="n">
        <x:v>4</x:v>
      </x:c>
      <x:c r="Q176" s="15" t="n">
        <x:v>1</x:v>
      </x:c>
      <x:c r="R176" t="n">
        <x:v>1</x:v>
      </x:c>
      <x:c r="S176" t="str">
        <x:v>Active-name matches only</x:v>
      </x:c>
      <x:c r="T176" t="str">
        <x:v>No</x:v>
      </x:c>
      <x:c r="U176" t="n">
        <x:v>100</x:v>
      </x:c>
      <x:c r="V176" t="str">
        <x:v>https://data.ny.gov/Economic-Development/Active-Corporations-Beginning-1800/n9v6-gdp6</x:v>
      </x:c>
    </x:row>
    <x:row r="177">
      <x:c r="A177" t="str">
        <x:v>DOS-4-076</x:v>
      </x:c>
      <x:c r="B177" t="str">
        <x:v>Not Mailed</x:v>
      </x:c>
      <x:c r="C177" s="55"/>
      <x:c r="D177" t="str">
        <x:v>No Response</x:v>
      </x:c>
      <x:c r="E177" t="str"/>
      <x:c r="F177" t="n">
        <x:v>4</x:v>
      </x:c>
      <x:c r="G177" t="str">
        <x:v>PROPERTY OWNER</x:v>
      </x:c>
      <x:c r="H177" t="str"/>
      <x:c r="I177" t="n">
        <x:v>0</x:v>
      </x:c>
      <x:c r="J177" t="str">
        <x:v>1901 AMETHYST STREET, BRONX, NY, 10462</x:v>
      </x:c>
      <x:c r="K177" t="str">
        <x:v>DOS address corroborated by ACRIS</x:v>
      </x:c>
      <x:c r="L177" t="n">
        <x:v>4</x:v>
      </x:c>
      <x:c r="M177" t="n">
        <x:v>7</x:v>
      </x:c>
      <x:c r="N177" t="str">
        <x:v>1857 BARNES AVE LLC | 1901 AMETHYST STREET LLC | 1953 WALLACE AVE LLC | TRACKSIDE HOMES LLC</x:v>
      </x:c>
      <x:c r="O177" t="str">
        <x:v>1520 PAULDING AVENUE, NY 10461 | 1522 PAULDING AVENUE, NY 10461 | 1524 PAULDING AVENUE, NY 10461 | 1526 PAULDING AVENUE, NY 10461 | 1901 AMETHYST STREET, NY 10462 | 1953 WALLACE AVENUE, NY 10462 | BARNES AVENUE, NY 10462</x:v>
      </x:c>
      <x:c r="P177" t="n">
        <x:v>2</x:v>
      </x:c>
      <x:c r="Q177" s="15" t="n">
        <x:v>0.5</x:v>
      </x:c>
      <x:c r="R177" t="n">
        <x:v>2</x:v>
      </x:c>
      <x:c r="S177" t="str">
        <x:v>Strong DOS address corroboration</x:v>
      </x:c>
      <x:c r="T177" t="str">
        <x:v>No</x:v>
      </x:c>
      <x:c r="U177" t="n">
        <x:v>100</x:v>
      </x:c>
      <x:c r="V177" t="str">
        <x:v>https://data.ny.gov/Economic-Development/Active-Corporations-Beginning-1800/n9v6-gdp6</x:v>
      </x:c>
    </x:row>
    <x:row r="178">
      <x:c r="A178" t="str">
        <x:v>DOS-4-077</x:v>
      </x:c>
      <x:c r="B178" t="str">
        <x:v>Not Mailed</x:v>
      </x:c>
      <x:c r="C178" s="55"/>
      <x:c r="D178" t="str">
        <x:v>No Response</x:v>
      </x:c>
      <x:c r="E178" t="str"/>
      <x:c r="F178" t="n">
        <x:v>4</x:v>
      </x:c>
      <x:c r="G178" t="str">
        <x:v>PROPERTY OWNER</x:v>
      </x:c>
      <x:c r="H178" t="str"/>
      <x:c r="I178" t="n">
        <x:v>0</x:v>
      </x:c>
      <x:c r="J178" t="str">
        <x:v>199 LEE AVENUE, SUITE 1050, BROOKLYN, NY, 11211</x:v>
      </x:c>
      <x:c r="K178" t="str">
        <x:v>DOS address corroborated by ACRIS</x:v>
      </x:c>
      <x:c r="L178" t="n">
        <x:v>4</x:v>
      </x:c>
      <x:c r="M178" t="n">
        <x:v>7</x:v>
      </x:c>
      <x:c r="N178" t="str">
        <x:v>2709 CLARENDON LLC | 845 SCHENECTADY LLC | 879 LENOX LLC | BEDFORD TOWERS DE LLC</x:v>
      </x:c>
      <x:c r="O178" t="str">
        <x:v>2709 CLARENDON ROAD APT 23, NY 11226 | 616 BEDFORD AVENUE APT 3A, NY 11249 | 616 BEDFORD AVENUE APT 5C, NY 11249 | 616 BEDFORD AVENUE APT 6B, NY 11249 | 616 BEDFORD AVENUE APT C2, NY 11249 | 845 SCHENECTADY AVENUE APT 16, NY 11203 | 879 LENOX ROAD APT 38, NY 11203</x:v>
      </x:c>
      <x:c r="P178" t="n">
        <x:v>4</x:v>
      </x:c>
      <x:c r="Q178" s="15" t="n">
        <x:v>1</x:v>
      </x:c>
      <x:c r="R178" t="n">
        <x:v>3</x:v>
      </x:c>
      <x:c r="S178" t="str">
        <x:v>Strong DOS address corroboration</x:v>
      </x:c>
      <x:c r="T178" t="str">
        <x:v>No</x:v>
      </x:c>
      <x:c r="U178" t="n">
        <x:v>100</x:v>
      </x:c>
      <x:c r="V178" t="str">
        <x:v>https://data.ny.gov/Economic-Development/Active-Corporations-Beginning-1800/n9v6-gdp6</x:v>
      </x:c>
    </x:row>
    <x:row r="179">
      <x:c r="A179" t="str">
        <x:v>DOS-4-078</x:v>
      </x:c>
      <x:c r="B179" t="str">
        <x:v>Not Mailed</x:v>
      </x:c>
      <x:c r="C179" s="55"/>
      <x:c r="D179" t="str">
        <x:v>No Response</x:v>
      </x:c>
      <x:c r="E179" t="str"/>
      <x:c r="F179" t="n">
        <x:v>4</x:v>
      </x:c>
      <x:c r="G179" t="str">
        <x:v>PROPERTY OWNER</x:v>
      </x:c>
      <x:c r="H179" t="str"/>
      <x:c r="I179" t="n">
        <x:v>0</x:v>
      </x:c>
      <x:c r="J179" t="str">
        <x:v>199 WINDING BROOK ROAD, NEW ROCHELLE, NY, 10804, US</x:v>
      </x:c>
      <x:c r="K179" t="str">
        <x:v>ACRIS deed-party address</x:v>
      </x:c>
      <x:c r="L179" t="n">
        <x:v>4</x:v>
      </x:c>
      <x:c r="M179" t="n">
        <x:v>7</x:v>
      </x:c>
      <x:c r="N179" t="str">
        <x:v>3013 OLINVILLE AVE LLC | BAAS NY REALTY LLC | PINE BROOK REALTY LLC | SHAH INVESTMENT LLC</x:v>
      </x:c>
      <x:c r="O179" t="str">
        <x:v>139-12 109 AVENUE, NY 11435 | 139-12A 109 AVENUE, NY 11435 | 139-14 109 AVENUE, NY 11435 | 139-14 141 STREET, NY 11435 | 1598 UNIONPORT ROAD APT 5B, NY 10462 | 3013 OLINVILLE AVENUE, NY 10467 | 837 CHESTNUT STREET, NY 10467</x:v>
      </x:c>
      <x:c r="P179" t="n">
        <x:v>1</x:v>
      </x:c>
      <x:c r="Q179" s="15" t="n">
        <x:v>0.25</x:v>
      </x:c>
      <x:c r="R179" t="n">
        <x:v>0</x:v>
      </x:c>
      <x:c r="S179" t="str">
        <x:v>Needs manual review</x:v>
      </x:c>
      <x:c r="T179" t="str">
        <x:v>No</x:v>
      </x:c>
      <x:c r="U179" t="n">
        <x:v>100</x:v>
      </x:c>
      <x:c r="V179" t="str">
        <x:v>https://data.ny.gov/Economic-Development/Active-Corporations-Beginning-1800/n9v6-gdp6</x:v>
      </x:c>
    </x:row>
    <x:row r="180">
      <x:c r="A180" t="str">
        <x:v>DOS-4-079</x:v>
      </x:c>
      <x:c r="B180" t="str">
        <x:v>Not Mailed</x:v>
      </x:c>
      <x:c r="C180" s="55"/>
      <x:c r="D180" t="str">
        <x:v>No Response</x:v>
      </x:c>
      <x:c r="E180" t="str"/>
      <x:c r="F180" t="n">
        <x:v>4</x:v>
      </x:c>
      <x:c r="G180" t="str">
        <x:v>PROPERTY OWNER</x:v>
      </x:c>
      <x:c r="H180" t="str"/>
      <x:c r="I180" t="n">
        <x:v>0</x:v>
      </x:c>
      <x:c r="J180" t="str">
        <x:v>20 WEST 20TH STREET - SUITE 703, NEW YORK, NY, 10011, US</x:v>
      </x:c>
      <x:c r="K180" t="str">
        <x:v>ACRIS deed-party address</x:v>
      </x:c>
      <x:c r="L180" t="n">
        <x:v>4</x:v>
      </x:c>
      <x:c r="M180" t="n">
        <x:v>7</x:v>
      </x:c>
      <x:c r="N180" t="str">
        <x:v>85 82 ELLIOT LLC | 963 967 EAST 165TH STREET LLC | DOUGLASTON 235 LLC | STATE EQUITIES LLC</x:v>
      </x:c>
      <x:c r="O180" t="str">
        <x:v>182 STATE STREET, NY 11201 | 186 STATE STREET, NY 11201 | 188 STATE STREET, NY 11201 | 40-31-40-47 235 STREET, NY 11363 | 85-82 ELIOT AVENUE, NY 11374 | 963 EAST 165 STREET, NY 10459 | 967 EAST 165 STREET, NY 10459</x:v>
      </x:c>
      <x:c r="P180" t="n">
        <x:v>4</x:v>
      </x:c>
      <x:c r="Q180" s="15" t="n">
        <x:v>1</x:v>
      </x:c>
      <x:c r="R180" t="n">
        <x:v>0</x:v>
      </x:c>
      <x:c r="S180" t="str">
        <x:v>Shared DOS address</x:v>
      </x:c>
      <x:c r="T180" t="str">
        <x:v>No</x:v>
      </x:c>
      <x:c r="U180" t="n">
        <x:v>100</x:v>
      </x:c>
      <x:c r="V180" t="str">
        <x:v>https://data.ny.gov/Economic-Development/Active-Corporations-Beginning-1800/n9v6-gdp6</x:v>
      </x:c>
    </x:row>
    <x:row r="181">
      <x:c r="A181" t="str">
        <x:v>DOS-4-080</x:v>
      </x:c>
      <x:c r="B181" t="str">
        <x:v>Not Mailed</x:v>
      </x:c>
      <x:c r="C181" s="55"/>
      <x:c r="D181" t="str">
        <x:v>No Response</x:v>
      </x:c>
      <x:c r="E181" t="str"/>
      <x:c r="F181" t="n">
        <x:v>4</x:v>
      </x:c>
      <x:c r="G181" t="str">
        <x:v>PROPERTY OWNER</x:v>
      </x:c>
      <x:c r="H181" t="str"/>
      <x:c r="I181" t="n">
        <x:v>0</x:v>
      </x:c>
      <x:c r="J181" t="str">
        <x:v>240-19 JAMAICA AVENUE, BELLEROSE, NY, 11426</x:v>
      </x:c>
      <x:c r="K181" t="str">
        <x:v>DOS address corroborated by ACRIS</x:v>
      </x:c>
      <x:c r="L181" t="n">
        <x:v>4</x:v>
      </x:c>
      <x:c r="M181" t="n">
        <x:v>7</x:v>
      </x:c>
      <x:c r="N181" t="str">
        <x:v>196 BEACH 25 LLC | 225 B 28 LLC | 320 ATKINS LLC | 714 EAST TREMONT LLC</x:v>
      </x:c>
      <x:c r="O181" t="str">
        <x:v>196 BEACH 25 STREET, NY 11691 | 219 BEACH 28 STREET, NY 11691 | 221 BEACH 28 STREET, NY 11691 | 223 BEACH 28 STREET, NY 11691 | 320 ATKINS AVENUE, NY 11208 | 90-82 180 STREET, NY 11432 | 90-84 180 STREET, NY 11432</x:v>
      </x:c>
      <x:c r="P181" t="n">
        <x:v>4</x:v>
      </x:c>
      <x:c r="Q181" s="15" t="n">
        <x:v>1</x:v>
      </x:c>
      <x:c r="R181" t="n">
        <x:v>3</x:v>
      </x:c>
      <x:c r="S181" t="str">
        <x:v>Strong DOS address corroboration</x:v>
      </x:c>
      <x:c r="T181" t="str">
        <x:v>No</x:v>
      </x:c>
      <x:c r="U181" t="n">
        <x:v>100</x:v>
      </x:c>
      <x:c r="V181" t="str">
        <x:v>https://data.ny.gov/Economic-Development/Active-Corporations-Beginning-1800/n9v6-gdp6</x:v>
      </x:c>
    </x:row>
    <x:row r="182">
      <x:c r="A182" t="str">
        <x:v>DOS-4-081</x:v>
      </x:c>
      <x:c r="B182" t="str">
        <x:v>Not Mailed</x:v>
      </x:c>
      <x:c r="C182" s="55"/>
      <x:c r="D182" t="str">
        <x:v>No Response</x:v>
      </x:c>
      <x:c r="E182" t="str"/>
      <x:c r="F182" t="n">
        <x:v>4</x:v>
      </x:c>
      <x:c r="G182" t="str">
        <x:v>PROPERTY OWNER</x:v>
      </x:c>
      <x:c r="H182" t="str">
        <x:v>C/O C2R Management</x:v>
      </x:c>
      <x:c r="I182" t="n">
        <x:v>1</x:v>
      </x:c>
      <x:c r="J182" t="str">
        <x:v>2504 40th Ave., Long Island City, NY, 11101</x:v>
      </x:c>
      <x:c r="K182" t="str">
        <x:v>DOS address corroborated by ACRIS</x:v>
      </x:c>
      <x:c r="L182" t="n">
        <x:v>4</x:v>
      </x:c>
      <x:c r="M182" t="n">
        <x:v>7</x:v>
      </x:c>
      <x:c r="N182" t="str">
        <x:v>246 WADSWORTH REALTY LLC | 712 WEST 176 REALTY LLC | JGM 149TH LLC | JMGD 172ND LLC</x:v>
      </x:c>
      <x:c r="O182" t="str">
        <x:v>248 WADSWORTH AVENUE, NY 10033 | 542 WEST 149 STREET, NY 10031 | 548 WEST 149 STREET, NY 10031 | 552 WEST 149 STREET, NY 10031 | 558 WEST 149 STREET, NY 10031 | 630 WEST 172 STREET, NY 10032 | 712-718 WEST 176 STREET, NY 10033</x:v>
      </x:c>
      <x:c r="P182" t="n">
        <x:v>4</x:v>
      </x:c>
      <x:c r="Q182" s="15" t="n">
        <x:v>1</x:v>
      </x:c>
      <x:c r="R182" t="n">
        <x:v>2</x:v>
      </x:c>
      <x:c r="S182" t="str">
        <x:v>Strong DOS address corroboration</x:v>
      </x:c>
      <x:c r="T182" t="str">
        <x:v>No</x:v>
      </x:c>
      <x:c r="U182" t="n">
        <x:v>100</x:v>
      </x:c>
      <x:c r="V182" t="str">
        <x:v>https://data.ny.gov/Economic-Development/Active-Corporations-Beginning-1800/n9v6-gdp6</x:v>
      </x:c>
    </x:row>
    <x:row r="183">
      <x:c r="A183" t="str">
        <x:v>DOS-4-082</x:v>
      </x:c>
      <x:c r="B183" t="str">
        <x:v>Not Mailed</x:v>
      </x:c>
      <x:c r="C183" s="55"/>
      <x:c r="D183" t="str">
        <x:v>No Response</x:v>
      </x:c>
      <x:c r="E183" t="str"/>
      <x:c r="F183" t="n">
        <x:v>4</x:v>
      </x:c>
      <x:c r="G183" t="str">
        <x:v>PROPERTY OWNER</x:v>
      </x:c>
      <x:c r="H183" t="str"/>
      <x:c r="I183" t="n">
        <x:v>0</x:v>
      </x:c>
      <x:c r="J183" t="str">
        <x:v>2774 CONEY ISLAND AVENUE, FIRST FLOOR, BROOKLYN, NY, 11235</x:v>
      </x:c>
      <x:c r="K183" t="str">
        <x:v>DOS address corroborated by ACRIS</x:v>
      </x:c>
      <x:c r="L183" t="n">
        <x:v>4</x:v>
      </x:c>
      <x:c r="M183" t="n">
        <x:v>7</x:v>
      </x:c>
      <x:c r="N183" t="str">
        <x:v>107 47 SUTPHIN LLC | 1863 OCEAN PARKWAY LLC | 3846 FLATLANDS LLC | FOSTER AND CONEY REALTY LLC</x:v>
      </x:c>
      <x:c r="O183" t="str">
        <x:v>107-47 SUTPHIN BOULEVARD, NY 11435 | 1111 FOSTER AVENUE APT COMM, NY 11230 | 1111 FOSTER AVENUE APT COMM2, NY 11230 | 1111 FOSTER AVENUE APT PRK, NY 11230 | 1111 FOSTER AVENUE APT RES, NY 11230 | 1863 OCEAN PARKWAY, NY 11223 | 3846 FLATLANDS AVENUE, NY 11234</x:v>
      </x:c>
      <x:c r="P183" t="n">
        <x:v>4</x:v>
      </x:c>
      <x:c r="Q183" s="15" t="n">
        <x:v>1</x:v>
      </x:c>
      <x:c r="R183" t="n">
        <x:v>3</x:v>
      </x:c>
      <x:c r="S183" t="str">
        <x:v>Strong DOS address corroboration</x:v>
      </x:c>
      <x:c r="T183" t="str">
        <x:v>No</x:v>
      </x:c>
      <x:c r="U183" t="n">
        <x:v>100</x:v>
      </x:c>
      <x:c r="V183" t="str">
        <x:v>https://data.ny.gov/Economic-Development/Active-Corporations-Beginning-1800/n9v6-gdp6</x:v>
      </x:c>
    </x:row>
    <x:row r="184">
      <x:c r="A184" t="str">
        <x:v>DOS-4-083</x:v>
      </x:c>
      <x:c r="B184" t="str">
        <x:v>Not Mailed</x:v>
      </x:c>
      <x:c r="C184" s="55"/>
      <x:c r="D184" t="str">
        <x:v>No Response</x:v>
      </x:c>
      <x:c r="E184" t="str"/>
      <x:c r="F184" t="n">
        <x:v>4</x:v>
      </x:c>
      <x:c r="G184" t="str">
        <x:v>PROPERTY OWNER</x:v>
      </x:c>
      <x:c r="H184" t="str"/>
      <x:c r="I184" t="n">
        <x:v>0</x:v>
      </x:c>
      <x:c r="J184" t="str">
        <x:v>3836 11TH STREET, LONG ISLAND CITY, NY, 11101, US</x:v>
      </x:c>
      <x:c r="K184" t="str">
        <x:v>ACRIS deed-party address</x:v>
      </x:c>
      <x:c r="L184" t="n">
        <x:v>4</x:v>
      </x:c>
      <x:c r="M184" t="n">
        <x:v>7</x:v>
      </x:c>
      <x:c r="N184" t="str">
        <x:v>115 117 GROVE ST LLC | 119 GROVE ST LLC | 422 EVERGREEN AVE LLC | 65 73 GROVE ST LLC</x:v>
      </x:c>
      <x:c r="O184" t="str">
        <x:v>115 GROVE STREET, NY 11221 | 117 GROVE STREET, NY 11221 | 119 GROVE STREET, NY 11221 | 422 EVERGREEN AVENUE, NY 11221 | 65 GROVE STREET, NY 11221 | 71 GROVE STREET, NY 11221 | 73 GROVE STREET, NY 11221</x:v>
      </x:c>
      <x:c r="P184" t="n">
        <x:v>4</x:v>
      </x:c>
      <x:c r="Q184" s="15" t="n">
        <x:v>1</x:v>
      </x:c>
      <x:c r="R184" t="n">
        <x:v>0</x:v>
      </x:c>
      <x:c r="S184" t="str">
        <x:v>Shared DOS address</x:v>
      </x:c>
      <x:c r="T184" t="str">
        <x:v>No</x:v>
      </x:c>
      <x:c r="U184" t="n">
        <x:v>100</x:v>
      </x:c>
      <x:c r="V184" t="str">
        <x:v>https://data.ny.gov/Economic-Development/Active-Corporations-Beginning-1800/n9v6-gdp6</x:v>
      </x:c>
    </x:row>
    <x:row r="185">
      <x:c r="A185" t="str">
        <x:v>DOS-4-084</x:v>
      </x:c>
      <x:c r="B185" t="str">
        <x:v>Not Mailed</x:v>
      </x:c>
      <x:c r="C185" s="55"/>
      <x:c r="D185" t="str">
        <x:v>No Response</x:v>
      </x:c>
      <x:c r="E185" t="str"/>
      <x:c r="F185" t="n">
        <x:v>4</x:v>
      </x:c>
      <x:c r="G185" t="str">
        <x:v>PROPERTY OWNER</x:v>
      </x:c>
      <x:c r="H185" t="str"/>
      <x:c r="I185" t="n">
        <x:v>0</x:v>
      </x:c>
      <x:c r="J185" t="str">
        <x:v>3967 PROVOST AVENUE, BRONX, NY, 10466, US</x:v>
      </x:c>
      <x:c r="K185" t="str">
        <x:v>ACRIS deed-party address</x:v>
      </x:c>
      <x:c r="L185" t="n">
        <x:v>4</x:v>
      </x:c>
      <x:c r="M185" t="n">
        <x:v>7</x:v>
      </x:c>
      <x:c r="N185" t="str">
        <x:v>1600 EAST 233RD STREET LLC | 3525 CONNER STREET 2 LLC | 3820 MERRITT AVENUE LLC | 3967 PROVOST AVENUE LLC</x:v>
      </x:c>
      <x:c r="O185" t="str">
        <x:v>1600 EAST 233 STREET, NY 10466 | 3525 CONNER STREET, NY 10475 | 3820 MERRITT AVENUE, NY 10466 | 3925 PROVOST AVENUE, NY 10466 | 3926 MULVEY AVENUE, NY 10466 | 3931 PROVOST AVENUE, NY 10466 | MULVEY AVENUE</x:v>
      </x:c>
      <x:c r="P185" t="n">
        <x:v>4</x:v>
      </x:c>
      <x:c r="Q185" s="15" t="n">
        <x:v>1</x:v>
      </x:c>
      <x:c r="R185" t="n">
        <x:v>0</x:v>
      </x:c>
      <x:c r="S185" t="str">
        <x:v>Shared DOS address</x:v>
      </x:c>
      <x:c r="T185" t="str">
        <x:v>No</x:v>
      </x:c>
      <x:c r="U185" t="n">
        <x:v>100</x:v>
      </x:c>
      <x:c r="V185" t="str">
        <x:v>https://data.ny.gov/Economic-Development/Active-Corporations-Beginning-1800/n9v6-gdp6</x:v>
      </x:c>
    </x:row>
    <x:row r="186">
      <x:c r="A186" t="str">
        <x:v>DOS-4-085</x:v>
      </x:c>
      <x:c r="B186" t="str">
        <x:v>Not Mailed</x:v>
      </x:c>
      <x:c r="C186" s="55"/>
      <x:c r="D186" t="str">
        <x:v>No Response</x:v>
      </x:c>
      <x:c r="E186" t="str"/>
      <x:c r="F186" t="n">
        <x:v>4</x:v>
      </x:c>
      <x:c r="G186" t="str">
        <x:v>PROPERTY OWNER</x:v>
      </x:c>
      <x:c r="H186" t="str"/>
      <x:c r="I186" t="n">
        <x:v>0</x:v>
      </x:c>
      <x:c r="J186" t="str">
        <x:v>42 west 18th street, 4th floor, NEW YORK, NY, 10011</x:v>
      </x:c>
      <x:c r="K186" t="str">
        <x:v>DOS address corroborated by ACRIS</x:v>
      </x:c>
      <x:c r="L186" t="n">
        <x:v>4</x:v>
      </x:c>
      <x:c r="M186" t="n">
        <x:v>7</x:v>
      </x:c>
      <x:c r="N186" t="str">
        <x:v>1697 AMSTERDAM OWNER LLC | 2500 SEVENTH OWNER LLC | 790 NINTH OWNER LLC | 796 NINTH OWNER LLC</x:v>
      </x:c>
      <x:c r="O186" t="str">
        <x:v>1697 AMSTERDAM AVENUE, NY 10031 | 1709 AMSTERDAM AVENUE, NY 10031 | 2500 ADAM C POWELL BLVD, NY 10039 | 2504 ADAM C POWELL BLVD, NY 10039 | 790 9 AVENUE, NY 10019 | 796 9 AVENUE, NY 10019 | 798 9 AVENUE, NY 10019</x:v>
      </x:c>
      <x:c r="P186" t="n">
        <x:v>4</x:v>
      </x:c>
      <x:c r="Q186" s="15" t="n">
        <x:v>1</x:v>
      </x:c>
      <x:c r="R186" t="n">
        <x:v>4</x:v>
      </x:c>
      <x:c r="S186" t="str">
        <x:v>Strong DOS address corroboration</x:v>
      </x:c>
      <x:c r="T186" t="str">
        <x:v>No</x:v>
      </x:c>
      <x:c r="U186" t="n">
        <x:v>100</x:v>
      </x:c>
      <x:c r="V186" t="str">
        <x:v>https://data.ny.gov/Economic-Development/Active-Corporations-Beginning-1800/n9v6-gdp6</x:v>
      </x:c>
    </x:row>
    <x:row r="187">
      <x:c r="A187" t="str">
        <x:v>DOS-4-086</x:v>
      </x:c>
      <x:c r="B187" t="str">
        <x:v>Not Mailed</x:v>
      </x:c>
      <x:c r="C187" s="55"/>
      <x:c r="D187" t="str">
        <x:v>No Response</x:v>
      </x:c>
      <x:c r="E187" t="str"/>
      <x:c r="F187" t="n">
        <x:v>4</x:v>
      </x:c>
      <x:c r="G187" t="str">
        <x:v>PROPERTY OWNER</x:v>
      </x:c>
      <x:c r="H187" t="str"/>
      <x:c r="I187" t="n">
        <x:v>0</x:v>
      </x:c>
      <x:c r="J187" t="str">
        <x:v>45 MAIN STREET SUITE 804, BROOKLYN, NY, 11201, US</x:v>
      </x:c>
      <x:c r="K187" t="str">
        <x:v>ACRIS deed-party address</x:v>
      </x:c>
      <x:c r="L187" t="n">
        <x:v>4</x:v>
      </x:c>
      <x:c r="M187" t="n">
        <x:v>7</x:v>
      </x:c>
      <x:c r="N187" t="str">
        <x:v>FPG RENTAL HOLDINGS LLC | HEYWARD ESTATES LLC | LMK GRANDCHILDREN ESTATES LLC | RUTLEDGE COMMERCIAL LLC</x:v>
      </x:c>
      <x:c r="O187" t="str">
        <x:v>545 WEST 48 STREET APT PH3S, NY 10036 | 55 HEYWARD STREET, NY 11249 | 58 RUTLEDGE STREET APT MED, NY 11249 | 751 WYTHE AVENUE APT 3A, NY 11249 | 751 WYTHE AVENUE APT 3B, NY 11249 | 751 WYTHE AVENUE APT 4A, NY 11249 | 751 WYTHE AVENUE APT 4B, NY 11249</x:v>
      </x:c>
      <x:c r="P187" t="n">
        <x:v>4</x:v>
      </x:c>
      <x:c r="Q187" s="15" t="n">
        <x:v>1</x:v>
      </x:c>
      <x:c r="R187" t="n">
        <x:v>1</x:v>
      </x:c>
      <x:c r="S187" t="str">
        <x:v>Active-name matches only</x:v>
      </x:c>
      <x:c r="T187" t="str">
        <x:v>No</x:v>
      </x:c>
      <x:c r="U187" t="n">
        <x:v>100</x:v>
      </x:c>
      <x:c r="V187" t="str">
        <x:v>https://data.ny.gov/Economic-Development/Active-Corporations-Beginning-1800/n9v6-gdp6</x:v>
      </x:c>
    </x:row>
    <x:row r="188">
      <x:c r="A188" t="str">
        <x:v>DOS-4-087</x:v>
      </x:c>
      <x:c r="B188" t="str">
        <x:v>Not Mailed</x:v>
      </x:c>
      <x:c r="C188" s="55"/>
      <x:c r="D188" t="str">
        <x:v>No Response</x:v>
      </x:c>
      <x:c r="E188" t="str"/>
      <x:c r="F188" t="n">
        <x:v>4</x:v>
      </x:c>
      <x:c r="G188" t="str">
        <x:v>PROPERTY OWNER</x:v>
      </x:c>
      <x:c r="H188" t="str"/>
      <x:c r="I188" t="n">
        <x:v>0</x:v>
      </x:c>
      <x:c r="J188" t="str">
        <x:v>4620 16th Ave., BROOKLYN, NY, 11204</x:v>
      </x:c>
      <x:c r="K188" t="str">
        <x:v>DOS address corroborated by ACRIS</x:v>
      </x:c>
      <x:c r="L188" t="n">
        <x:v>4</x:v>
      </x:c>
      <x:c r="M188" t="n">
        <x:v>7</x:v>
      </x:c>
      <x:c r="N188" t="str">
        <x:v>240 CROWN LLC | 377 MONTGOMERY LLC | 595 665 EAST 56TH LLC | ELDERT ASSOCIATES LLC</x:v>
      </x:c>
      <x:c r="O188" t="str">
        <x:v>23 ELDERT STREET, NY 11207 | 240 CROWN STREET, NY 11225 | 27 ELDERT STREET, NY 11207 | 377 MONTGOMERY STREET, NY 11225 | 5700 AVENUE D APT 2, NY 11203 | DITMAS AVENUE</x:v>
      </x:c>
      <x:c r="P188" t="n">
        <x:v>4</x:v>
      </x:c>
      <x:c r="Q188" s="15" t="n">
        <x:v>1</x:v>
      </x:c>
      <x:c r="R188" t="n">
        <x:v>4</x:v>
      </x:c>
      <x:c r="S188" t="str">
        <x:v>Strong DOS address corroboration</x:v>
      </x:c>
      <x:c r="T188" t="str">
        <x:v>No</x:v>
      </x:c>
      <x:c r="U188" t="n">
        <x:v>100</x:v>
      </x:c>
      <x:c r="V188" t="str">
        <x:v>https://data.ny.gov/Economic-Development/Active-Corporations-Beginning-1800/n9v6-gdp6</x:v>
      </x:c>
    </x:row>
    <x:row r="189">
      <x:c r="A189" t="str">
        <x:v>DOS-4-088</x:v>
      </x:c>
      <x:c r="B189" t="str">
        <x:v>Not Mailed</x:v>
      </x:c>
      <x:c r="C189" s="55"/>
      <x:c r="D189" t="str">
        <x:v>No Response</x:v>
      </x:c>
      <x:c r="E189" t="str"/>
      <x:c r="F189" t="n">
        <x:v>4</x:v>
      </x:c>
      <x:c r="G189" t="str">
        <x:v>PROPERTY OWNER</x:v>
      </x:c>
      <x:c r="H189" t="str"/>
      <x:c r="I189" t="n">
        <x:v>0</x:v>
      </x:c>
      <x:c r="J189" t="str">
        <x:v>4900 MASPETH AVENUE, MASPETH, NY, 11378, US</x:v>
      </x:c>
      <x:c r="K189" t="str">
        <x:v>ACRIS deed-party address</x:v>
      </x:c>
      <x:c r="L189" t="n">
        <x:v>4</x:v>
      </x:c>
      <x:c r="M189" t="n">
        <x:v>7</x:v>
      </x:c>
      <x:c r="N189" t="str">
        <x:v>D2G NATIONAL LLC | LOLIEN ESTATE LLC | R AND B ASSET MANAGEMENT LLC | RBL MASPETH LLC</x:v>
      </x:c>
      <x:c r="O189" t="str">
        <x:v>140-26 CHERRY AVENUE APT 2D, NY 11355 | 140-26 CHERRY AVENUE APT 2F, NY 11355 | 140-26 CHERRY AVENUE APT 7A, NY 11355 | 140-26 CHERRY AVENUE APT 7B, NY 11355 | 48-90 MASPETH AVENUE, NY 11378 | 48-98 MASPETH AVENUE, NY 11378 | 57-40 VAN DOREN STREET, NY 11368</x:v>
      </x:c>
      <x:c r="P189" t="n">
        <x:v>4</x:v>
      </x:c>
      <x:c r="Q189" s="15" t="n">
        <x:v>1</x:v>
      </x:c>
      <x:c r="R189" t="n">
        <x:v>1</x:v>
      </x:c>
      <x:c r="S189" t="str">
        <x:v>Active-name matches only</x:v>
      </x:c>
      <x:c r="T189" t="str">
        <x:v>No</x:v>
      </x:c>
      <x:c r="U189" t="n">
        <x:v>100</x:v>
      </x:c>
      <x:c r="V189" t="str">
        <x:v>https://data.ny.gov/Economic-Development/Active-Corporations-Beginning-1800/n9v6-gdp6</x:v>
      </x:c>
    </x:row>
    <x:row r="190">
      <x:c r="A190" t="str">
        <x:v>DOS-4-089</x:v>
      </x:c>
      <x:c r="B190" t="str">
        <x:v>Not Mailed</x:v>
      </x:c>
      <x:c r="C190" s="55"/>
      <x:c r="D190" t="str">
        <x:v>No Response</x:v>
      </x:c>
      <x:c r="E190" t="str"/>
      <x:c r="F190" t="n">
        <x:v>4</x:v>
      </x:c>
      <x:c r="G190" t="str">
        <x:v>PROPERTY OWNER</x:v>
      </x:c>
      <x:c r="H190" t="str">
        <x:v>MICHAEL A. CAPASSO, PRESIDENT</x:v>
      </x:c>
      <x:c r="I190" t="n">
        <x:v>1</x:v>
      </x:c>
      <x:c r="J190" t="str">
        <x:v>54-08 VERNON BOULEVARD, LONG ISLAND CITY, NY, 11101</x:v>
      </x:c>
      <x:c r="K190" t="str">
        <x:v>DOS address corroborated by ACRIS</x:v>
      </x:c>
      <x:c r="L190" t="n">
        <x:v>4</x:v>
      </x:c>
      <x:c r="M190" t="n">
        <x:v>7</x:v>
      </x:c>
      <x:c r="N190" t="str">
        <x:v>107 10 180 LLC | H WEST VENTURE LLC | SIBS FOUR LLC | SO BRONX ASSET LLC</x:v>
      </x:c>
      <x:c r="O190" t="str">
        <x:v>107-10 180 STREET, NY 11433 | 20 WEST 64 STREET APT 23H, NY 10023 | 37-25 24TH STREET, NY 11101 | 37-45 24 STREET, NY 11101 | 429 BRUCKNER BOULEVARD, NY 10455 | 433 BRUCKNER BOULEVARD, NY 10455 | 447 BRUCKNER BOULEVARD, NY 10455</x:v>
      </x:c>
      <x:c r="P190" t="n">
        <x:v>4</x:v>
      </x:c>
      <x:c r="Q190" s="15" t="n">
        <x:v>1</x:v>
      </x:c>
      <x:c r="R190" t="n">
        <x:v>3</x:v>
      </x:c>
      <x:c r="S190" t="str">
        <x:v>Strong DOS address corroboration</x:v>
      </x:c>
      <x:c r="T190" t="str">
        <x:v>No</x:v>
      </x:c>
      <x:c r="U190" t="n">
        <x:v>100</x:v>
      </x:c>
      <x:c r="V190" t="str">
        <x:v>https://data.ny.gov/Economic-Development/Active-Corporations-Beginning-1800/n9v6-gdp6</x:v>
      </x:c>
    </x:row>
    <x:row r="191">
      <x:c r="A191" t="str">
        <x:v>DOS-4-090</x:v>
      </x:c>
      <x:c r="B191" t="str">
        <x:v>Not Mailed</x:v>
      </x:c>
      <x:c r="C191" s="55"/>
      <x:c r="D191" t="str">
        <x:v>No Response</x:v>
      </x:c>
      <x:c r="E191" t="str"/>
      <x:c r="F191" t="n">
        <x:v>4</x:v>
      </x:c>
      <x:c r="G191" t="str">
        <x:v>ROBERT PINCOW</x:v>
      </x:c>
      <x:c r="H191" t="str">
        <x:v>ROBERT PINCOW</x:v>
      </x:c>
      <x:c r="I191" t="n">
        <x:v>2</x:v>
      </x:c>
      <x:c r="J191" t="str">
        <x:v>570 SMITH STREET, BROOKLYN, NY, 11231</x:v>
      </x:c>
      <x:c r="K191" t="str">
        <x:v>DOS address corroborated by ACRIS</x:v>
      </x:c>
      <x:c r="L191" t="n">
        <x:v>4</x:v>
      </x:c>
      <x:c r="M191" t="n">
        <x:v>7</x:v>
      </x:c>
      <x:c r="N191" t="str">
        <x:v>181 DUANE LLC | 38 WEST 83RD STREET REALTY LLC | BAY STREET EQUITIES LLC | BHN 2955 BRIGHTON LLC</x:v>
      </x:c>
      <x:c r="O191" t="str">
        <x:v>181 DUANE STREET, NY 10013 | 215 BAY STREET, NY 11231 | 2955 BRIGHTON 4 STREET APT GRD1, NY 11235 | 2955 BRIGHTON 4 STREET APT GRD2, NY 11235 | 2955 BRIGHTON 4 STREET APT P6, NY 11235 | 2955 BRIGHTON 4 STREET APT P7, NY 11235 | 38 WEST 83 STREET, NY 10024</x:v>
      </x:c>
      <x:c r="P191" t="n">
        <x:v>4</x:v>
      </x:c>
      <x:c r="Q191" s="15" t="n">
        <x:v>1</x:v>
      </x:c>
      <x:c r="R191" t="n">
        <x:v>3</x:v>
      </x:c>
      <x:c r="S191" t="str">
        <x:v>Strong DOS address corroboration</x:v>
      </x:c>
      <x:c r="T191" t="str">
        <x:v>No</x:v>
      </x:c>
      <x:c r="U191" t="n">
        <x:v>100</x:v>
      </x:c>
      <x:c r="V191" t="str">
        <x:v>https://data.ny.gov/Economic-Development/Active-Corporations-Beginning-1800/n9v6-gdp6</x:v>
      </x:c>
    </x:row>
    <x:row r="192">
      <x:c r="A192" t="str">
        <x:v>DOS-4-091</x:v>
      </x:c>
      <x:c r="B192" t="str">
        <x:v>Not Mailed</x:v>
      </x:c>
      <x:c r="C192" s="55"/>
      <x:c r="D192" t="str">
        <x:v>No Response</x:v>
      </x:c>
      <x:c r="E192" t="str"/>
      <x:c r="F192" t="n">
        <x:v>4</x:v>
      </x:c>
      <x:c r="G192" t="str">
        <x:v>PROPERTY OWNER</x:v>
      </x:c>
      <x:c r="H192" t="str">
        <x:v>FRED OSTAD</x:v>
      </x:c>
      <x:c r="I192" t="n">
        <x:v>1</x:v>
      </x:c>
      <x:c r="J192" t="str">
        <x:v>574 Middle Neck Road, Suite 200, Great Neck, NY, 11023</x:v>
      </x:c>
      <x:c r="K192" t="str">
        <x:v>DOS address corroborated by ACRIS</x:v>
      </x:c>
      <x:c r="L192" t="n">
        <x:v>4</x:v>
      </x:c>
      <x:c r="M192" t="n">
        <x:v>7</x:v>
      </x:c>
      <x:c r="N192" t="str">
        <x:v>49 ONE HOLDINGS LLC | 49 THREE HOLDINGS LLC | 49 TWO HOLDINGS LLC | SOBRO THIRD LLC</x:v>
      </x:c>
      <x:c r="O192" t="str">
        <x:v>260 EAST 138 STREET, NY 10451 | 49 AVENUE | 49-02 70 STREET, NY 11377 | 49-04 70 STREET, NY 11377 | 69-14-69-18 49 AVENUE, NY 11377 | 69-24 49 AVENUE, NY 11377 | 69-32 49 AVENUE, NY 11377</x:v>
      </x:c>
      <x:c r="P192" t="n">
        <x:v>4</x:v>
      </x:c>
      <x:c r="Q192" s="15" t="n">
        <x:v>1</x:v>
      </x:c>
      <x:c r="R192" t="n">
        <x:v>3</x:v>
      </x:c>
      <x:c r="S192" t="str">
        <x:v>Strong DOS address corroboration</x:v>
      </x:c>
      <x:c r="T192" t="str">
        <x:v>No</x:v>
      </x:c>
      <x:c r="U192" t="n">
        <x:v>100</x:v>
      </x:c>
      <x:c r="V192" t="str">
        <x:v>https://data.ny.gov/Economic-Development/Active-Corporations-Beginning-1800/n9v6-gdp6</x:v>
      </x:c>
    </x:row>
    <x:row r="193">
      <x:c r="A193" t="str">
        <x:v>DOS-4-092</x:v>
      </x:c>
      <x:c r="B193" t="str">
        <x:v>Not Mailed</x:v>
      </x:c>
      <x:c r="C193" s="55"/>
      <x:c r="D193" t="str">
        <x:v>No Response</x:v>
      </x:c>
      <x:c r="E193" t="str"/>
      <x:c r="F193" t="n">
        <x:v>4</x:v>
      </x:c>
      <x:c r="G193" t="str">
        <x:v>PROPERTY OWNER</x:v>
      </x:c>
      <x:c r="H193" t="str"/>
      <x:c r="I193" t="n">
        <x:v>0</x:v>
      </x:c>
      <x:c r="J193" t="str">
        <x:v>46 WINSOR PLACE, UNIT 14, CENTRAL ISLIP, NY, 11722</x:v>
      </x:c>
      <x:c r="K193" t="str">
        <x:v>DOS address corroborated by ACRIS</x:v>
      </x:c>
      <x:c r="L193" t="n">
        <x:v>4</x:v>
      </x:c>
      <x:c r="M193" t="n">
        <x:v>7</x:v>
      </x:c>
      <x:c r="N193" t="str">
        <x:v>182 MANAGEMENT LLC | BARCLAY CF MANAGEMENT LLC | FLUSHING 45 MANAGEMENT LLC | MC15 MANAGEMENT LLC</x:v>
      </x:c>
      <x:c r="O193" t="str">
        <x:v>15 CATHERINE STREET, NY 10038 | 150-15 BARCLAY AVE APT C1, NY 11355 | 150-15 BARCLAY AVE APT P10, NY 11355 | 150-15 BARCLAY AVE APT P6, NY 11355 | 150-15 BARCLAY AVE APT S1, NY 11355 | 45-45 SMART STREET, NY 11355 | 61-12 182 STREET, NY 11365</x:v>
      </x:c>
      <x:c r="P193" t="n">
        <x:v>4</x:v>
      </x:c>
      <x:c r="Q193" s="15" t="n">
        <x:v>1</x:v>
      </x:c>
      <x:c r="R193" t="n">
        <x:v>1</x:v>
      </x:c>
      <x:c r="S193" t="str">
        <x:v>Shared DOS address</x:v>
      </x:c>
      <x:c r="T193" t="str">
        <x:v>No</x:v>
      </x:c>
      <x:c r="U193" t="n">
        <x:v>100</x:v>
      </x:c>
      <x:c r="V193" t="str">
        <x:v>https://data.ny.gov/Economic-Development/Active-Corporations-Beginning-1800/n9v6-gdp6</x:v>
      </x:c>
    </x:row>
    <x:row r="194">
      <x:c r="A194" t="str">
        <x:v>DOS-4-093</x:v>
      </x:c>
      <x:c r="B194" t="str">
        <x:v>Not Mailed</x:v>
      </x:c>
      <x:c r="C194" s="55"/>
      <x:c r="D194" t="str">
        <x:v>No Response</x:v>
      </x:c>
      <x:c r="E194" t="str"/>
      <x:c r="F194" t="n">
        <x:v>4</x:v>
      </x:c>
      <x:c r="G194" t="str">
        <x:v>PROPERTY OWNER</x:v>
      </x:c>
      <x:c r="H194" t="str"/>
      <x:c r="I194" t="n">
        <x:v>0</x:v>
      </x:c>
      <x:c r="J194" t="str">
        <x:v>70-23  HARROW STREET, FOREST HILLS, NY, 11375, US</x:v>
      </x:c>
      <x:c r="K194" t="str">
        <x:v>ACRIS deed-party address</x:v>
      </x:c>
      <x:c r="L194" t="n">
        <x:v>4</x:v>
      </x:c>
      <x:c r="M194" t="n">
        <x:v>7</x:v>
      </x:c>
      <x:c r="N194" t="str">
        <x:v>AUSTIN REALTY HOLDING LLC | CLFT LLC | ESSEX GROUP LLC | RED STONE EQUITIES LLC</x:v>
      </x:c>
      <x:c r="O194" t="str">
        <x:v>134-38 57 ROAD, NY 11355 | 134-40 57 ROAD, NY 11355 | 27 ESSEX STREET APT 1B, NY 10002 | 32-22 103 STREET, NY 11369 | 70-17 AUSTIN STREET APT 1D/E, NY 11375 | 70-21-70=21 AUSTIN STREET APT B, NY 11375 | 70-23 AUSTIN STREET APT C, NY 11375</x:v>
      </x:c>
      <x:c r="P194" t="n">
        <x:v>4</x:v>
      </x:c>
      <x:c r="Q194" s="15" t="n">
        <x:v>1</x:v>
      </x:c>
      <x:c r="R194" t="n">
        <x:v>2</x:v>
      </x:c>
      <x:c r="S194" t="str">
        <x:v>Strong DOS address corroboration</x:v>
      </x:c>
      <x:c r="T194" t="str">
        <x:v>No</x:v>
      </x:c>
      <x:c r="U194" t="n">
        <x:v>100</x:v>
      </x:c>
      <x:c r="V194" t="str">
        <x:v>https://data.ny.gov/Economic-Development/Active-Corporations-Beginning-1800/n9v6-gdp6</x:v>
      </x:c>
    </x:row>
    <x:row r="195">
      <x:c r="A195" t="str">
        <x:v>DOS-4-094</x:v>
      </x:c>
      <x:c r="B195" t="str">
        <x:v>Not Mailed</x:v>
      </x:c>
      <x:c r="C195" s="55"/>
      <x:c r="D195" t="str">
        <x:v>No Response</x:v>
      </x:c>
      <x:c r="E195" t="str"/>
      <x:c r="F195" t="n">
        <x:v>4</x:v>
      </x:c>
      <x:c r="G195" t="str">
        <x:v>PROPERTY OWNER</x:v>
      </x:c>
      <x:c r="H195" t="str">
        <x:v>CHRIS VARVERIS &amp; STEPHAN GIANOPLUS</x:v>
      </x:c>
      <x:c r="I195" t="n">
        <x:v>1</x:v>
      </x:c>
      <x:c r="J195" t="str">
        <x:v>7722 FIFTH AVENUE, BROOKLYN, NY, 11209, US</x:v>
      </x:c>
      <x:c r="K195" t="str">
        <x:v>ACRIS deed-party address</x:v>
      </x:c>
      <x:c r="L195" t="n">
        <x:v>4</x:v>
      </x:c>
      <x:c r="M195" t="n">
        <x:v>7</x:v>
      </x:c>
      <x:c r="N195" t="str">
        <x:v>17 HART LLC | 522 WEST LLC | MANNY CORNER LLC | TWO LIBERTY CHURCH LLC</x:v>
      </x:c>
      <x:c r="O195" t="str">
        <x:v>1121 CHURCH AVENUE, NY 11218 | 17 HART STREET, NY 11206 | 36-08 GREENPOINT AVENUE, NY 11101 | 36-16 GREENPOINT AVENUE, NY 11101 | 7722 5 AVENUE, NY 11209 | GREENPOINT AVENUE, NY 11105 | HUNTERS POINT AVENUE</x:v>
      </x:c>
      <x:c r="P195" t="n">
        <x:v>4</x:v>
      </x:c>
      <x:c r="Q195" s="15" t="n">
        <x:v>1</x:v>
      </x:c>
      <x:c r="R195" t="n">
        <x:v>1</x:v>
      </x:c>
      <x:c r="S195" t="str">
        <x:v>Active-name matches only</x:v>
      </x:c>
      <x:c r="T195" t="str">
        <x:v>No</x:v>
      </x:c>
      <x:c r="U195" t="n">
        <x:v>100</x:v>
      </x:c>
      <x:c r="V195" t="str">
        <x:v>https://data.ny.gov/Economic-Development/Active-Corporations-Beginning-1800/n9v6-gdp6</x:v>
      </x:c>
    </x:row>
    <x:row r="196">
      <x:c r="A196" t="str">
        <x:v>DOS-4-095</x:v>
      </x:c>
      <x:c r="B196" t="str">
        <x:v>Not Mailed</x:v>
      </x:c>
      <x:c r="C196" s="55"/>
      <x:c r="D196" t="str">
        <x:v>No Response</x:v>
      </x:c>
      <x:c r="E196" t="str"/>
      <x:c r="F196" t="n">
        <x:v>4</x:v>
      </x:c>
      <x:c r="G196" t="str">
        <x:v>PROPERTY OWNER</x:v>
      </x:c>
      <x:c r="H196" t="str"/>
      <x:c r="I196" t="n">
        <x:v>0</x:v>
      </x:c>
      <x:c r="J196" t="str">
        <x:v>805 THIRD AVENUE, 7TH FLOOR, NEW YORK, NY, 10022, US</x:v>
      </x:c>
      <x:c r="K196" t="str">
        <x:v>ACRIS deed-party address</x:v>
      </x:c>
      <x:c r="L196" t="n">
        <x:v>4</x:v>
      </x:c>
      <x:c r="M196" t="n">
        <x:v>7</x:v>
      </x:c>
      <x:c r="N196" t="str">
        <x:v>717 SUBSIDIARY LLC | CLINTON PB HODLINGS I LLC | CLINTON PB HOLDINGS I LLC | EXTELL ORION HOLDINGS LLC</x:v>
      </x:c>
      <x:c r="O196" t="str">
        <x:v>116 7 AVENUE, NY 10011 | 350 WEST 42 STREET APT 24C, NY 10036 | 604-607 WEST 46 STREET, NY 10036 | 605 WEST 45 STREET, NY 10036 | 616-620 WEST 46 STREET, NY 10036 | 617-621 11 AVENUE, NY 10036 | 623 11 AVENUE, NY 10036</x:v>
      </x:c>
      <x:c r="P196" t="n">
        <x:v>3</x:v>
      </x:c>
      <x:c r="Q196" s="15" t="n">
        <x:v>0.75</x:v>
      </x:c>
      <x:c r="R196" t="n">
        <x:v>0</x:v>
      </x:c>
      <x:c r="S196" t="str">
        <x:v>Active-name matches only</x:v>
      </x:c>
      <x:c r="T196" t="str">
        <x:v>No</x:v>
      </x:c>
      <x:c r="U196" t="n">
        <x:v>100</x:v>
      </x:c>
      <x:c r="V196" t="str">
        <x:v>https://data.ny.gov/Economic-Development/Active-Corporations-Beginning-1800/n9v6-gdp6</x:v>
      </x:c>
    </x:row>
    <x:row r="197">
      <x:c r="A197" t="str">
        <x:v>DOS-4-096</x:v>
      </x:c>
      <x:c r="B197" t="str">
        <x:v>Not Mailed</x:v>
      </x:c>
      <x:c r="C197" s="55"/>
      <x:c r="D197" t="str">
        <x:v>No Response</x:v>
      </x:c>
      <x:c r="E197" t="str"/>
      <x:c r="F197" t="n">
        <x:v>4</x:v>
      </x:c>
      <x:c r="G197" t="str">
        <x:v>PROPERTY OWNER</x:v>
      </x:c>
      <x:c r="H197" t="str">
        <x:v>KISSOON PERSAUD</x:v>
      </x:c>
      <x:c r="I197" t="n">
        <x:v>1</x:v>
      </x:c>
      <x:c r="J197" t="str">
        <x:v>87-07 JAMAICA AVENUE, WOODHAVEN, NY, 11421, US</x:v>
      </x:c>
      <x:c r="K197" t="str">
        <x:v>ACRIS deed-party address</x:v>
      </x:c>
      <x:c r="L197" t="n">
        <x:v>4</x:v>
      </x:c>
      <x:c r="M197" t="n">
        <x:v>7</x:v>
      </x:c>
      <x:c r="N197" t="str">
        <x:v>EMERALD LOFTS LLC | RAY S PLAZA LLC | RAYS PLAZA LLC | STARR TOWERS LLC</x:v>
      </x:c>
      <x:c r="O197" t="str">
        <x:v>1845 ATLANTIC AVENUE, NY 11233 | 1849 ATLANTIC AVENUE, NY 11233 | 345A BLEECKER STREET, NY 11237 | 374A BLEECKER STREET, NY 11237 | 87-07 JAMAICA AVENUE, NY 11421 | 934 DEKALB AVENUE, NY 11221 | 936 DEKALB AVENUE, NY 11221</x:v>
      </x:c>
      <x:c r="P197" t="n">
        <x:v>3</x:v>
      </x:c>
      <x:c r="Q197" s="15" t="n">
        <x:v>0.75</x:v>
      </x:c>
      <x:c r="R197" t="n">
        <x:v>3</x:v>
      </x:c>
      <x:c r="S197" t="str">
        <x:v>Strong DOS address corroboration</x:v>
      </x:c>
      <x:c r="T197" t="str">
        <x:v>No</x:v>
      </x:c>
      <x:c r="U197" t="n">
        <x:v>100</x:v>
      </x:c>
      <x:c r="V197" t="str">
        <x:v>https://data.ny.gov/Economic-Development/Active-Corporations-Beginning-1800/n9v6-gdp6</x:v>
      </x:c>
    </x:row>
    <x:row r="198">
      <x:c r="A198" t="str">
        <x:v>DOS-4-097</x:v>
      </x:c>
      <x:c r="B198" t="str">
        <x:v>Not Mailed</x:v>
      </x:c>
      <x:c r="C198" s="55"/>
      <x:c r="D198" t="str">
        <x:v>No Response</x:v>
      </x:c>
      <x:c r="E198" t="str"/>
      <x:c r="F198" t="n">
        <x:v>4</x:v>
      </x:c>
      <x:c r="G198" t="str">
        <x:v>SUE CHEUNG</x:v>
      </x:c>
      <x:c r="H198" t="str">
        <x:v>SUE CHEUNG</x:v>
      </x:c>
      <x:c r="I198" t="n">
        <x:v>4</x:v>
      </x:c>
      <x:c r="J198" t="str">
        <x:v>100-111 BAKER COURT, ISLAND PARK, NY, 11558, US</x:v>
      </x:c>
      <x:c r="K198" t="str">
        <x:v>ACRIS deed-party address</x:v>
      </x:c>
      <x:c r="L198" t="n">
        <x:v>4</x:v>
      </x:c>
      <x:c r="M198" t="n">
        <x:v>6</x:v>
      </x:c>
      <x:c r="N198" t="str">
        <x:v>24DN PIERS LLC | 3BC JACKSON LLC | 409 VIEW LLC | 6D INDUSTRY LLC</x:v>
      </x:c>
      <x:c r="O198" t="str">
        <x:v>1 NORTH PIER APT 24D, NY 11211 | 11-49 47 AVENUE APT 3B, NY 11101 | 11-49 47 AVENUE APT 3C, NY 11101 | 21-45 44 DRIVE APT 6D, NY 11101 | 21-45 44 DRIVE APT SU37, NY 11101 | 46-30 CENTER BOULEVARD APT 409, NY 11109</x:v>
      </x:c>
      <x:c r="P198" t="n">
        <x:v>4</x:v>
      </x:c>
      <x:c r="Q198" s="15" t="n">
        <x:v>1</x:v>
      </x:c>
      <x:c r="R198" t="n">
        <x:v>0</x:v>
      </x:c>
      <x:c r="S198" t="str">
        <x:v>Shared DOS address</x:v>
      </x:c>
      <x:c r="T198" t="str">
        <x:v>No</x:v>
      </x:c>
      <x:c r="U198" t="n">
        <x:v>100</x:v>
      </x:c>
      <x:c r="V198" t="str">
        <x:v>https://data.ny.gov/Economic-Development/Active-Corporations-Beginning-1800/n9v6-gdp6</x:v>
      </x:c>
    </x:row>
    <x:row r="199">
      <x:c r="A199" t="str">
        <x:v>DOS-4-098</x:v>
      </x:c>
      <x:c r="B199" t="str">
        <x:v>Not Mailed</x:v>
      </x:c>
      <x:c r="C199" s="55"/>
      <x:c r="D199" t="str">
        <x:v>No Response</x:v>
      </x:c>
      <x:c r="E199" t="str"/>
      <x:c r="F199" t="n">
        <x:v>4</x:v>
      </x:c>
      <x:c r="G199" t="str">
        <x:v>PROPERTY OWNER</x:v>
      </x:c>
      <x:c r="H199" t="str"/>
      <x:c r="I199" t="n">
        <x:v>0</x:v>
      </x:c>
      <x:c r="J199" t="str">
        <x:v>100 jericho quadrangle suite 220, JERICHO, NY, 11753</x:v>
      </x:c>
      <x:c r="K199" t="str">
        <x:v>DOS address corroborated by ACRIS</x:v>
      </x:c>
      <x:c r="L199" t="n">
        <x:v>4</x:v>
      </x:c>
      <x:c r="M199" t="n">
        <x:v>6</x:v>
      </x:c>
      <x:c r="N199" t="str">
        <x:v>36 FROST STREET LLC | 404 MANHATTAN AVE LLC | 45 GARNET STREET UNITS LLC | 47 DIAMOND STREET UNITS LLC</x:v>
      </x:c>
      <x:c r="O199" t="str">
        <x:v>36 FROST STREET, NY 11211 | 402 MANHATTAN AVE, NY 11222 | 45 GARNET STREET APT 1B, NY 11231 | 45 GARNET STREET APT 3A, NY 11231 | 47 DIAMOND STREET APT 2C, NY 11222 | 47 DIAMOND STREET APT 3C, NY 11222</x:v>
      </x:c>
      <x:c r="P199" t="n">
        <x:v>4</x:v>
      </x:c>
      <x:c r="Q199" s="15" t="n">
        <x:v>1</x:v>
      </x:c>
      <x:c r="R199" t="n">
        <x:v>4</x:v>
      </x:c>
      <x:c r="S199" t="str">
        <x:v>Strong DOS address corroboration</x:v>
      </x:c>
      <x:c r="T199" t="str">
        <x:v>No</x:v>
      </x:c>
      <x:c r="U199" t="n">
        <x:v>100</x:v>
      </x:c>
      <x:c r="V199" t="str">
        <x:v>https://data.ny.gov/Economic-Development/Active-Corporations-Beginning-1800/n9v6-gdp6</x:v>
      </x:c>
    </x:row>
    <x:row r="200">
      <x:c r="A200" t="str">
        <x:v>DOS-4-099</x:v>
      </x:c>
      <x:c r="B200" t="str">
        <x:v>Not Mailed</x:v>
      </x:c>
      <x:c r="C200" s="55"/>
      <x:c r="D200" t="str">
        <x:v>No Response</x:v>
      </x:c>
      <x:c r="E200" t="str"/>
      <x:c r="F200" t="n">
        <x:v>4</x:v>
      </x:c>
      <x:c r="G200" t="str">
        <x:v>PROPERTY OWNER</x:v>
      </x:c>
      <x:c r="H200" t="str">
        <x:v>YUVAL HAROSH</x:v>
      </x:c>
      <x:c r="I200" t="n">
        <x:v>1</x:v>
      </x:c>
      <x:c r="J200" t="str">
        <x:v>100 MERRICK RD STE 400E, ROCKVILLE CENTRE, NY, 115704882, US</x:v>
      </x:c>
      <x:c r="K200" t="str">
        <x:v>ACRIS deed-party address</x:v>
      </x:c>
      <x:c r="L200" t="n">
        <x:v>4</x:v>
      </x:c>
      <x:c r="M200" t="n">
        <x:v>6</x:v>
      </x:c>
      <x:c r="N200" t="str">
        <x:v>1293 1296 1298 CHISHOLM PROPERTIES LLC | 3405 BRUNER AVE LLC | 626 HOLDING LLC | HR RESERVOIR LLC</x:v>
      </x:c>
      <x:c r="O200" t="str">
        <x:v>1293 CHISHOLM STREET, NY 10459 | 1296 CHISHOLM STREET, NY 10459 | 1298 CHISHOLM STREET, NY 10459 | 284 RESERVOIR PLACE, NY 10467 | 3405 BRUNER AVENUE, NY 10469 | 626 ROCKAWAY PARKWAY, NY 11236</x:v>
      </x:c>
      <x:c r="P200" t="n">
        <x:v>4</x:v>
      </x:c>
      <x:c r="Q200" s="15" t="n">
        <x:v>1</x:v>
      </x:c>
      <x:c r="R200" t="n">
        <x:v>0</x:v>
      </x:c>
      <x:c r="S200" t="str">
        <x:v>Active-name matches only</x:v>
      </x:c>
      <x:c r="T200" t="str">
        <x:v>No</x:v>
      </x:c>
      <x:c r="U200" t="n">
        <x:v>100</x:v>
      </x:c>
      <x:c r="V200" t="str">
        <x:v>https://data.ny.gov/Economic-Development/Active-Corporations-Beginning-1800/n9v6-gdp6</x:v>
      </x:c>
    </x:row>
    <x:row r="201">
      <x:c r="A201" t="str">
        <x:v>DOS-4-100</x:v>
      </x:c>
      <x:c r="B201" t="str">
        <x:v>Not Mailed</x:v>
      </x:c>
      <x:c r="C201" s="55"/>
      <x:c r="D201" t="str">
        <x:v>No Response</x:v>
      </x:c>
      <x:c r="E201" t="str"/>
      <x:c r="F201" t="n">
        <x:v>4</x:v>
      </x:c>
      <x:c r="G201" t="str">
        <x:v>PROPERTY OWNER</x:v>
      </x:c>
      <x:c r="H201" t="str"/>
      <x:c r="I201" t="n">
        <x:v>0</x:v>
      </x:c>
      <x:c r="J201" t="str">
        <x:v>101 RICHARDSON STREET, BROOKLYN, NY, 11211</x:v>
      </x:c>
      <x:c r="K201" t="str">
        <x:v>DOS address corroborated by ACRIS</x:v>
      </x:c>
      <x:c r="L201" t="n">
        <x:v>4</x:v>
      </x:c>
      <x:c r="M201" t="n">
        <x:v>6</x:v>
      </x:c>
      <x:c r="N201" t="str">
        <x:v>180 COOK STREET LLC | RICHARDSON STREET LLC | TEN EYCK ASSOCIATES LLC | WILLMINGTON PROPERTY ASSOCIATES LLC</x:v>
      </x:c>
      <x:c r="O201" t="str">
        <x:v>100-02-100-24 91 AVENUE, NY 11418 | 101 RICHARDSON STREET, NY 11211 | 303 TEN EYCK STREET, NY 11206 | 404 LEONARD STREET, NY 11222 | 87 RICHARDSON STREET, NY 11211 | 929 FLUSHING AVENUE, NY 11206</x:v>
      </x:c>
      <x:c r="P201" t="n">
        <x:v>4</x:v>
      </x:c>
      <x:c r="Q201" s="15" t="n">
        <x:v>1</x:v>
      </x:c>
      <x:c r="R201" t="n">
        <x:v>4</x:v>
      </x:c>
      <x:c r="S201" t="str">
        <x:v>Strong DOS address corroboration</x:v>
      </x:c>
      <x:c r="T201" t="str">
        <x:v>No</x:v>
      </x:c>
      <x:c r="U201" t="n">
        <x:v>100</x:v>
      </x:c>
      <x:c r="V201" t="str">
        <x:v>https://data.ny.gov/Economic-Development/Active-Corporations-Beginning-1800/n9v6-gdp6</x:v>
      </x:c>
    </x:row>
    <x:row r="202">
      <x:c r="A202" t="str">
        <x:v>DOS-5-001</x:v>
      </x:c>
      <x:c r="B202" t="str">
        <x:v>Not Mailed</x:v>
      </x:c>
      <x:c r="C202" s="55"/>
      <x:c r="D202" t="str">
        <x:v>No Response</x:v>
      </x:c>
      <x:c r="E202" t="str"/>
      <x:c r="F202" t="n">
        <x:v>5</x:v>
      </x:c>
      <x:c r="G202" t="str">
        <x:v>PROPERTY OWNER</x:v>
      </x:c>
      <x:c r="H202" t="str"/>
      <x:c r="I202" t="n">
        <x:v>0</x:v>
      </x:c>
      <x:c r="J202" t="str">
        <x:v>PO BOX 180240, BROOKLYN, NY, 11218</x:v>
      </x:c>
      <x:c r="K202" t="str">
        <x:v>DOS address corroborated by ACRIS</x:v>
      </x:c>
      <x:c r="L202" t="n">
        <x:v>5</x:v>
      </x:c>
      <x:c r="M202" t="n">
        <x:v>156</x:v>
      </x:c>
      <x:c r="N202" t="str">
        <x:v>211 HEWES LLC | BUDDIES 154 LLC | BUDDIES BRO LLC | CRESCENT CLUB LLC | LEFFERTS PROPERTY LLC</x:v>
      </x:c>
      <x:c r="O202" t="str">
        <x:v>150 LENOX ROAD, NY 11226 | 154 LENOX ROAD, NY 11226 | 211 HEWES STREET, NY 11211 | 380-386 LEFFERTS AVENUE, NY 11225 | 41-23 CRESCENT STREET APT 10A, NY 11101 | 41-23 CRESCENT STREET APT 10B, NY 11101 | 41-23 CRESCENT STREET APT 10C, NY 11101 | 41-23 CRESCENT STREET APT 10D, NY 11101 | 41-23 CRESCENT STREET APT 10E, NY 11101 | 41-23 CRESCENT STREET APT 10F, NY 11101 | 41-23 CRESCENT STREET APT 11A, NY 11101 | 41-23 CRESCENT STREET APT 11B, NY 11101 | 41-23 CRESCENT STREET APT 11C, NY 11101 | 41-23 CRESCENT STREET APT 11D, NY 11101 | 41-23 CRESCENT STREET APT 11E, NY 11101 | 41-23 CRESCENT STREET APT 11F, NY 11101 | 41-23 CRESCENT STREET APT 12A, NY 11101 | 41-23 CRESCENT STREET APT 12B, NY 11101 | 41-23 CRESCENT STREET APT 12C, NY 11101 | 41-23 CRESCENT STREET APT 12D, NY 11101 | 41-23 CRESCENT STREET APT 12F, NY 11101 | 41-23 CRESCENT STREET APT 14A, NY 11101 | 41-23 CRESCENT STREET APT 14B, NY 11101 | 41-23 CRESCENT STREET APT 14C, NY 11101 | 41-23 CRESCENT STREET APT 14D, NY 11101 | 41-23 CRESCENT STREET APT 14E, NY 11101 | 41-23 CRESCENT STREET APT 14F, NY 11101 | 41-23 CRESCENT STREET APT 3A, NY 11101 | 41-23 CRESCENT STREET APT 3B-SP, NY 11101 | 41-23 CRESCENT STREET APT 3C, NY 11101 | 41-23 CRESCENT STREET APT 3D, NY 11101 | 41-23 CRESCENT STREET APT 3E, NY 11101 | 41-23 CRESCENT STREET APT 3F, NY 11101 | 41-23 CRESCENT STREET APT 3G, NY 11101 | 41-23 CRESCENT STREET APT 3H, NY 11101 | 41-23 CRESCENT STREET APT 3J, NY 11101 | 41-23 CRESCENT STREET APT 3K, NY 11101 | 41-23 CRESCENT STREET APT 3L, NY 11101 | 41-23 CRESCENT STREET APT 3M, NY 11101 | 41-23 CRESCENT STREET APT 3N, NY 11101 | 41-23 CRESCENT STREET APT 3P, NY 11101 | 41-23 CRESCENT STREET APT 4A, NY 11101 | 41-23 CRESCENT STREET APT 4B, NY 11101 | 41-23 CRESCENT STREET APT 4C, NY 11101 | 41-23 CRESCENT STREET APT 4D, NY 11101 | 41-23 CRESCENT STREET APT 4E, NY 11101 | 41-23 CRESCENT STREET APT 4F, NY 11101 | 41-23 CRESCENT STREET APT 4G, NY 11101 | 41-23 CRESCENT STREET APT 4H, NY 11101 | 41-23 CRESCENT STREET APT 4J, NY 11101 | 41-23 CRESCENT STREET APT 4K, NY 11101 | 41-23 CRESCENT STREET APT 4L, NY 11101 | 41-23 CRESCENT STREET APT 4M, NY 11101 | 41-23 CRESCENT STREET APT 4N, NY 11101 | 41-23 CRESCENT STREET APT 4P, NY 11101 | 41-23 CRESCENT STREET APT 5A, NY 11101 | 41-23 CRESCENT STREET APT 5B, NY 11101 | 41-23 CRESCENT STREET APT 5C, NY 11101 | 41-23 CRESCENT STREET APT 5D, NY 11101 | 41-23 CRESCENT STREET APT 5E, NY 11101 | 41-23 CRESCENT STREET APT 5F, NY 11101 | 41-23 CRESCENT STREET APT 5G, NY 11101 | 41-23 CRESCENT STREET APT 5H, NY 11101 | 41-23 CRESCENT STREET APT 5J, NY 11101 | 41-23 CRESCENT STREET APT 5K, NY 11101 | 41-23 CRESCENT STREET APT 5L, NY 11101 | 41-23 CRESCENT STREET APT 5M, NY 11101 | 41-23 CRESCENT STREET APT 5N, NY 11101 | 41-23 CRESCENT STREET APT 5P, NY 11101 | 41-23 CRESCENT STREET APT 6A, NY 11101 | 41-23 CRESCENT STREET APT 6B, NY 11101 | 41-23 CRESCENT STREET APT 6C, NY 11101 | 41-23 CRESCENT STREET APT 6D, NY 11101 | 41-23 CRESCENT STREET APT 6E, NY 11101 | 41-23 CRESCENT STREET APT 6F, NY 11101 | 41-23 CRESCENT STREET APT 6G, NY 11101 | 41-23 CRESCENT STREET APT 6H, NY 11101 | 41-23 CRESCENT STREET APT 6J, NY 11101 | 41-23 CRESCENT STREET APT 6K, NY 11101 | 41-23 CRESCENT STREET APT 6L, NY 11101 | 41-23 CRESCENT STREET APT 6M, NY 11101 | 41-23 CRESCENT STREET APT 6N, NY 11101 | 41-23 CRESCENT STREET APT 6P, NY 11101 | 41-23 CRESCENT STREET APT 7A, NY 11101 | 41-23 CRESCENT STREET APT 7B, NY 11101 | 41-23 CRESCENT STREET APT 7C, NY 11101 | 41-23 CRESCENT STREET APT 7D, NY 11101 | 41-23 CRESCENT STREET APT 7E, NY 11101 | 41-23 CRESCENT STREET APT 7F, NY 11101 | 41-23 CRESCENT STREET APT 7G, NY 11101 | 41-23 CRESCENT STREET APT 7H, NY 11101 | 41-23 CRESCENT STREET APT 7J, NY 11101 | 41-23 CRESCENT STREET APT 7K, NY 11101 | 41-23 CRESCENT STREET APT 7L, NY 11101 | 41-23 CRESCENT STREET APT 7M, NY 11101 | 41-23 CRESCENT STREET APT 7N, NY 11101 | 41-23 CRESCENT STREET APT 7P, NY 11101 | 41-23 CRESCENT STREET APT 8A, NY 11101 | 41-23 CRESCENT STREET APT 8B, NY 11101 | 41-23 CRESCENT STREET APT 8C, NY 11101 | 41-23 CRESCENT STREET APT 8D, NY 11101 | 41-23 CRESCENT STREET APT 8E, NY 11101 | 41-23 CRESCENT STREET APT 8F, NY 11101 | 41-23 CRESCENT STREET APT 8G, NY 11101 | 41-23 CRESCENT STREET APT 8H, NY 11101 | 41-23 CRESCENT STREET APT 8J, NY 11101 | 41-23 CRESCENT STREET APT 8K, NY 11101 | 41-23 CRESCENT STREET APT 8L, NY 11101 | 41-23 CRESCENT STREET APT 8M, NY 11101 | 41-23 CRESCENT STREET APT 8N, NY 11101 | 41-23 CRESCENT STREET APT 8P, NY 11101 | 41-23 CRESCENT STREET APT 9A, NY 11101 | 41-23 CRESCENT STREET APT 9B, NY 11101 | 41-23 CRESCENT STREET APT 9C, NY 11101 | 41-23 CRESCENT STREET APT 9D, NY 11101 | 41-23 CRESCENT STREET APT 9E, NY 11101 | 41-23 CRESCENT STREET APT 9F, NY 11101 | 41-23 CRESCENT STREET APT COMM1, NY 11101 | 41-23 CRESCENT STREET APT COMM2, NY 11101 | 41-23 CRESCENT STREET APT P1, NY 11101 | 41-23 CRESCENT STREET APT P10, NY 11101 | 41-23 CRESCENT STREET APT P11, NY 11101 | 41-23 CRESCENT STREET APT P12, NY 11101 | 41-23 CRESCENT STREET APT P13, NY 11101 | 41-23 CRESCENT STREET APT P14, NY 11101 | 41-23 CRESCENT STREET APT P15, NY 11101 | 41-23 CRESCENT STREET APT P16, NY 11101 | 41-23 CRESCENT STREET APT P17, NY 11101 | 41-23 CRESCENT STREET APT P18, NY 11101 | 41-23 CRESCENT STREET APT P19, NY 11101 | 41-23 CRESCENT STREET APT P2, NY 11101 | 41-23 CRESCENT STREET APT P20, NY 11101 | 41-23 CRESCENT STREET APT P21, NY 11101 | 41-23 CRESCENT STREET APT P22, NY 11101 | 41-23 CRESCENT STREET APT P23, NY 11101 | 41-23 CRESCENT STREET APT P24, NY 11101 | 41-23 CRESCENT STREET APT P25, NY 11101 | 41-23 CRESCENT STREET APT P26, NY 11101 | 41-23 CRESCENT STREET APT P27, NY 11101 | 41-23 CRESCENT STREET APT P28, NY 11101 | 41-23 CRESCENT STREET APT P29, NY 11101 | 41-23 CRESCENT STREET APT P3, NY 11101 | 41-23 CRESCENT STREET APT P4, NY 11101 | 41-23 CRESCENT STREET APT P5, NY 11101 | 41-23 CRESCENT STREET APT P6, NY 11101 | 41-23 CRESCENT STREET APT P7, NY 11101 | 41-23 CRESCENT STREET APT P8, NY 11101 | 41-23 CRESCENT STREET APT P9, NY 11101 | 41-23 CRESCENT STREET APT PH1-A, NY 11101 | 41-23 CRESCENT STREET APT PH1-B, NY 11101 | 41-23 CRESCENT STREET APT PH2-C, NY 11101 | 41-23 CRESCENT STREET APT PH2-D, NY 11101 | 41-23 CRESCENT STREET APT PH2-E, NY 11101 | 41-23 CRESCENT STREET APT PH3-F, NY 11101 | 41-23 CRESCENT STREET APT PH3-G, NY 11101 | 41-23 CRESCENT STREET APT PH3-H, NY 11101</x:v>
      </x:c>
      <x:c r="P202" t="n">
        <x:v>5</x:v>
      </x:c>
      <x:c r="Q202" s="15" t="n">
        <x:v>1</x:v>
      </x:c>
      <x:c r="R202" t="n">
        <x:v>3</x:v>
      </x:c>
      <x:c r="S202" t="str">
        <x:v>Strong DOS address corroboration</x:v>
      </x:c>
      <x:c r="T202" t="str">
        <x:v>No</x:v>
      </x:c>
      <x:c r="U202" t="n">
        <x:v>100</x:v>
      </x:c>
      <x:c r="V202" t="str">
        <x:v>https://data.ny.gov/Economic-Development/Active-Corporations-Beginning-1800/n9v6-gdp6</x:v>
      </x:c>
    </x:row>
    <x:row r="203">
      <x:c r="A203" t="str">
        <x:v>DOS-5-002</x:v>
      </x:c>
      <x:c r="B203" t="str">
        <x:v>Not Mailed</x:v>
      </x:c>
      <x:c r="C203" s="55"/>
      <x:c r="D203" t="str">
        <x:v>No Response</x:v>
      </x:c>
      <x:c r="E203" t="str"/>
      <x:c r="F203" t="n">
        <x:v>5</x:v>
      </x:c>
      <x:c r="G203" t="str">
        <x:v>PROPERTY OWNER</x:v>
      </x:c>
      <x:c r="H203" t="str"/>
      <x:c r="I203" t="n">
        <x:v>0</x:v>
      </x:c>
      <x:c r="J203" t="str">
        <x:v>1836 GILFORD AVE, NEW HYDE PARK, NY, 11040</x:v>
      </x:c>
      <x:c r="K203" t="str">
        <x:v>DOS address corroborated by ACRIS</x:v>
      </x:c>
      <x:c r="L203" t="n">
        <x:v>5</x:v>
      </x:c>
      <x:c r="M203" t="n">
        <x:v>32</x:v>
      </x:c>
      <x:c r="N203" t="str">
        <x:v>21ST STREET ASTORIA REALTY LLC | 23 25 RGB LLC | 23 33 31ST AVENUE LLC | NEWTOWN AVENUE ASSOCIATES LLC | VERONA 31ST AVE HOLDINGS LLC</x:v>
      </x:c>
      <x:c r="O203" t="str">
        <x:v>21-17 31 AVENUE APT 1C, NY 11106 | 21-17 31 AVENUE APT 2B, NY 11106 | 21-17 31 AVENUE APT 2K, NY 11106 | 21-17 31 AVENUE APT 3A, NY 11106 | 21-17 31 AVENUE APT 3B, NY 11106 | 21-17 31 AVENUE APT 3E, NY 11106 | 21-17 31 AVENUE APT 5A, NY 11106 | 21-17 31 AVENUE APT 5E, NY 11106 | 21-17 31 AVENUE APT 6A, NY 11106 | 21-17 31 AVENUE APT PRK 1, NY 11106 | 21-17 31 AVENUE APT PRK 2, NY 11106 | 21-17 31 AVENUE APT PRK 3, NY 11106 | 21-17 31 AVENUE APT PRK 8, NY 11106 | 21-17 31 AVENUE APT PRK 9, NY 11106 | 21-17 31 AVENUE APT PRK10, NY 11106 | 21-17 31 AVENUE APT PRK11, NY 11106 | 21-17 31 AVENUE APT PRK12, NY 11106 | 23-25 31 AVENUE APT 1A, NY 11106 | 23-25 31 AVENUE APT 2A, NY 11106 | 23-25 31 AVENUE APT 2B, NY 11106 | 23-25 31 AVENUE APT 2E, NY 11106 | 23-25 31 AVENUE APT 3B, NY 11106 | 23-33 31 AVENUE, NY 11106 | 25-23 NEWTOWN AVENUE, NY 11102 | 30-25 21 STREET APT 2B, NY 11102 | 30-25 21 STREET APT 4A, NY 11102 | 30-25 21 STREET APT 4D, NY 11102 | 30-25 21 STREET APT 5A, NY 11102 | 30-25 21 STREET APT 5B, NY 11102 | 30-25 21 STREET APT 5C, NY 11102 | 30-25 21 STREET APT 5D, NY 11102 | 30-25 21 STREET APT 6D, NY 11102</x:v>
      </x:c>
      <x:c r="P203" t="n">
        <x:v>5</x:v>
      </x:c>
      <x:c r="Q203" s="15" t="n">
        <x:v>1</x:v>
      </x:c>
      <x:c r="R203" t="n">
        <x:v>5</x:v>
      </x:c>
      <x:c r="S203" t="str">
        <x:v>Strong DOS address corroboration</x:v>
      </x:c>
      <x:c r="T203" t="str">
        <x:v>No</x:v>
      </x:c>
      <x:c r="U203" t="n">
        <x:v>100</x:v>
      </x:c>
      <x:c r="V203" t="str">
        <x:v>https://data.ny.gov/Economic-Development/Active-Corporations-Beginning-1800/n9v6-gdp6</x:v>
      </x:c>
    </x:row>
    <x:row r="204">
      <x:c r="A204" t="str">
        <x:v>DOS-5-003</x:v>
      </x:c>
      <x:c r="B204" t="str">
        <x:v>Not Mailed</x:v>
      </x:c>
      <x:c r="C204" s="55"/>
      <x:c r="D204" t="str">
        <x:v>No Response</x:v>
      </x:c>
      <x:c r="E204" t="str"/>
      <x:c r="F204" t="n">
        <x:v>5</x:v>
      </x:c>
      <x:c r="G204" t="str">
        <x:v>PROPERTY OWNER</x:v>
      </x:c>
      <x:c r="H204" t="str"/>
      <x:c r="I204" t="n">
        <x:v>0</x:v>
      </x:c>
      <x:c r="J204" t="str">
        <x:v>199 LEE AVENUE, PMB 103, BROOKLYN, NY, 11211</x:v>
      </x:c>
      <x:c r="K204" t="str">
        <x:v>DOS address corroborated by ACRIS</x:v>
      </x:c>
      <x:c r="L204" t="n">
        <x:v>5</x:v>
      </x:c>
      <x:c r="M204" t="n">
        <x:v>31</x:v>
      </x:c>
      <x:c r="N204" t="str">
        <x:v>115 STANWIX REALTY LLC | 221 SPENCER STREET HOLDINGS LLC | 239 HAWTHORNE REALTY LLC | 900 FLUSHING AVE LLC | CHESS REALTY LIC LLC</x:v>
      </x:c>
      <x:c r="O204" t="str">
        <x:v>2-26 50 AVENUE APT 10B, NY 11101 | 2-26 50 AVENUE APT 12E, NY 11101 | 2-26 50 AVENUE APT 3B, NY 11101 | 2-26 50 AVENUE APT 3G, NY 11101 | 2-26 50 AVENUE APT 4D, NY 11101 | 2-26 50 AVENUE APT 4E, NY 11101 | 2-26 50 AVENUE APT 4F, NY 11101 | 2-26 50 AVENUE APT 4G, NY 11101 | 2-26 50 AVENUE APT 4I, NY 11101 | 2-26 50 AVENUE APT 5E, NY 11101 | 2-26 50 AVENUE APT 5I, NY 11101 | 2-26 50 AVENUE APT 5J, NY 11101 | 2-26 50 AVENUE APT 6D, NY 11101 | 2-26 50 AVENUE APT 6E, NY 11101 | 2-26 50 AVENUE APT 6F, NY 11101 | 2-26 50 AVENUE APT 6H, NY 11101 | 2-26 50 AVENUE APT 6I, NY 11101 | 2-26 50 AVENUE APT 7C, NY 11101 | 2-26 50 AVENUE APT 7D, NY 11101 | 2-26 50 AVENUE APT 7E, NY 11101 | 2-26 50 AVENUE APT 7F, NY 11101 | 2-26 50 AVENUE APT 7G, NY 11101 | 2-26 50 AVENUE APT 7H, NY 11101 | 2-26 50 AVENUE APT 8D, NY 11101 | 2-26 50 AVENUE APT 8E, NY 11101 | 2-26 50 AVENUE APT 8F, NY 11101 | 2-26 50 AVENUE APT 9C, NY 11101 | 221 SPENCER STREET, NY 11205 | 239 HAWTHORNE STREET, NY 11225 | 900 FLUSHING AVENUE, NY 11206 | 908 FLUSHING AVENUE, NY 11206</x:v>
      </x:c>
      <x:c r="P204" t="n">
        <x:v>5</x:v>
      </x:c>
      <x:c r="Q204" s="15" t="n">
        <x:v>1</x:v>
      </x:c>
      <x:c r="R204" t="n">
        <x:v>2</x:v>
      </x:c>
      <x:c r="S204" t="str">
        <x:v>Strong DOS address corroboration</x:v>
      </x:c>
      <x:c r="T204" t="str">
        <x:v>No</x:v>
      </x:c>
      <x:c r="U204" t="n">
        <x:v>100</x:v>
      </x:c>
      <x:c r="V204" t="str">
        <x:v>https://data.ny.gov/Economic-Development/Active-Corporations-Beginning-1800/n9v6-gdp6</x:v>
      </x:c>
    </x:row>
    <x:row r="205">
      <x:c r="A205" t="str">
        <x:v>DOS-5-004</x:v>
      </x:c>
      <x:c r="B205" t="str">
        <x:v>Not Mailed</x:v>
      </x:c>
      <x:c r="C205" s="55"/>
      <x:c r="D205" t="str">
        <x:v>No Response</x:v>
      </x:c>
      <x:c r="E205" t="str"/>
      <x:c r="F205" t="n">
        <x:v>5</x:v>
      </x:c>
      <x:c r="G205" t="str">
        <x:v>PROPERTY OWNER</x:v>
      </x:c>
      <x:c r="H205" t="str"/>
      <x:c r="I205" t="n">
        <x:v>0</x:v>
      </x:c>
      <x:c r="J205" t="str">
        <x:v>199 LEE AVENUE, PMB 103, BROOKLYN, NY, 11211</x:v>
      </x:c>
      <x:c r="K205" t="str">
        <x:v>DOS address corroborated by ACRIS</x:v>
      </x:c>
      <x:c r="L205" t="n">
        <x:v>5</x:v>
      </x:c>
      <x:c r="M205" t="n">
        <x:v>26</x:v>
      </x:c>
      <x:c r="N205" t="str">
        <x:v>259 ALBANY REALTY LLC | 264 ALBANY REALTY LLC | 628 PARKSIDE REALTY LLC | POWERUNITS LIC LLC | V PARTNERS 414 LLC</x:v>
      </x:c>
      <x:c r="O205" t="str">
        <x:v>259-261 ALBANY AVENUE, NY 11213 | 264 ALBANY AVENUE, NY 11213 | 414 EAST 120 STREET APT 1B, NY 10035 | 414 EAST 120 STREET APT 1F, NY 10035 | 414 EAST 120 STREET APT 2B, NY 10035 | 414 EAST 120 STREET APT 2F, NY 10035 | 414 EAST 120 STREET APT 3B, NY 10035 | 414 EAST 120 STREET APT 3F, NY 10035 | 414 EAST 120 STREET APT 4B, NY 10035 | 414 EAST 120 STREET APT 4F, NY 10035 | 414 EAST 120 STREET APT 5B, NY 10035 | 414 EAST 120 STREET APT 5F, NY 10035 | 414 EAST 120 STREET APT 6B, NY 10035 | 414 EAST 120 STREET APT 6F, NY 10035 | 50-09 2 STREET APT 1108, NY 11101 | 50-09 2 STREET APT 205, NY 11101 | 50-09 2 STREET APT 219, NY 11101 | 50-09 2 STREET APT 409, NY 11101 | 50-09 2 STREET APT 411, NY 11101 | 50-09 2 STREET APT 517, NY 11101 | 50-09 2 STREET APT 621, NY 11101 | 50-09 2 STREET APT 722, NY 11101 | 50-09 2 STREET APT 723, NY 11101 | 50-09 2 STREET APT 811, NY 11101 | 50-09 2 STREET APT 911, NY 11101 | 620-628 PARKSIDE AVENUE, NY 11226</x:v>
      </x:c>
      <x:c r="P205" t="n">
        <x:v>5</x:v>
      </x:c>
      <x:c r="Q205" s="15" t="n">
        <x:v>1</x:v>
      </x:c>
      <x:c r="R205" t="n">
        <x:v>2</x:v>
      </x:c>
      <x:c r="S205" t="str">
        <x:v>Strong DOS address corroboration</x:v>
      </x:c>
      <x:c r="T205" t="str">
        <x:v>No</x:v>
      </x:c>
      <x:c r="U205" t="n">
        <x:v>100</x:v>
      </x:c>
      <x:c r="V205" t="str">
        <x:v>https://data.ny.gov/Economic-Development/Active-Corporations-Beginning-1800/n9v6-gdp6</x:v>
      </x:c>
    </x:row>
    <x:row r="206">
      <x:c r="A206" t="str">
        <x:v>DOS-5-005</x:v>
      </x:c>
      <x:c r="B206" t="str">
        <x:v>Not Mailed</x:v>
      </x:c>
      <x:c r="C206" s="55"/>
      <x:c r="D206" t="str">
        <x:v>No Response</x:v>
      </x:c>
      <x:c r="E206" t="str"/>
      <x:c r="F206" t="n">
        <x:v>5</x:v>
      </x:c>
      <x:c r="G206" t="str">
        <x:v>PROPERTY OWNER</x:v>
      </x:c>
      <x:c r="H206" t="str">
        <x:v>MOSHE ZLICHA</x:v>
      </x:c>
      <x:c r="I206" t="n">
        <x:v>1</x:v>
      </x:c>
      <x:c r="J206" t="str">
        <x:v>2934 RIVERSIDE DRIVE, WANTAGH, NY, 11793</x:v>
      </x:c>
      <x:c r="K206" t="str">
        <x:v>DOS address corroborated by ACRIS</x:v>
      </x:c>
      <x:c r="L206" t="n">
        <x:v>5</x:v>
      </x:c>
      <x:c r="M206" t="n">
        <x:v>15</x:v>
      </x:c>
      <x:c r="N206" t="str">
        <x:v>DEREIMER AVE 1 LLC | DEREIMER AVE 2 LLC | PUTNAM AVE WEST LLC | SEDGWICK AVE NY 2 LLC | WINTHROP NY 2 LLC</x:v>
      </x:c>
      <x:c r="O206" t="str">
        <x:v>3057 SEDGWICK AVENUE, NY 10468 | 3302 DE REIMER AVENUE, NY 10475 | 3304 DE REIMER AVENUE, NY 10475 | 3306 DE REIMER AVENUE, NY 10475 | 3308 DE REIMER AVENUE, NY 10475 | 3325 DE REIMER AVENUE, NY 10475 | 3327 DE REIMER AVENUE, NY 10475 | 3329 DE REIMER AVENUE, NY 10475 | 3331 DE REIMER AVENUE, NY 10475 | 3333 DE REIMER AVENUE, NY 10475 | 3335 DE REIMER AVENUE, NY 10475 | 3337 DE REIMER AVENUE, NY 10475 | 3339 DE REIMER AVENUE, NY 10475 | 3831 PUTNAM AVENUE WEST, NY 10463 | 461 WINTHROP STREET, NY 11203</x:v>
      </x:c>
      <x:c r="P206" t="n">
        <x:v>5</x:v>
      </x:c>
      <x:c r="Q206" s="15" t="n">
        <x:v>1</x:v>
      </x:c>
      <x:c r="R206" t="n">
        <x:v>4</x:v>
      </x:c>
      <x:c r="S206" t="str">
        <x:v>Strong DOS address corroboration</x:v>
      </x:c>
      <x:c r="T206" t="str">
        <x:v>No</x:v>
      </x:c>
      <x:c r="U206" t="n">
        <x:v>100</x:v>
      </x:c>
      <x:c r="V206" t="str">
        <x:v>https://data.ny.gov/Economic-Development/Active-Corporations-Beginning-1800/n9v6-gdp6</x:v>
      </x:c>
    </x:row>
    <x:row r="207">
      <x:c r="A207" t="str">
        <x:v>DOS-5-006</x:v>
      </x:c>
      <x:c r="B207" t="str">
        <x:v>Not Mailed</x:v>
      </x:c>
      <x:c r="C207" s="55"/>
      <x:c r="D207" t="str">
        <x:v>No Response</x:v>
      </x:c>
      <x:c r="E207" t="str"/>
      <x:c r="F207" t="n">
        <x:v>5</x:v>
      </x:c>
      <x:c r="G207" t="str">
        <x:v>PROPERTY OWNER</x:v>
      </x:c>
      <x:c r="H207" t="str"/>
      <x:c r="I207" t="n">
        <x:v>0</x:v>
      </x:c>
      <x:c r="J207" t="str">
        <x:v>101 MONTGOMERY STREET, SUITE 200, SAN FRANCISCO, CA, 94104, US</x:v>
      </x:c>
      <x:c r="K207" t="str">
        <x:v>ACRIS deed-party address</x:v>
      </x:c>
      <x:c r="L207" t="n">
        <x:v>5</x:v>
      </x:c>
      <x:c r="M207" t="n">
        <x:v>14</x:v>
      </x:c>
      <x:c r="N207" t="str">
        <x:v>TERRENO 14605 MILLER AVE LLC | TERRENO 27TH STREET LLC | TERRENO AIRGATE LLC | TERRENO MORGAN AVE LLC | TERRENO NEW RIDGE LLC</x:v>
      </x:c>
      <x:c r="O207" t="str">
        <x:v>132 STREET | 134 MORGAN AVENUE, NY 11237 | 150-06 132 AVENUE, NY 11434 | 150-10 132 AVENUE, NY 11434 | 151-02 132 AVENUE, NY 11434 | 152-02 BAISLEY BOULEVARD, NY 11434 | 154 MORGAN AVENUE, NY 11237 | 185 VAN DYKE STREET, NY 11231 | 3 49 LANE, NY 11378 | 49-10 27 STREET, NY 11101 | 56-85 49 STREET, NY 11378 | BAISLEY BOULEVARD | MESEROLE STREET, NY 11237</x:v>
      </x:c>
      <x:c r="P207" t="n">
        <x:v>5</x:v>
      </x:c>
      <x:c r="Q207" s="15" t="n">
        <x:v>1</x:v>
      </x:c>
      <x:c r="R207" t="n">
        <x:v>0</x:v>
      </x:c>
      <x:c r="S207" t="str">
        <x:v>Shared DOS address</x:v>
      </x:c>
      <x:c r="T207" t="str">
        <x:v>No</x:v>
      </x:c>
      <x:c r="U207" t="n">
        <x:v>100</x:v>
      </x:c>
      <x:c r="V207" t="str">
        <x:v>https://data.ny.gov/Economic-Development/Active-Corporations-Beginning-1800/n9v6-gdp6</x:v>
      </x:c>
    </x:row>
    <x:row r="208">
      <x:c r="A208" t="str">
        <x:v>DOS-5-007</x:v>
      </x:c>
      <x:c r="B208" t="str">
        <x:v>Not Mailed</x:v>
      </x:c>
      <x:c r="C208" s="55"/>
      <x:c r="D208" t="str">
        <x:v>No Response</x:v>
      </x:c>
      <x:c r="E208" t="str"/>
      <x:c r="F208" t="n">
        <x:v>5</x:v>
      </x:c>
      <x:c r="G208" t="str">
        <x:v>PROPERTY OWNER</x:v>
      </x:c>
      <x:c r="H208" t="str"/>
      <x:c r="I208" t="n">
        <x:v>0</x:v>
      </x:c>
      <x:c r="J208" t="str">
        <x:v>5676 RIVERDALE AVE, SUITE 203, BRONX, NY, 10471</x:v>
      </x:c>
      <x:c r="K208" t="str">
        <x:v>DOS address corroborated by ACRIS</x:v>
      </x:c>
      <x:c r="L208" t="n">
        <x:v>5</x:v>
      </x:c>
      <x:c r="M208" t="n">
        <x:v>14</x:v>
      </x:c>
      <x:c r="N208" t="str">
        <x:v>232 ESTATES LLC | 916 HOME REALTY LLC | LORILLARD COMMONS LLC | OSBORN COMMONS LLC | WPR WESTHILL LLC</x:v>
      </x:c>
      <x:c r="O208" t="str">
        <x:v>132 OSBORN STREET, NY 11212 | 134 OSBORN STREET, NY 11212 | 136 OSBORN STREET, NY 11212 | 138 OSBORN STREET, NY 11212 | 2351 LORILLARD PLACE, NY 10458 | 3741 WHITE PLAINS ROAD, NY 10467 | 39 BELMONT AVENUE, NY 11212 | 43 BELMONT AVENUE, NY 11212 | 47 BELMONT AVENUE, NY 11212 | 658 EAST 232 STREET, NY 10466 | 660 EAST 232 STREET, NY 10466 | 662 EAST 232 STREET, NY 10466 | 664 EAST 232 STREET, NY 10466 | HOME STREET</x:v>
      </x:c>
      <x:c r="P208" t="n">
        <x:v>5</x:v>
      </x:c>
      <x:c r="Q208" s="15" t="n">
        <x:v>1</x:v>
      </x:c>
      <x:c r="R208" t="n">
        <x:v>3</x:v>
      </x:c>
      <x:c r="S208" t="str">
        <x:v>Strong DOS address corroboration</x:v>
      </x:c>
      <x:c r="T208" t="str">
        <x:v>No</x:v>
      </x:c>
      <x:c r="U208" t="n">
        <x:v>100</x:v>
      </x:c>
      <x:c r="V208" t="str">
        <x:v>https://data.ny.gov/Economic-Development/Active-Corporations-Beginning-1800/n9v6-gdp6</x:v>
      </x:c>
    </x:row>
    <x:row r="209">
      <x:c r="A209" t="str">
        <x:v>DOS-5-008</x:v>
      </x:c>
      <x:c r="B209" t="str">
        <x:v>Not Mailed</x:v>
      </x:c>
      <x:c r="C209" s="55"/>
      <x:c r="D209" t="str">
        <x:v>No Response</x:v>
      </x:c>
      <x:c r="E209" t="str"/>
      <x:c r="F209" t="n">
        <x:v>5</x:v>
      </x:c>
      <x:c r="G209" t="str">
        <x:v>C/O STEEL EQUITIES</x:v>
      </x:c>
      <x:c r="H209" t="str">
        <x:v>C/O STEEL EQUITIES</x:v>
      </x:c>
      <x:c r="I209" t="n">
        <x:v>3</x:v>
      </x:c>
      <x:c r="J209" t="str">
        <x:v>700 HICKSVILLE ROAD, BETHPAGE, NY, 11714, US</x:v>
      </x:c>
      <x:c r="K209" t="str">
        <x:v>ACRIS deed-party address</x:v>
      </x:c>
      <x:c r="L209" t="n">
        <x:v>5</x:v>
      </x:c>
      <x:c r="M209" t="n">
        <x:v>14</x:v>
      </x:c>
      <x:c r="N209" t="str">
        <x:v>APOLLO STEEL LLC | PAIDGE STEEL LLC | PERRY WEST HOLDINGS LLC | STEEL POINT LLC | STEEL TRIBUNE LLC</x:v>
      </x:c>
      <x:c r="O209" t="str">
        <x:v>100 APOLLO STREET, NY 11222 | 112 STREET | 115 STREET | 115 STREET, NY 11356 | 12 AVENUE | 120 APOLLO STREET, NY 11222 | 173 PERRY STREET APT 9N, NY 10014 | 215 PAIDGE AVENUE | 59-81 PAIDGE AVENUE, NY 11222 | 60-15-60-31 LITTLE NECK PARKWAY, NY 11362 | POWELLS COVE BLVD</x:v>
      </x:c>
      <x:c r="P209" t="n">
        <x:v>4</x:v>
      </x:c>
      <x:c r="Q209" s="15" t="n">
        <x:v>0.8</x:v>
      </x:c>
      <x:c r="R209" t="n">
        <x:v>0</x:v>
      </x:c>
      <x:c r="S209" t="str">
        <x:v>Shared DOS address</x:v>
      </x:c>
      <x:c r="T209" t="str">
        <x:v>No</x:v>
      </x:c>
      <x:c r="U209" t="n">
        <x:v>100</x:v>
      </x:c>
      <x:c r="V209" t="str">
        <x:v>https://data.ny.gov/Economic-Development/Active-Corporations-Beginning-1800/n9v6-gdp6</x:v>
      </x:c>
    </x:row>
    <x:row r="210">
      <x:c r="A210" t="str">
        <x:v>DOS-5-009</x:v>
      </x:c>
      <x:c r="B210" t="str">
        <x:v>Not Mailed</x:v>
      </x:c>
      <x:c r="C210" s="55"/>
      <x:c r="D210" t="str">
        <x:v>No Response</x:v>
      </x:c>
      <x:c r="E210" t="str"/>
      <x:c r="F210" t="n">
        <x:v>5</x:v>
      </x:c>
      <x:c r="G210" t="str">
        <x:v>PROPERTY OWNER</x:v>
      </x:c>
      <x:c r="H210" t="str"/>
      <x:c r="I210" t="n">
        <x:v>0</x:v>
      </x:c>
      <x:c r="J210" t="str">
        <x:v>217-02 JAMAICA AVENUE, QUEENS VILLAGE, NY, 11428, US</x:v>
      </x:c>
      <x:c r="K210" t="str">
        <x:v>ACRIS deed-party address</x:v>
      </x:c>
      <x:c r="L210" t="n">
        <x:v>5</x:v>
      </x:c>
      <x:c r="M210" t="n">
        <x:v>13</x:v>
      </x:c>
      <x:c r="N210" t="str">
        <x:v>1445 ST MARKS AVENUE LLC | BED STUY HEIGHTS LLC | CHESFORD ESTATES LLC | EMMANUEL 203K LLC | GWB REALTY ASSOCIATES LLC</x:v>
      </x:c>
      <x:c r="O210" t="str">
        <x:v>1209 DEAN STREET, NY 11216 | 129 ROGERS AVENUE, NY 11216 | 1445-1447 ST MARKS AVENUE APT 16, NY 11233 | 192 UTICA AVENUE, NY 11213 | 221-10 JAMAICA AVENUE, NY 11428 | 333 CHAUNCEY STREET APT 12, NY 11233 | 353 CHAUNCEY STREET APT 6, NY 11233 | 408 HOWARD AVENUE, NY 11233 | 415 ROGERS AVENUE, NY 11225 | 82 KINGSTON AVENUE APT 6, NY 11213 | 984 PUTNAM AVENUE, NY 11221 | 988 PUTNAM AVENUE, NY 11221 | 994 PUTNAM AVENUE APT 6, NY 11221</x:v>
      </x:c>
      <x:c r="P210" t="n">
        <x:v>4</x:v>
      </x:c>
      <x:c r="Q210" s="15" t="n">
        <x:v>0.8</x:v>
      </x:c>
      <x:c r="R210" t="n">
        <x:v>0</x:v>
      </x:c>
      <x:c r="S210" t="str">
        <x:v>Shared DOS address</x:v>
      </x:c>
      <x:c r="T210" t="str">
        <x:v>No</x:v>
      </x:c>
      <x:c r="U210" t="n">
        <x:v>100</x:v>
      </x:c>
      <x:c r="V210" t="str">
        <x:v>https://data.ny.gov/Economic-Development/Active-Corporations-Beginning-1800/n9v6-gdp6</x:v>
      </x:c>
    </x:row>
    <x:row r="211">
      <x:c r="A211" t="str">
        <x:v>DOS-5-010</x:v>
      </x:c>
      <x:c r="B211" t="str">
        <x:v>Not Mailed</x:v>
      </x:c>
      <x:c r="C211" s="55"/>
      <x:c r="D211" t="str">
        <x:v>No Response</x:v>
      </x:c>
      <x:c r="E211" t="str"/>
      <x:c r="F211" t="n">
        <x:v>5</x:v>
      </x:c>
      <x:c r="G211" t="str">
        <x:v>PROPERTY OWNER</x:v>
      </x:c>
      <x:c r="H211" t="str"/>
      <x:c r="I211" t="n">
        <x:v>0</x:v>
      </x:c>
      <x:c r="J211" t="str">
        <x:v>35-19 Leavitt Street CF1, FLUSHING, NY, 11354</x:v>
      </x:c>
      <x:c r="K211" t="str">
        <x:v>DOS address corroborated by ACRIS</x:v>
      </x:c>
      <x:c r="L211" t="n">
        <x:v>5</x:v>
      </x:c>
      <x:c r="M211" t="n">
        <x:v>13</x:v>
      </x:c>
      <x:c r="N211" t="str">
        <x:v>90 75 SUTPHIN REALTY LLC | C AND W 215 LLC | EB53 LLC | NYC HENRY STREET GROUP LLC | W38 BOUTIQUE INN LLC</x:v>
      </x:c>
      <x:c r="O211" t="str">
        <x:v>214-10 15 AVENUE APT 3B, NY 11360 | 214-10 15 AVENUE APT 3D, NY 11360 | 214-10 15 AVENUE APT 3F, NY 11360 | 214-10 15 AVENUE APT 3H, NY 11360 | 214-10 15 AVENUE APT P13, NY 11360 | 214-10 15 AVENUE APT P15, NY 11360 | 214-10 15 AVENUE APT P3, NY 11360 | 214-10 15 AVENUE APT P4, NY 11360 | 214-10 15 AVENUE APT P6, NY 11360 | 333 WEST 38 STREET, NY 10018 | 53 EAST BROADWAY, NY 10002 | 59 HENRY STREET, NY 10002 | 90-75 SUTPHIN BOULEVARD, NY 11435</x:v>
      </x:c>
      <x:c r="P211" t="n">
        <x:v>5</x:v>
      </x:c>
      <x:c r="Q211" s="15" t="n">
        <x:v>1</x:v>
      </x:c>
      <x:c r="R211" t="n">
        <x:v>1</x:v>
      </x:c>
      <x:c r="S211" t="str">
        <x:v>Shared DOS address</x:v>
      </x:c>
      <x:c r="T211" t="str">
        <x:v>No</x:v>
      </x:c>
      <x:c r="U211" t="n">
        <x:v>100</x:v>
      </x:c>
      <x:c r="V211" t="str">
        <x:v>https://data.ny.gov/Economic-Development/Active-Corporations-Beginning-1800/n9v6-gdp6</x:v>
      </x:c>
    </x:row>
    <x:row r="212">
      <x:c r="A212" t="str">
        <x:v>DOS-5-011</x:v>
      </x:c>
      <x:c r="B212" t="str">
        <x:v>Not Mailed</x:v>
      </x:c>
      <x:c r="C212" s="55"/>
      <x:c r="D212" t="str">
        <x:v>No Response</x:v>
      </x:c>
      <x:c r="E212" t="str"/>
      <x:c r="F212" t="n">
        <x:v>5</x:v>
      </x:c>
      <x:c r="G212" t="str">
        <x:v>PROPERTY OWNER</x:v>
      </x:c>
      <x:c r="H212" t="str">
        <x:v>Jianxin Lin</x:v>
      </x:c>
      <x:c r="I212" t="n">
        <x:v>1</x:v>
      </x:c>
      <x:c r="J212" t="str">
        <x:v>70-26 QUEENS BOULEVARD, UNIT 6A, WOODSIDE, NY, 11377, US</x:v>
      </x:c>
      <x:c r="K212" t="str">
        <x:v>ACRIS deed-party address</x:v>
      </x:c>
      <x:c r="L212" t="n">
        <x:v>5</x:v>
      </x:c>
      <x:c r="M212" t="n">
        <x:v>13</x:v>
      </x:c>
      <x:c r="N212" t="str">
        <x:v>NORLED 3A LLC | NORLED 4A LLC | NORLED 6A LLC | NORLED 7B LLC | NORLED ENTERPRISE LLC</x:v>
      </x:c>
      <x:c r="O212" t="str">
        <x:v>70-26 QUEENS BOULEVARD APT 11C, NY 11377 | 70-26 QUEENS BOULEVARD APT 3A, NY 11377 | 70-26 QUEENS BOULEVARD APT 3C, NY 11377 | 70-26 QUEENS BOULEVARD APT 3D, NY 11377 | 70-26 QUEENS BOULEVARD APT 3E, NY 11377 | 70-26 QUEENS BOULEVARD APT 4A, NY 11377 | 70-26 QUEENS BOULEVARD APT 4G, NY 11377 | 70-26 QUEENS BOULEVARD APT 5C, NY 11377 | 70-26 QUEENS BOULEVARD APT 6B, NY 11377 | 70-26 QUEENS BOULEVARD APT 6G, NY 11377 | 70-26 QUEENS BOULEVARD APT 7B, NY 11377 | 70-26 QUEENS BOULEVARD APT 8D, NY 11377 | 70-26 QUEENS BOULEVARD APT COM-2, NY 11377</x:v>
      </x:c>
      <x:c r="P212" t="n">
        <x:v>5</x:v>
      </x:c>
      <x:c r="Q212" s="15" t="n">
        <x:v>1</x:v>
      </x:c>
      <x:c r="R212" t="n">
        <x:v>0</x:v>
      </x:c>
      <x:c r="S212" t="str">
        <x:v>Shared DOS address</x:v>
      </x:c>
      <x:c r="T212" t="str">
        <x:v>No</x:v>
      </x:c>
      <x:c r="U212" t="n">
        <x:v>100</x:v>
      </x:c>
      <x:c r="V212" t="str">
        <x:v>https://data.ny.gov/Economic-Development/Active-Corporations-Beginning-1800/n9v6-gdp6</x:v>
      </x:c>
    </x:row>
    <x:row r="213">
      <x:c r="A213" t="str">
        <x:v>DOS-5-012</x:v>
      </x:c>
      <x:c r="B213" t="str">
        <x:v>Not Mailed</x:v>
      </x:c>
      <x:c r="C213" s="55"/>
      <x:c r="D213" t="str">
        <x:v>No Response</x:v>
      </x:c>
      <x:c r="E213" t="str"/>
      <x:c r="F213" t="n">
        <x:v>5</x:v>
      </x:c>
      <x:c r="G213" t="str">
        <x:v>PROPERTY OWNER</x:v>
      </x:c>
      <x:c r="H213" t="str"/>
      <x:c r="I213" t="n">
        <x:v>0</x:v>
      </x:c>
      <x:c r="J213" t="str">
        <x:v>1208 WYATT STREET, BRONX, NY, 10460, US</x:v>
      </x:c>
      <x:c r="K213" t="str">
        <x:v>ACRIS deed-party address</x:v>
      </x:c>
      <x:c r="L213" t="n">
        <x:v>5</x:v>
      </x:c>
      <x:c r="M213" t="n">
        <x:v>12</x:v>
      </x:c>
      <x:c r="N213" t="str">
        <x:v>390 MORRIS PARK AVENUE LLC | 535 BRUSH AVENUE LLC | 699 BRUSH AVENUE LLC | 777 BRUSH AVENUE LLC | 900 BUSH AVENUE LLC</x:v>
      </x:c>
      <x:c r="O213" t="str">
        <x:v>1206 EAST 178 STREET, NY 10460 | 1211 WYATT STREET, NY 10460 | 2550-2560 BRUCKNER BOULEVARD, NY 10465 | 390 MORRIS PARK AVENUE, NY 10460 | 396 MORRIS PARK AVENUE, NY 10460 | 535 BRUSH AVENUE, NY 10465 | 641 YZNAGA PLACE, NY 10465 | 681 BRUSH AVENUE, NY 10465 | 775 BRUSH AVENUE, NY 10465 | EAST 178 STREET | VAN NEST AVENUE</x:v>
      </x:c>
      <x:c r="P213" t="n">
        <x:v>4</x:v>
      </x:c>
      <x:c r="Q213" s="15" t="n">
        <x:v>0.8</x:v>
      </x:c>
      <x:c r="R213" t="n">
        <x:v>0</x:v>
      </x:c>
      <x:c r="S213" t="str">
        <x:v>Shared DOS address</x:v>
      </x:c>
      <x:c r="T213" t="str">
        <x:v>No</x:v>
      </x:c>
      <x:c r="U213" t="n">
        <x:v>100</x:v>
      </x:c>
      <x:c r="V213" t="str">
        <x:v>https://data.ny.gov/Economic-Development/Active-Corporations-Beginning-1800/n9v6-gdp6</x:v>
      </x:c>
    </x:row>
    <x:row r="214">
      <x:c r="A214" t="str">
        <x:v>DOS-5-013</x:v>
      </x:c>
      <x:c r="B214" t="str">
        <x:v>Not Mailed</x:v>
      </x:c>
      <x:c r="C214" s="55"/>
      <x:c r="D214" t="str">
        <x:v>No Response</x:v>
      </x:c>
      <x:c r="E214" t="str"/>
      <x:c r="F214" t="n">
        <x:v>5</x:v>
      </x:c>
      <x:c r="G214" t="str">
        <x:v>PROPERTY OWNER</x:v>
      </x:c>
      <x:c r="H214" t="str"/>
      <x:c r="I214" t="n">
        <x:v>0</x:v>
      </x:c>
      <x:c r="J214" t="str">
        <x:v>221-10 JAMAICA AVENUE, 3RD FLOOR, QUEENS VILLAGE, NY, 11428</x:v>
      </x:c>
      <x:c r="K214" t="str">
        <x:v>DOS address corroborated by ACRIS</x:v>
      </x:c>
      <x:c r="L214" t="n">
        <x:v>5</x:v>
      </x:c>
      <x:c r="M214" t="n">
        <x:v>12</x:v>
      </x:c>
      <x:c r="N214" t="str">
        <x:v>215 PROPERTIES LLC | 767 BLAKE AVENUE LLC | 967 PUTNAM AVENUE LLC | BERGEN STREET PROPERTIES LLC | LEX REX LLC</x:v>
      </x:c>
      <x:c r="O214" t="str">
        <x:v>102 RALPH AVENUE, NY 11221 | 110 MARTIN L KING PLACE, NY 11206 | 1119 LAFAYETTE AVENUE, NY 11221 | 145 ALBANY AVENUE, NY 11213 | 177 KNICKERBOCKER AVENUE, NY 11237 | 275 MALCOLM X BOULEVARD, NY 11233 | 298 ARLINGTON AVENUE, NY 11208 | 433 MILFORD STREET, NY 11208 | 563 HOWARD AVENUE, NY 11233 | 593 NEW LOTS AVENUE, NY 11207 | 767 BLAKE AVENUE, NY 11207 | 967 PUTNAM AVENUE, NY 11221</x:v>
      </x:c>
      <x:c r="P214" t="n">
        <x:v>5</x:v>
      </x:c>
      <x:c r="Q214" s="15" t="n">
        <x:v>1</x:v>
      </x:c>
      <x:c r="R214" t="n">
        <x:v>3</x:v>
      </x:c>
      <x:c r="S214" t="str">
        <x:v>Strong DOS address corroboration</x:v>
      </x:c>
      <x:c r="T214" t="str">
        <x:v>No</x:v>
      </x:c>
      <x:c r="U214" t="n">
        <x:v>100</x:v>
      </x:c>
      <x:c r="V214" t="str">
        <x:v>https://data.ny.gov/Economic-Development/Active-Corporations-Beginning-1800/n9v6-gdp6</x:v>
      </x:c>
    </x:row>
    <x:row r="215">
      <x:c r="A215" t="str">
        <x:v>DOS-5-014</x:v>
      </x:c>
      <x:c r="B215" t="str">
        <x:v>Not Mailed</x:v>
      </x:c>
      <x:c r="C215" s="55"/>
      <x:c r="D215" t="str">
        <x:v>No Response</x:v>
      </x:c>
      <x:c r="E215" t="str"/>
      <x:c r="F215" t="n">
        <x:v>5</x:v>
      </x:c>
      <x:c r="G215" t="str">
        <x:v>PROPERTY OWNER</x:v>
      </x:c>
      <x:c r="H215" t="str">
        <x:v>LEON GOLDENBERG</x:v>
      </x:c>
      <x:c r="I215" t="n">
        <x:v>1</x:v>
      </x:c>
      <x:c r="J215" t="str">
        <x:v>1360 EAST 14TH STREET, BROOKLYN, NY, 11230</x:v>
      </x:c>
      <x:c r="K215" t="str">
        <x:v>DOS address corroborated by ACRIS</x:v>
      </x:c>
      <x:c r="L215" t="n">
        <x:v>5</x:v>
      </x:c>
      <x:c r="M215" t="n">
        <x:v>12</x:v>
      </x:c>
      <x:c r="N215" t="str">
        <x:v>BAUGHMAN REALTY LLC | ESSEX PACKAGE REALTY LLC | KLANSTUY REALTY LLC 25 | PACIFIC STREET EQUITIES LLC | THREE BROTHERS PROPERTIES LLC</x:v>
      </x:c>
      <x:c r="O215" t="str">
        <x:v>1126 FULTON STREET, NY 11238 | 1128 FULTON STREET, NY 11238 | 1273 PACIFIC STREET, NY 11216 | 20 BAUGHMAN PLACE, NY 11234 | 363 EAST 21 STREET APT 11, NY 11226 | 363 SUMPTER STREET APT 6, NY 11233 | 369 SUMPTER STREET APT 6, NY 11233 | 371 SUMPTER STREET APT 6, NY 11233 | 373 SUMPTER STREET APT 6, NY 11233 | 4910 NEW UTRECHT AVENUE, NY 11219 | 763 GREENE AVENUE, NY 11221 | 767 GREENE AVENUE, NY 11221</x:v>
      </x:c>
      <x:c r="P215" t="n">
        <x:v>4</x:v>
      </x:c>
      <x:c r="Q215" s="15" t="n">
        <x:v>0.8</x:v>
      </x:c>
      <x:c r="R215" t="n">
        <x:v>4</x:v>
      </x:c>
      <x:c r="S215" t="str">
        <x:v>Strong DOS address corroboration</x:v>
      </x:c>
      <x:c r="T215" t="str">
        <x:v>No</x:v>
      </x:c>
      <x:c r="U215" t="n">
        <x:v>100</x:v>
      </x:c>
      <x:c r="V215" t="str">
        <x:v>https://data.ny.gov/Economic-Development/Active-Corporations-Beginning-1800/n9v6-gdp6</x:v>
      </x:c>
    </x:row>
    <x:row r="216">
      <x:c r="A216" t="str">
        <x:v>DOS-5-015</x:v>
      </x:c>
      <x:c r="B216" t="str">
        <x:v>Not Mailed</x:v>
      </x:c>
      <x:c r="C216" s="55"/>
      <x:c r="D216" t="str">
        <x:v>No Response</x:v>
      </x:c>
      <x:c r="E216" t="str"/>
      <x:c r="F216" t="n">
        <x:v>5</x:v>
      </x:c>
      <x:c r="G216" t="str">
        <x:v>MICHAEL REZNIK</x:v>
      </x:c>
      <x:c r="H216" t="str">
        <x:v>MICHAEL REZNIK</x:v>
      </x:c>
      <x:c r="I216" t="n">
        <x:v>2</x:v>
      </x:c>
      <x:c r="J216" t="str">
        <x:v>14 Garden St, Great Neck, NY, 11021</x:v>
      </x:c>
      <x:c r="K216" t="str">
        <x:v>DOS address corroborated by ACRIS</x:v>
      </x:c>
      <x:c r="L216" t="n">
        <x:v>5</x:v>
      </x:c>
      <x:c r="M216" t="n">
        <x:v>12</x:v>
      </x:c>
      <x:c r="N216" t="str">
        <x:v>1162 GREENE AVE LLC | REZNIK CAPITAL LLC | WH CAPITAL 171 LLC | WH CAPITAL LLC | YSR CAPITAL LLC</x:v>
      </x:c>
      <x:c r="O216" t="str">
        <x:v>1162 GREENE AVENUE, NY 11221 | 563 WEST 170 STREET APT CFA, NY 10032 | 563 WEST 170 STREET APT CFB, NY 10032 | 563 WEST 170 STREET APT R1, NY 10032 | 563 WEST 170TH STREET, NY 10032 | 564 WEST 171 STREET, NY 10032 | 64-34 BOOTH STREET, NY 11374 | 70-25A PARK DRIVE EAST APT A, NY 11367 | 70-39A PARK DRIVE EAST APT A, NY 11367 | 70-67B PARK DRIVE EAST APT B, NY 11367 | 71 SOUTH 4 STREET, NY 11249 | 965 ST JOHNS PLACE, NY 11213</x:v>
      </x:c>
      <x:c r="P216" t="n">
        <x:v>5</x:v>
      </x:c>
      <x:c r="Q216" s="15" t="n">
        <x:v>1</x:v>
      </x:c>
      <x:c r="R216" t="n">
        <x:v>2</x:v>
      </x:c>
      <x:c r="S216" t="str">
        <x:v>Strong DOS address corroboration</x:v>
      </x:c>
      <x:c r="T216" t="str">
        <x:v>No</x:v>
      </x:c>
      <x:c r="U216" t="n">
        <x:v>100</x:v>
      </x:c>
      <x:c r="V216" t="str">
        <x:v>https://data.ny.gov/Economic-Development/Active-Corporations-Beginning-1800/n9v6-gdp6</x:v>
      </x:c>
    </x:row>
    <x:row r="217">
      <x:c r="A217" t="str">
        <x:v>DOS-5-016</x:v>
      </x:c>
      <x:c r="B217" t="str">
        <x:v>Not Mailed</x:v>
      </x:c>
      <x:c r="C217" s="55"/>
      <x:c r="D217" t="str">
        <x:v>No Response</x:v>
      </x:c>
      <x:c r="E217" t="str"/>
      <x:c r="F217" t="n">
        <x:v>5</x:v>
      </x:c>
      <x:c r="G217" t="str">
        <x:v>PROPERTY OWNER</x:v>
      </x:c>
      <x:c r="H217" t="str"/>
      <x:c r="I217" t="n">
        <x:v>0</x:v>
      </x:c>
      <x:c r="J217" t="str">
        <x:v>29 BARSTOW ROAD, GREAT NECK, NY, 11021, US</x:v>
      </x:c>
      <x:c r="K217" t="str">
        <x:v>ACRIS deed-party address</x:v>
      </x:c>
      <x:c r="L217" t="n">
        <x:v>5</x:v>
      </x:c>
      <x:c r="M217" t="n">
        <x:v>12</x:v>
      </x:c>
      <x:c r="N217" t="str">
        <x:v>1628 SECOND AVENUE RETAIL LLC | 170 WEST 75TH STREET RETAIL LLC | 203 WEST 90TH STREET RETAIL LLC | 215 WEST 90TH STREET RETAIL LLC | 235 WEST 102ND STREET RETAIL LLC</x:v>
      </x:c>
      <x:c r="O217" t="str">
        <x:v>1628 2 AVENUE APT COM, NY 10028 | 203 WEST 90TH ST APT FFCR, NY 10024 | 215 WEST 90 STREET APT RETL1, NY 10024 | 215 WEST 90 STREET APT RETL2, NY 10024 | 215 WEST 90 STREET APT RETL3, NY 10024 | 215 WEST 90 STREET APT RETL4, NY 10024 | 215 WEST 90 STREET APT RETL5, NY 10024 | 215 WEST 90 STREET APT RETL6, NY 10024 | 215 WEST 90 STREET APT RETL7, NY 10024 | 215 WEST 90 STREET APT RETL8, NY 10024 | 2681 BROADWAY APT COM, NY 10025 | 311 AMSTERDAM AVENUE APT COM, NY 10023</x:v>
      </x:c>
      <x:c r="P217" t="n">
        <x:v>5</x:v>
      </x:c>
      <x:c r="Q217" s="15" t="n">
        <x:v>1</x:v>
      </x:c>
      <x:c r="R217" t="n">
        <x:v>0</x:v>
      </x:c>
      <x:c r="S217" t="str">
        <x:v>Shared DOS address</x:v>
      </x:c>
      <x:c r="T217" t="str">
        <x:v>No</x:v>
      </x:c>
      <x:c r="U217" t="n">
        <x:v>100</x:v>
      </x:c>
      <x:c r="V217" t="str">
        <x:v>https://data.ny.gov/Economic-Development/Active-Corporations-Beginning-1800/n9v6-gdp6</x:v>
      </x:c>
    </x:row>
    <x:row r="218">
      <x:c r="A218" t="str">
        <x:v>DOS-5-017</x:v>
      </x:c>
      <x:c r="B218" t="str">
        <x:v>Not Mailed</x:v>
      </x:c>
      <x:c r="C218" s="55"/>
      <x:c r="D218" t="str">
        <x:v>No Response</x:v>
      </x:c>
      <x:c r="E218" t="str"/>
      <x:c r="F218" t="n">
        <x:v>5</x:v>
      </x:c>
      <x:c r="G218" t="str">
        <x:v>PROPERTY OWNER</x:v>
      </x:c>
      <x:c r="H218" t="str">
        <x:v>SUSAN WU</x:v>
      </x:c>
      <x:c r="I218" t="n">
        <x:v>1</x:v>
      </x:c>
      <x:c r="J218" t="str">
        <x:v>60 Cuttermill Road Suite 405, Great Neck, NY, 11021</x:v>
      </x:c>
      <x:c r="K218" t="str">
        <x:v>DOS address corroborated by ACRIS</x:v>
      </x:c>
      <x:c r="L218" t="n">
        <x:v>5</x:v>
      </x:c>
      <x:c r="M218" t="n">
        <x:v>12</x:v>
      </x:c>
      <x:c r="N218" t="str">
        <x:v>46 34 11 ST HOLDING LLC | JACKSON 2524 RETAIL LLC | SWU LLC | ZDJ DAVIS 45 LLC | ZDJ GREENPOINT LLC</x:v>
      </x:c>
      <x:c r="O218" t="str">
        <x:v>10-56 46TH ROAD, NY 11101 | 25-24 JACKSON AVENUE APT 1A, NY 11101 | 25-24 JACKSON AVENUE APT 1B, NY 11101 | 27-03 THOMSON AVENUE APT C1, NY 11101 | 44-33 45 STREET, NY 11104 | 45-07 COURT SQUARE APT S7, NY 11101 | 45-07 COURT SQUARE APT S8, NY 11101 | 45-30 PEARSON STREET APT PH4A, NY 11101 | 45-33 DAVIS STREET, NY 11101 | 45-39 DAVIS STREET, NY 11101 | 45-40 PEARSON STREET, NY 11101 | 45-43 DAVIS STREET, NY 11101</x:v>
      </x:c>
      <x:c r="P218" t="n">
        <x:v>5</x:v>
      </x:c>
      <x:c r="Q218" s="15" t="n">
        <x:v>1</x:v>
      </x:c>
      <x:c r="R218" t="n">
        <x:v>5</x:v>
      </x:c>
      <x:c r="S218" t="str">
        <x:v>Strong DOS address corroboration</x:v>
      </x:c>
      <x:c r="T218" t="str">
        <x:v>No</x:v>
      </x:c>
      <x:c r="U218" t="n">
        <x:v>100</x:v>
      </x:c>
      <x:c r="V218" t="str">
        <x:v>https://data.ny.gov/Economic-Development/Active-Corporations-Beginning-1800/n9v6-gdp6</x:v>
      </x:c>
    </x:row>
    <x:row r="219">
      <x:c r="A219" t="str">
        <x:v>DOS-5-018</x:v>
      </x:c>
      <x:c r="B219" t="str">
        <x:v>Not Mailed</x:v>
      </x:c>
      <x:c r="C219" s="55"/>
      <x:c r="D219" t="str">
        <x:v>No Response</x:v>
      </x:c>
      <x:c r="E219" t="str"/>
      <x:c r="F219" t="n">
        <x:v>5</x:v>
      </x:c>
      <x:c r="G219" t="str">
        <x:v>JAMES IP</x:v>
      </x:c>
      <x:c r="H219" t="str">
        <x:v>JAMES IP</x:v>
      </x:c>
      <x:c r="I219" t="n">
        <x:v>4</x:v>
      </x:c>
      <x:c r="J219" t="str">
        <x:v>18-20 COLLEGE POINT BLVD, COLLEGE POINT, NY, 11356</x:v>
      </x:c>
      <x:c r="K219" t="str">
        <x:v>DOS address corroborated by ACRIS</x:v>
      </x:c>
      <x:c r="L219" t="n">
        <x:v>5</x:v>
      </x:c>
      <x:c r="M219" t="n">
        <x:v>11</x:v>
      </x:c>
      <x:c r="N219" t="str">
        <x:v>116 CP LLC | 122 COLLEGE POINT LLC | 182 COLLEGE POINT LLC | 201 COLLEGE POINT LLC | 870 ELMHURST LLC</x:v>
      </x:c>
      <x:c r="O219" t="str">
        <x:v>10-36 116 STREET, NY 11356 | 122-11 11 AVENUE, NY 11356 | 122-15 22 AVENUE, NY 11356 | 18-28 COLLEGE POINT BLVD | 20-12 COLLEGE POINT BLVD, NY 11356 | 20-17 COLLEGE POINT BLVD, NY 11356 | 43-70 SMART STREET, NY 11355 | 58-13 WOODSIDE AVENUE, NY 11377 | 7-24 126 STREET, NY 11356 | 87-07 58 AVENUE, NY 11373 | SEABURY STREET</x:v>
      </x:c>
      <x:c r="P219" t="n">
        <x:v>5</x:v>
      </x:c>
      <x:c r="Q219" s="15" t="n">
        <x:v>1</x:v>
      </x:c>
      <x:c r="R219" t="n">
        <x:v>4</x:v>
      </x:c>
      <x:c r="S219" t="str">
        <x:v>Strong DOS address corroboration</x:v>
      </x:c>
      <x:c r="T219" t="str">
        <x:v>No</x:v>
      </x:c>
      <x:c r="U219" t="n">
        <x:v>100</x:v>
      </x:c>
      <x:c r="V219" t="str">
        <x:v>https://data.ny.gov/Economic-Development/Active-Corporations-Beginning-1800/n9v6-gdp6</x:v>
      </x:c>
    </x:row>
    <x:row r="220">
      <x:c r="A220" t="str">
        <x:v>DOS-5-019</x:v>
      </x:c>
      <x:c r="B220" t="str">
        <x:v>Not Mailed</x:v>
      </x:c>
      <x:c r="C220" s="55"/>
      <x:c r="D220" t="str">
        <x:v>No Response</x:v>
      </x:c>
      <x:c r="E220" t="str"/>
      <x:c r="F220" t="n">
        <x:v>5</x:v>
      </x:c>
      <x:c r="G220" t="str">
        <x:v>PROPERTY OWNER</x:v>
      </x:c>
      <x:c r="H220" t="str">
        <x:v>Law Office of Alan J Sasson</x:v>
      </x:c>
      <x:c r="I220" t="n">
        <x:v>1</x:v>
      </x:c>
      <x:c r="J220" t="str">
        <x:v>2201 EAST 5TH STREET, BROOKLYN, NY, 11223, US</x:v>
      </x:c>
      <x:c r="K220" t="str">
        <x:v>ACRIS deed-party address</x:v>
      </x:c>
      <x:c r="L220" t="n">
        <x:v>5</x:v>
      </x:c>
      <x:c r="M220" t="n">
        <x:v>11</x:v>
      </x:c>
      <x:c r="N220" t="str">
        <x:v>100 VAN BRUNT HOLDING LLC | 502 AVE U LLC | 72 VAN DYKE HOLDINGS LLC | 75 VAN BRUNT HOLDINGS LLC | 85 COFFEY STREET LLC</x:v>
      </x:c>
      <x:c r="O220" t="str">
        <x:v>502 AVENUE U APT 3, NY 11223 | 51 VAN BRUNT STREET, NY 11231 | 60 DEGRAW STREET, NY 11231 | 63 SACKETT STREET, NY 11231 | 65 SACKETT STREET, NY 11231 | 67 SACKETT STREET, NY 11231 | 69 SACKETT STREET, NY 11231 | 72 VAN DYKE STREET, NY 11231 | 73 SACKETT STREET, NY 11231 | 75 VAN BRUNT STREET, NY 11231 | 85-87 COFFEY STREET, NY 11231</x:v>
      </x:c>
      <x:c r="P220" t="n">
        <x:v>5</x:v>
      </x:c>
      <x:c r="Q220" s="15" t="n">
        <x:v>1</x:v>
      </x:c>
      <x:c r="R220" t="n">
        <x:v>0</x:v>
      </x:c>
      <x:c r="S220" t="str">
        <x:v>Shared DOS address</x:v>
      </x:c>
      <x:c r="T220" t="str">
        <x:v>No</x:v>
      </x:c>
      <x:c r="U220" t="n">
        <x:v>100</x:v>
      </x:c>
      <x:c r="V220" t="str">
        <x:v>https://data.ny.gov/Economic-Development/Active-Corporations-Beginning-1800/n9v6-gdp6</x:v>
      </x:c>
    </x:row>
    <x:row r="221">
      <x:c r="A221" t="str">
        <x:v>DOS-5-020</x:v>
      </x:c>
      <x:c r="B221" t="str">
        <x:v>Not Mailed</x:v>
      </x:c>
      <x:c r="C221" s="55"/>
      <x:c r="D221" t="str">
        <x:v>No Response</x:v>
      </x:c>
      <x:c r="E221" t="str"/>
      <x:c r="F221" t="n">
        <x:v>5</x:v>
      </x:c>
      <x:c r="G221" t="str">
        <x:v>PROPERTY OWNER</x:v>
      </x:c>
      <x:c r="H221" t="str"/>
      <x:c r="I221" t="n">
        <x:v>0</x:v>
      </x:c>
      <x:c r="J221" t="str">
        <x:v>100 FRONT ST STE 350, CONSHOHOCKEN, PA, 194282889, US</x:v>
      </x:c>
      <x:c r="K221" t="str">
        <x:v>ACRIS deed-party address</x:v>
      </x:c>
      <x:c r="L221" t="n">
        <x:v>5</x:v>
      </x:c>
      <x:c r="M221" t="n">
        <x:v>10</x:v>
      </x:c>
      <x:c r="N221" t="str">
        <x:v>1108 ZEREGA AVE LLC | SPG 250 JOHNSON AVE LLC | SPG 48 55 36TH ST LLC | SPG 58 17 59TH DR LLC | SPG ROCKAWAY LLC</x:v>
      </x:c>
      <x:c r="O221" t="str">
        <x:v>1108 ZEREGA AVENUE, NY 10462 | 144-39 156 STREET, NY 11434 | 144-43 156 STREET, NY 11434 | 145-03 156 STREET, NY 11434 | 167-21 PORTER ROAD, NY 11434 | 175-52 148 ROAD, NY 11434 | 179-12-179-14 149 ROAD, NY 11434 | 250 JOHNSON AVENUE, NY 11206 | 48-55 36 STREET, NY 11101 | 58-17 59 DRIVE, NY 11378</x:v>
      </x:c>
      <x:c r="P221" t="n">
        <x:v>5</x:v>
      </x:c>
      <x:c r="Q221" s="15" t="n">
        <x:v>1</x:v>
      </x:c>
      <x:c r="R221" t="n">
        <x:v>0</x:v>
      </x:c>
      <x:c r="S221" t="str">
        <x:v>Shared DOS address</x:v>
      </x:c>
      <x:c r="T221" t="str">
        <x:v>No</x:v>
      </x:c>
      <x:c r="U221" t="n">
        <x:v>100</x:v>
      </x:c>
      <x:c r="V221" t="str">
        <x:v>https://data.ny.gov/Economic-Development/Active-Corporations-Beginning-1800/n9v6-gdp6</x:v>
      </x:c>
    </x:row>
    <x:row r="222">
      <x:c r="A222" t="str">
        <x:v>DOS-5-021</x:v>
      </x:c>
      <x:c r="B222" t="str">
        <x:v>Not Mailed</x:v>
      </x:c>
      <x:c r="C222" s="55"/>
      <x:c r="D222" t="str">
        <x:v>No Response</x:v>
      </x:c>
      <x:c r="E222" t="str"/>
      <x:c r="F222" t="n">
        <x:v>5</x:v>
      </x:c>
      <x:c r="G222" t="str">
        <x:v>PROPERTY OWNER</x:v>
      </x:c>
      <x:c r="H222" t="str"/>
      <x:c r="I222" t="n">
        <x:v>0</x:v>
      </x:c>
      <x:c r="J222" t="str">
        <x:v>1179 EASTERN PARKWAY, BROOKLYN, NY, 11213</x:v>
      </x:c>
      <x:c r="K222" t="str">
        <x:v>DOS address corroborated by ACRIS</x:v>
      </x:c>
      <x:c r="L222" t="n">
        <x:v>5</x:v>
      </x:c>
      <x:c r="M222" t="n">
        <x:v>10</x:v>
      </x:c>
      <x:c r="N222" t="str">
        <x:v>10502 VAN WHYCK EXP LLC | 110 42 198TH ST LLC | CROSSBORDER AMERICA PROPERTIES LLC | SALIS RECOVERY PLAN LLC | SALIS RETIREMENT AND PENSION PLAN LLC</x:v>
      </x:c>
      <x:c r="O222" t="str">
        <x:v>102-21 213 STREET, NY 11429 | 105-02 VAN WYCK EXPRESSWAY, NY 11419 | 1063 NEW JERSEY AVENUE APT 2-A A, NY 11207 | 110-42 198 STREET, NY 11412 | 12421 FLATLANDS AVENUE APT 6B, NY 11208 | 143-27 230 PLACE, NY 11413 | 3424 TIEMANN AVENUE, NY 10469 | 638 HALSEY STREET, NY 11233 | 760 WORTMAN AVENUE, NY 11208 | WORTMAN AVENUE</x:v>
      </x:c>
      <x:c r="P222" t="n">
        <x:v>4</x:v>
      </x:c>
      <x:c r="Q222" s="15" t="n">
        <x:v>0.8</x:v>
      </x:c>
      <x:c r="R222" t="n">
        <x:v>3</x:v>
      </x:c>
      <x:c r="S222" t="str">
        <x:v>Strong DOS address corroboration</x:v>
      </x:c>
      <x:c r="T222" t="str">
        <x:v>No</x:v>
      </x:c>
      <x:c r="U222" t="n">
        <x:v>100</x:v>
      </x:c>
      <x:c r="V222" t="str">
        <x:v>https://data.ny.gov/Economic-Development/Active-Corporations-Beginning-1800/n9v6-gdp6</x:v>
      </x:c>
    </x:row>
    <x:row r="223">
      <x:c r="A223" t="str">
        <x:v>DOS-5-022</x:v>
      </x:c>
      <x:c r="B223" t="str">
        <x:v>Not Mailed</x:v>
      </x:c>
      <x:c r="C223" s="55"/>
      <x:c r="D223" t="str">
        <x:v>No Response</x:v>
      </x:c>
      <x:c r="E223" t="str"/>
      <x:c r="F223" t="n">
        <x:v>5</x:v>
      </x:c>
      <x:c r="G223" t="str">
        <x:v>PROPERTY OWNER</x:v>
      </x:c>
      <x:c r="H223" t="str"/>
      <x:c r="I223" t="n">
        <x:v>0</x:v>
      </x:c>
      <x:c r="J223" t="str">
        <x:v>2604 AVE U, BROOKLYN, NY, 11229</x:v>
      </x:c>
      <x:c r="K223" t="str">
        <x:v>DOS address corroborated by ACRIS</x:v>
      </x:c>
      <x:c r="L223" t="n">
        <x:v>5</x:v>
      </x:c>
      <x:c r="M223" t="n">
        <x:v>10</x:v>
      </x:c>
      <x:c r="N223" t="str">
        <x:v>2071 HARING REALTY LLC | 2073 HARING REALTY LLC | 2503 AVENUE U REALTY LLC | 2715 AVENUE U LLC | 2717 AVENUE U REALTY LLC</x:v>
      </x:c>
      <x:c r="O223" t="str">
        <x:v>2071 HARING STREET, NY 11229 | 2073 HARING STREET, NY 11229 | 2503 AVENUE U, NY 11229 | 2715 AVENUE U, NY 11229 | 2717 AVENUE U, NY 11229 | HARING STREET</x:v>
      </x:c>
      <x:c r="P223" t="n">
        <x:v>4</x:v>
      </x:c>
      <x:c r="Q223" s="15" t="n">
        <x:v>0.8</x:v>
      </x:c>
      <x:c r="R223" t="n">
        <x:v>1</x:v>
      </x:c>
      <x:c r="S223" t="str">
        <x:v>Shared DOS address</x:v>
      </x:c>
      <x:c r="T223" t="str">
        <x:v>No</x:v>
      </x:c>
      <x:c r="U223" t="n">
        <x:v>100</x:v>
      </x:c>
      <x:c r="V223" t="str">
        <x:v>https://data.ny.gov/Economic-Development/Active-Corporations-Beginning-1800/n9v6-gdp6</x:v>
      </x:c>
    </x:row>
    <x:row r="224">
      <x:c r="A224" t="str">
        <x:v>DOS-5-023</x:v>
      </x:c>
      <x:c r="B224" t="str">
        <x:v>Not Mailed</x:v>
      </x:c>
      <x:c r="C224" s="55"/>
      <x:c r="D224" t="str">
        <x:v>No Response</x:v>
      </x:c>
      <x:c r="E224" t="str"/>
      <x:c r="F224" t="n">
        <x:v>5</x:v>
      </x:c>
      <x:c r="G224" t="str">
        <x:v>PROPERTY OWNER</x:v>
      </x:c>
      <x:c r="H224" t="str"/>
      <x:c r="I224" t="n">
        <x:v>0</x:v>
      </x:c>
      <x:c r="J224" t="str">
        <x:v>263 ROBBY LANE, NEW HYDE PARK, NY, 11040</x:v>
      </x:c>
      <x:c r="K224" t="str">
        <x:v>DOS address corroborated by ACRIS</x:v>
      </x:c>
      <x:c r="L224" t="n">
        <x:v>5</x:v>
      </x:c>
      <x:c r="M224" t="n">
        <x:v>10</x:v>
      </x:c>
      <x:c r="N224" t="str">
        <x:v>49 BAY LLC | CEDAR MANOR HERITAGE LLC | PIANO BUILDING PRODUCTS LLC | PRIME TIDE LLC | TULIP VOYAGE LLC</x:v>
      </x:c>
      <x:c r="O224" t="str">
        <x:v>112-17 159 STREET, NY 11433 | 139 BAY 49 STREET, NY 11214 | 157 STREET | 157-11 LINDEN BOULEVARD, NY 11434 | 159 STREET | 159-05 MEYER AVENUE, NY 11433 | 160 STREET | 190-12 JAMAICA AVENUE, NY 11423 | MEYER AVENUE</x:v>
      </x:c>
      <x:c r="P224" t="n">
        <x:v>5</x:v>
      </x:c>
      <x:c r="Q224" s="15" t="n">
        <x:v>1</x:v>
      </x:c>
      <x:c r="R224" t="n">
        <x:v>5</x:v>
      </x:c>
      <x:c r="S224" t="str">
        <x:v>Strong DOS address corroboration</x:v>
      </x:c>
      <x:c r="T224" t="str">
        <x:v>No</x:v>
      </x:c>
      <x:c r="U224" t="n">
        <x:v>100</x:v>
      </x:c>
      <x:c r="V224" t="str">
        <x:v>https://data.ny.gov/Economic-Development/Active-Corporations-Beginning-1800/n9v6-gdp6</x:v>
      </x:c>
    </x:row>
    <x:row r="225">
      <x:c r="A225" t="str">
        <x:v>DOS-5-024</x:v>
      </x:c>
      <x:c r="B225" t="str">
        <x:v>Not Mailed</x:v>
      </x:c>
      <x:c r="C225" s="55"/>
      <x:c r="D225" t="str">
        <x:v>No Response</x:v>
      </x:c>
      <x:c r="E225" t="str"/>
      <x:c r="F225" t="n">
        <x:v>5</x:v>
      </x:c>
      <x:c r="G225" t="str">
        <x:v>PROPERTY OWNER</x:v>
      </x:c>
      <x:c r="H225" t="str"/>
      <x:c r="I225" t="n">
        <x:v>0</x:v>
      </x:c>
      <x:c r="J225" t="str">
        <x:v>3016 UNION BOULEVARD, EAST ISLIP, NY, 11730</x:v>
      </x:c>
      <x:c r="K225" t="str">
        <x:v>DOS address corroborated by ACRIS</x:v>
      </x:c>
      <x:c r="L225" t="n">
        <x:v>5</x:v>
      </x:c>
      <x:c r="M225" t="n">
        <x:v>10</x:v>
      </x:c>
      <x:c r="N225" t="str">
        <x:v>132 12 LLC | 31 13 LLC | 9466 LLC | KLC PROPERTIES LLC | KLC SANFORD LLC</x:v>
      </x:c>
      <x:c r="O225" t="str">
        <x:v>100-11 40 ROAD, NY 11368 | 108-20 38 AVENUE, NY 11368 | 108-22 38 AVENUE, NY 11368 | 132-10 41 ROAD, NY 11355 | 132-15 SANFORD AVENUE, NY 11355 | 35-29 109 STREET, NY 11368 | 54-21 102 STREET, NY 11368 | 54-25 102 STREET, NY 11368 | 62-16 39 AVENUE, NY 11377 | 94-68 45 AVENUE, NY 11373</x:v>
      </x:c>
      <x:c r="P225" t="n">
        <x:v>5</x:v>
      </x:c>
      <x:c r="Q225" s="15" t="n">
        <x:v>1</x:v>
      </x:c>
      <x:c r="R225" t="n">
        <x:v>3</x:v>
      </x:c>
      <x:c r="S225" t="str">
        <x:v>Strong DOS address corroboration</x:v>
      </x:c>
      <x:c r="T225" t="str">
        <x:v>No</x:v>
      </x:c>
      <x:c r="U225" t="n">
        <x:v>100</x:v>
      </x:c>
      <x:c r="V225" t="str">
        <x:v>https://data.ny.gov/Economic-Development/Active-Corporations-Beginning-1800/n9v6-gdp6</x:v>
      </x:c>
    </x:row>
    <x:row r="226">
      <x:c r="A226" t="str">
        <x:v>DOS-5-025</x:v>
      </x:c>
      <x:c r="B226" t="str">
        <x:v>Not Mailed</x:v>
      </x:c>
      <x:c r="C226" s="55"/>
      <x:c r="D226" t="str">
        <x:v>No Response</x:v>
      </x:c>
      <x:c r="E226" t="str"/>
      <x:c r="F226" t="n">
        <x:v>5</x:v>
      </x:c>
      <x:c r="G226" t="str">
        <x:v>NATHANIEL M. SWERGOLD</x:v>
      </x:c>
      <x:c r="H226" t="str">
        <x:v>NATHANIEL M. SWERGOLD</x:v>
      </x:c>
      <x:c r="I226" t="n">
        <x:v>5</x:v>
      </x:c>
      <x:c r="J226" t="str">
        <x:v>60 MONTGOMERY BLVD, ATLANTIC BEACH, NY, 11509, US</x:v>
      </x:c>
      <x:c r="K226" t="str">
        <x:v>ACRIS deed-party address</x:v>
      </x:c>
      <x:c r="L226" t="n">
        <x:v>5</x:v>
      </x:c>
      <x:c r="M226" t="n">
        <x:v>10</x:v>
      </x:c>
      <x:c r="N226" t="str">
        <x:v>SBBK A LLC | SBBK B LLC | SBBK C LLC | SBBK D LLC | SBBK E LLC</x:v>
      </x:c>
      <x:c r="O226" t="str">
        <x:v>10-34 BEACH 20 STREET, NY 11691 | 10-55 BEACH 20 STREET, NY 11691 | 10-62 BEACH 21 STREET, NY 11691 | 183 BEACH 27 STREET, NY 11691 | 183A BEACH 27 STREET, NY 11691 | 199 BEACH 27 STREET, NY 11691 | 514-514-30 BEACH 20 STREET, NY 11691 | 611 BEACH 20 STREET, NY 11691 | 615 BEACH 20 STREET, NY 11691 | BEACH 27 STREET</x:v>
      </x:c>
      <x:c r="P226" t="n">
        <x:v>5</x:v>
      </x:c>
      <x:c r="Q226" s="15" t="n">
        <x:v>1</x:v>
      </x:c>
      <x:c r="R226" t="n">
        <x:v>0</x:v>
      </x:c>
      <x:c r="S226" t="str">
        <x:v>Shared DOS address</x:v>
      </x:c>
      <x:c r="T226" t="str">
        <x:v>No</x:v>
      </x:c>
      <x:c r="U226" t="n">
        <x:v>100</x:v>
      </x:c>
      <x:c r="V226" t="str">
        <x:v>https://data.ny.gov/Economic-Development/Active-Corporations-Beginning-1800/n9v6-gdp6</x:v>
      </x:c>
    </x:row>
    <x:row r="227">
      <x:c r="A227" t="str">
        <x:v>DOS-5-026</x:v>
      </x:c>
      <x:c r="B227" t="str">
        <x:v>Not Mailed</x:v>
      </x:c>
      <x:c r="C227" s="55"/>
      <x:c r="D227" t="str">
        <x:v>No Response</x:v>
      </x:c>
      <x:c r="E227" t="str"/>
      <x:c r="F227" t="n">
        <x:v>5</x:v>
      </x:c>
      <x:c r="G227" t="str">
        <x:v>VLASH PEPA</x:v>
      </x:c>
      <x:c r="H227" t="str">
        <x:v>VLASH PEPA</x:v>
      </x:c>
      <x:c r="I227" t="n">
        <x:v>2</x:v>
      </x:c>
      <x:c r="J227" t="str">
        <x:v>138-39 78TH AVENUE, FLUSHING, NY, 11367, US</x:v>
      </x:c>
      <x:c r="K227" t="str">
        <x:v>ACRIS deed-party address</x:v>
      </x:c>
      <x:c r="L227" t="n">
        <x:v>5</x:v>
      </x:c>
      <x:c r="M227" t="n">
        <x:v>9</x:v>
      </x:c>
      <x:c r="N227" t="str">
        <x:v>FABIO REALTY LLC | GABRIELA S REALTY LLC | GABRIELAS REALTY LLC | NIKOLIN REALTY LLC | VINNY S REALTY LLC</x:v>
      </x:c>
      <x:c r="O227" t="str">
        <x:v>107-15 NORTHERN BOULEVARD, NY 11368 | 109-40 CORONA AVENUE, NY 11368 | 149-39 83 STREET, NY 11414 | 2-12 BEACH 102 STREET, NY 11694 | 240 BEACH BREEZE PLACE, NY 11692 | 32-69 48 STREET, NY 11103 | 60-19 80 AVENUE, NY 11385 | 71-08 66 STREET, NY 11385 | 71-34 66 STREET, NY 11385</x:v>
      </x:c>
      <x:c r="P227" t="n">
        <x:v>4</x:v>
      </x:c>
      <x:c r="Q227" s="15" t="n">
        <x:v>0.8</x:v>
      </x:c>
      <x:c r="R227" t="n">
        <x:v>2</x:v>
      </x:c>
      <x:c r="S227" t="str">
        <x:v>Strong DOS address corroboration</x:v>
      </x:c>
      <x:c r="T227" t="str">
        <x:v>No</x:v>
      </x:c>
      <x:c r="U227" t="n">
        <x:v>100</x:v>
      </x:c>
      <x:c r="V227" t="str">
        <x:v>https://data.ny.gov/Economic-Development/Active-Corporations-Beginning-1800/n9v6-gdp6</x:v>
      </x:c>
    </x:row>
    <x:row r="228">
      <x:c r="A228" t="str">
        <x:v>DOS-5-027</x:v>
      </x:c>
      <x:c r="B228" t="str">
        <x:v>Not Mailed</x:v>
      </x:c>
      <x:c r="C228" s="55"/>
      <x:c r="D228" t="str">
        <x:v>No Response</x:v>
      </x:c>
      <x:c r="E228" t="str"/>
      <x:c r="F228" t="n">
        <x:v>5</x:v>
      </x:c>
      <x:c r="G228" t="str">
        <x:v>PROPERTY OWNER</x:v>
      </x:c>
      <x:c r="H228" t="str"/>
      <x:c r="I228" t="n">
        <x:v>0</x:v>
      </x:c>
      <x:c r="J228" t="str">
        <x:v>2116 Fulton St, 1st Fl, Brooklyn, NY, 11233</x:v>
      </x:c>
      <x:c r="K228" t="str">
        <x:v>DOS address corroborated by ACRIS</x:v>
      </x:c>
      <x:c r="L228" t="n">
        <x:v>5</x:v>
      </x:c>
      <x:c r="M228" t="n">
        <x:v>9</x:v>
      </x:c>
      <x:c r="N228" t="str">
        <x:v>MTEK 174 JEFFERSON LLC | MTEK CITY LLC | MTEK FRANKLIN LLC | MTEK GOLD LLC | MTEK PARK LLC</x:v>
      </x:c>
      <x:c r="O228" t="str">
        <x:v>1259 MADISON STREET, NY 11221 | 1559 REMSEN AVENUE, NY 11236 | 174 JEFFERSON STREET, NY 11206 | 596 HANCOCK STREET, NY 11233 | 617 GRAND AVENUE, NY 11238 | 72 EAST 7 STREET, NY 11218 | 809 LINCOLN PLACE, NY 11216 | 826 PUTNAM AVENUE, NY 11221 | 912 STERLING PLACE, NY 11216</x:v>
      </x:c>
      <x:c r="P228" t="n">
        <x:v>5</x:v>
      </x:c>
      <x:c r="Q228" s="15" t="n">
        <x:v>1</x:v>
      </x:c>
      <x:c r="R228" t="n">
        <x:v>4</x:v>
      </x:c>
      <x:c r="S228" t="str">
        <x:v>Strong DOS address corroboration</x:v>
      </x:c>
      <x:c r="T228" t="str">
        <x:v>No</x:v>
      </x:c>
      <x:c r="U228" t="n">
        <x:v>100</x:v>
      </x:c>
      <x:c r="V228" t="str">
        <x:v>https://data.ny.gov/Economic-Development/Active-Corporations-Beginning-1800/n9v6-gdp6</x:v>
      </x:c>
    </x:row>
    <x:row r="229">
      <x:c r="A229" t="str">
        <x:v>DOS-5-028</x:v>
      </x:c>
      <x:c r="B229" t="str">
        <x:v>Not Mailed</x:v>
      </x:c>
      <x:c r="C229" s="55"/>
      <x:c r="D229" t="str">
        <x:v>No Response</x:v>
      </x:c>
      <x:c r="E229" t="str"/>
      <x:c r="F229" t="n">
        <x:v>5</x:v>
      </x:c>
      <x:c r="G229" t="str">
        <x:v>PROPERTY OWNER</x:v>
      </x:c>
      <x:c r="H229" t="str"/>
      <x:c r="I229" t="n">
        <x:v>0</x:v>
      </x:c>
      <x:c r="J229" t="str">
        <x:v>245 WILSON AVENUE, BROOKLYN, NY, 11237</x:v>
      </x:c>
      <x:c r="K229" t="str">
        <x:v>DOS address corroborated by ACRIS</x:v>
      </x:c>
      <x:c r="L229" t="n">
        <x:v>5</x:v>
      </x:c>
      <x:c r="M229" t="n">
        <x:v>9</x:v>
      </x:c>
      <x:c r="N229" t="str">
        <x:v>LIBERTY FOR ALL LLC | LIBERTY FOR COLUMBUS LLC | LIBERTY FOR FOUR LLC | MENAHAN GARDENS LLC | SOUTHSIDE MANHATTAN VIEW LLC</x:v>
      </x:c>
      <x:c r="O229" t="str">
        <x:v>253 MOTHER GASTON BLVD, NY 11212 | 27 HOPE STREET, NY 11211 | 29-31 HOPE STREET, NY 11211 | 366 MENAHAN STREET, NY 11237 | 370 MENAHAN STREET, NY 11237 | 671 LIBERTY AVENUE, NY 11207 | 68-10 58 AVENUE, NY 11378 | 720 LIBERTY AVENUE APT 14, NY 11208 | 999 LIBERTY AVENUE, NY 11208</x:v>
      </x:c>
      <x:c r="P229" t="n">
        <x:v>5</x:v>
      </x:c>
      <x:c r="Q229" s="15" t="n">
        <x:v>1</x:v>
      </x:c>
      <x:c r="R229" t="n">
        <x:v>4</x:v>
      </x:c>
      <x:c r="S229" t="str">
        <x:v>Strong DOS address corroboration</x:v>
      </x:c>
      <x:c r="T229" t="str">
        <x:v>No</x:v>
      </x:c>
      <x:c r="U229" t="n">
        <x:v>100</x:v>
      </x:c>
      <x:c r="V229" t="str">
        <x:v>https://data.ny.gov/Economic-Development/Active-Corporations-Beginning-1800/n9v6-gdp6</x:v>
      </x:c>
    </x:row>
    <x:row r="230">
      <x:c r="A230" t="str">
        <x:v>DOS-5-029</x:v>
      </x:c>
      <x:c r="B230" t="str">
        <x:v>Not Mailed</x:v>
      </x:c>
      <x:c r="C230" s="55"/>
      <x:c r="D230" t="str">
        <x:v>No Response</x:v>
      </x:c>
      <x:c r="E230" t="str"/>
      <x:c r="F230" t="n">
        <x:v>5</x:v>
      </x:c>
      <x:c r="G230" t="str">
        <x:v>PROPERTY OWNER</x:v>
      </x:c>
      <x:c r="H230" t="str"/>
      <x:c r="I230" t="n">
        <x:v>0</x:v>
      </x:c>
      <x:c r="J230" t="str">
        <x:v>2821 ASTORIA BLVD, LONG ISLAND CITY, NY, 111022036, US</x:v>
      </x:c>
      <x:c r="K230" t="str">
        <x:v>ACRIS deed-party address</x:v>
      </x:c>
      <x:c r="L230" t="n">
        <x:v>5</x:v>
      </x:c>
      <x:c r="M230" t="n">
        <x:v>9</x:v>
      </x:c>
      <x:c r="N230" t="str">
        <x:v>GRG 12 16 REALTY LLC | GRG 23RD STREET REALTY LLC | GRG 28 03 REALTY LLC | GRG 29 STREET REALTY LLC | TWENTY EIGHT 55 REALTY LLC</x:v>
      </x:c>
      <x:c r="O230" t="str">
        <x:v>25-09 29 STREET, NY 11102 | 25-57 23 STREET, NY 11102 | 27 STREET | 28-03 ASTORIA BOULEVARD, NY 11102 | 29-12 HOYT AVENUE SOUTH, NY 11102 | 29-16 HOYT AVENUE SOUTH, NY 11102 | 31-01 30 AVENUE, NY 11102</x:v>
      </x:c>
      <x:c r="P230" t="n">
        <x:v>5</x:v>
      </x:c>
      <x:c r="Q230" s="15" t="n">
        <x:v>1</x:v>
      </x:c>
      <x:c r="R230" t="n">
        <x:v>0</x:v>
      </x:c>
      <x:c r="S230" t="str">
        <x:v>Shared DOS address</x:v>
      </x:c>
      <x:c r="T230" t="str">
        <x:v>No</x:v>
      </x:c>
      <x:c r="U230" t="n">
        <x:v>100</x:v>
      </x:c>
      <x:c r="V230" t="str">
        <x:v>https://data.ny.gov/Economic-Development/Active-Corporations-Beginning-1800/n9v6-gdp6</x:v>
      </x:c>
    </x:row>
    <x:row r="231">
      <x:c r="A231" t="str">
        <x:v>DOS-5-030</x:v>
      </x:c>
      <x:c r="B231" t="str">
        <x:v>Not Mailed</x:v>
      </x:c>
      <x:c r="C231" s="55"/>
      <x:c r="D231" t="str">
        <x:v>No Response</x:v>
      </x:c>
      <x:c r="E231" t="str"/>
      <x:c r="F231" t="n">
        <x:v>5</x:v>
      </x:c>
      <x:c r="G231" t="str">
        <x:v>PROPERTY OWNER</x:v>
      </x:c>
      <x:c r="H231" t="str"/>
      <x:c r="I231" t="n">
        <x:v>0</x:v>
      </x:c>
      <x:c r="J231" t="str">
        <x:v>32-37 62ND STREET, WOODSIDE, NY, 11377</x:v>
      </x:c>
      <x:c r="K231" t="str">
        <x:v>DOS address corroborated by ACRIS</x:v>
      </x:c>
      <x:c r="L231" t="n">
        <x:v>5</x:v>
      </x:c>
      <x:c r="M231" t="n">
        <x:v>9</x:v>
      </x:c>
      <x:c r="N231" t="str">
        <x:v>14K COMMON LLC | 3H AND L LLC | FLATBUSH AVENUE LLC | HALLMARK MANAGEMENT SOLUTIONS LLC | HUNGSTER LLC</x:v>
      </x:c>
      <x:c r="O231" t="str">
        <x:v>138-35 39 AVENUE APT 14K, NY 11354 | 37-12 PRINCE STREET APT 9D, NY 11354 | 41-54 CASE STREET, NY 11373 | 41-56 CASE STREET, NY 11373 | 41-58 CASE STREET, NY 11373 | 825 FLATBUSH AVENUE, NY 11226 | 93-17 LAMONT AVENUE, NY 11373 | 93-19 LAMONT AVENUE, NY 11373 | 94-05 44 AVENUE, NY 11373</x:v>
      </x:c>
      <x:c r="P231" t="n">
        <x:v>5</x:v>
      </x:c>
      <x:c r="Q231" s="15" t="n">
        <x:v>1</x:v>
      </x:c>
      <x:c r="R231" t="n">
        <x:v>5</x:v>
      </x:c>
      <x:c r="S231" t="str">
        <x:v>Strong DOS address corroboration</x:v>
      </x:c>
      <x:c r="T231" t="str">
        <x:v>No</x:v>
      </x:c>
      <x:c r="U231" t="n">
        <x:v>100</x:v>
      </x:c>
      <x:c r="V231" t="str">
        <x:v>https://data.ny.gov/Economic-Development/Active-Corporations-Beginning-1800/n9v6-gdp6</x:v>
      </x:c>
    </x:row>
    <x:row r="232">
      <x:c r="A232" t="str">
        <x:v>DOS-5-031</x:v>
      </x:c>
      <x:c r="B232" t="str">
        <x:v>Not Mailed</x:v>
      </x:c>
      <x:c r="C232" s="55"/>
      <x:c r="D232" t="str">
        <x:v>No Response</x:v>
      </x:c>
      <x:c r="E232" t="str"/>
      <x:c r="F232" t="n">
        <x:v>5</x:v>
      </x:c>
      <x:c r="G232" t="str">
        <x:v>PROPERTY OWNER</x:v>
      </x:c>
      <x:c r="H232" t="str"/>
      <x:c r="I232" t="n">
        <x:v>0</x:v>
      </x:c>
      <x:c r="J232" t="str">
        <x:v>52-15 LEITH PLACE, LITTLE NECK, NY, 11362</x:v>
      </x:c>
      <x:c r="K232" t="str">
        <x:v>DOS address corroborated by ACRIS</x:v>
      </x:c>
      <x:c r="L232" t="n">
        <x:v>5</x:v>
      </x:c>
      <x:c r="M232" t="n">
        <x:v>9</x:v>
      </x:c>
      <x:c r="N232" t="str">
        <x:v>129 STREET HOLDING LLC | 129TH STREET HOLDING LLC | 155 HOLDING LLC | D AND F HOLDING LLC | NARK HOLDING LLC</x:v>
      </x:c>
      <x:c r="O232" t="str">
        <x:v>106-02 148 STREET, NY 11435 | 126-09 JAMAICA AVENUE, NY 11418 | 129-12 89 AVENUE, NY 11418 | 143-09 95 AVENUE, NY 11435 | 147-24 106 AVENUE, NY 11435 | 89-11 129 STREET, NY 11418 | 89-13 129 STREET, NY 11418 | 89-15 129 STREET, NY 11418 | 97-06 38 AVENUE, NY 11368</x:v>
      </x:c>
      <x:c r="P232" t="n">
        <x:v>4</x:v>
      </x:c>
      <x:c r="Q232" s="15" t="n">
        <x:v>0.8</x:v>
      </x:c>
      <x:c r="R232" t="n">
        <x:v>3</x:v>
      </x:c>
      <x:c r="S232" t="str">
        <x:v>Strong DOS address corroboration</x:v>
      </x:c>
      <x:c r="T232" t="str">
        <x:v>No</x:v>
      </x:c>
      <x:c r="U232" t="n">
        <x:v>100</x:v>
      </x:c>
      <x:c r="V232" t="str">
        <x:v>https://data.ny.gov/Economic-Development/Active-Corporations-Beginning-1800/n9v6-gdp6</x:v>
      </x:c>
    </x:row>
    <x:row r="233">
      <x:c r="A233" t="str">
        <x:v>DOS-5-032</x:v>
      </x:c>
      <x:c r="B233" t="str">
        <x:v>Not Mailed</x:v>
      </x:c>
      <x:c r="C233" s="55"/>
      <x:c r="D233" t="str">
        <x:v>No Response</x:v>
      </x:c>
      <x:c r="E233" t="str"/>
      <x:c r="F233" t="n">
        <x:v>5</x:v>
      </x:c>
      <x:c r="G233" t="str">
        <x:v>PROPERTY OWNER</x:v>
      </x:c>
      <x:c r="H233" t="str"/>
      <x:c r="I233" t="n">
        <x:v>0</x:v>
      </x:c>
      <x:c r="J233" t="str">
        <x:v>5676 RIVERDALE AVENUE, SUITE 307, BRONX, NY, 10471</x:v>
      </x:c>
      <x:c r="K233" t="str">
        <x:v>DOS address corroborated by ACRIS</x:v>
      </x:c>
      <x:c r="L233" t="n">
        <x:v>5</x:v>
      </x:c>
      <x:c r="M233" t="n">
        <x:v>9</x:v>
      </x:c>
      <x:c r="N233" t="str">
        <x:v>1742 1746 UNION LLC | 1746 PRESIDENT LLC | 883 FRANKLIN LLC | PENN 1 LLC | STERLING 1 LLC</x:v>
      </x:c>
      <x:c r="O233" t="str">
        <x:v>1402 STERLING PLACE, NY 11213 | 1408 STERLING PLACE, NY 11213 | 1742 UNION STREET, NY 11213 | 1746 UNION STREET, NY 11213 | 1746-1756 PRESIDENT STREET, NY 11213 | 453 PENNSYLVANIA AVENUE, NY 11207 | 473 PENNSYLVANIA AVENUE, NY 11207 | 479 PENNSYLVANIA AVENUE, NY 11207 | 883-889 FRANKLIN AVENUE, NY 11225</x:v>
      </x:c>
      <x:c r="P233" t="n">
        <x:v>5</x:v>
      </x:c>
      <x:c r="Q233" s="15" t="n">
        <x:v>1</x:v>
      </x:c>
      <x:c r="R233" t="n">
        <x:v>5</x:v>
      </x:c>
      <x:c r="S233" t="str">
        <x:v>Strong DOS address corroboration</x:v>
      </x:c>
      <x:c r="T233" t="str">
        <x:v>No</x:v>
      </x:c>
      <x:c r="U233" t="n">
        <x:v>100</x:v>
      </x:c>
      <x:c r="V233" t="str">
        <x:v>https://data.ny.gov/Economic-Development/Active-Corporations-Beginning-1800/n9v6-gdp6</x:v>
      </x:c>
    </x:row>
    <x:row r="234">
      <x:c r="A234" t="str">
        <x:v>DOS-5-033</x:v>
      </x:c>
      <x:c r="B234" t="str">
        <x:v>Not Mailed</x:v>
      </x:c>
      <x:c r="C234" s="55"/>
      <x:c r="D234" t="str">
        <x:v>No Response</x:v>
      </x:c>
      <x:c r="E234" t="str"/>
      <x:c r="F234" t="n">
        <x:v>5</x:v>
      </x:c>
      <x:c r="G234" t="str">
        <x:v>PROPERTY OWNER</x:v>
      </x:c>
      <x:c r="H234" t="str">
        <x:v>Savad Churgin</x:v>
      </x:c>
      <x:c r="I234" t="n">
        <x:v>1</x:v>
      </x:c>
      <x:c r="J234" t="str">
        <x:v>P O BOX 180, MONSEY, NY, 10952, US</x:v>
      </x:c>
      <x:c r="K234" t="str">
        <x:v>ACRIS deed-party address</x:v>
      </x:c>
      <x:c r="L234" t="n">
        <x:v>5</x:v>
      </x:c>
      <x:c r="M234" t="n">
        <x:v>9</x:v>
      </x:c>
      <x:c r="N234" t="str">
        <x:v>AUSTIN EQUITIES LLC | GLADIATOR CANAL LLC | GLADIATOR REALTY EQUITIES LLC | GRAND MORGAN EQUITIES LLC | LEAR EQUITIES LLC</x:v>
      </x:c>
      <x:c r="O234" t="str">
        <x:v>1039 GRAND STREET, NY 11211 | 1053 METROPOLITAN AVENUE, NY 11211 | 17-10-17-18 FLUSHING AVENUE, NY 11385 | 2680 PARK AVENUE, NY 10451 | 272 MORGAN AVENUE, NY 11211 | 318 MORGAN AVENUE, NY 11211 | 320 MORGAN AVENUE, NY 11211 | 432-440 AUSTIN PLACE, NY 10455 | 53-02 FLUSHING AVENUE, NY 11378</x:v>
      </x:c>
      <x:c r="P234" t="n">
        <x:v>5</x:v>
      </x:c>
      <x:c r="Q234" s="15" t="n">
        <x:v>1</x:v>
      </x:c>
      <x:c r="R234" t="n">
        <x:v>0</x:v>
      </x:c>
      <x:c r="S234" t="str">
        <x:v>Shared DOS address</x:v>
      </x:c>
      <x:c r="T234" t="str">
        <x:v>No</x:v>
      </x:c>
      <x:c r="U234" t="n">
        <x:v>100</x:v>
      </x:c>
      <x:c r="V234" t="str">
        <x:v>https://data.ny.gov/Economic-Development/Active-Corporations-Beginning-1800/n9v6-gdp6</x:v>
      </x:c>
    </x:row>
    <x:row r="235">
      <x:c r="A235" t="str">
        <x:v>DOS-5-034</x:v>
      </x:c>
      <x:c r="B235" t="str">
        <x:v>Not Mailed</x:v>
      </x:c>
      <x:c r="C235" s="55"/>
      <x:c r="D235" t="str">
        <x:v>No Response</x:v>
      </x:c>
      <x:c r="E235" t="str"/>
      <x:c r="F235" t="n">
        <x:v>5</x:v>
      </x:c>
      <x:c r="G235" t="str">
        <x:v>PRESIDENTIAL SERVICES INCORPORATED</x:v>
      </x:c>
      <x:c r="H235" t="str">
        <x:v>PRESIDENTIAL SERVICES INCORPORATED</x:v>
      </x:c>
      <x:c r="I235" t="n">
        <x:v>3</x:v>
      </x:c>
      <x:c r="J235" t="str">
        <x:v>101-15 WOODHAVEN BOULEVARD, OZONE PARK, NY, 11416, US</x:v>
      </x:c>
      <x:c r="K235" t="str">
        <x:v>ACRIS deed-party address</x:v>
      </x:c>
      <x:c r="L235" t="n">
        <x:v>5</x:v>
      </x:c>
      <x:c r="M235" t="n">
        <x:v>8</x:v>
      </x:c>
      <x:c r="N235" t="str">
        <x:v>HASSAN LEASING LLC | QMD IPA LLC | SAJJAD ENTERPRISES LLC | TAQI INDUSTRIES LLC | ZEHRA ESTATES LLC</x:v>
      </x:c>
      <x:c r="O235" t="str">
        <x:v>90-40 144 PLACE, NY 11435 | 93-08 95 STREET, NY 11421 | 97-12 JAMAICA AVENUE, NY 11421 | 97-18 JAMAICA AVENUE, NY 11421 | 97-33 104 STREET, NY 11416 | JAMAICA AVENUE</x:v>
      </x:c>
      <x:c r="P235" t="n">
        <x:v>5</x:v>
      </x:c>
      <x:c r="Q235" s="15" t="n">
        <x:v>1</x:v>
      </x:c>
      <x:c r="R235" t="n">
        <x:v>0</x:v>
      </x:c>
      <x:c r="S235" t="str">
        <x:v>Shared DOS address</x:v>
      </x:c>
      <x:c r="T235" t="str">
        <x:v>No</x:v>
      </x:c>
      <x:c r="U235" t="n">
        <x:v>100</x:v>
      </x:c>
      <x:c r="V235" t="str">
        <x:v>https://data.ny.gov/Economic-Development/Active-Corporations-Beginning-1800/n9v6-gdp6</x:v>
      </x:c>
    </x:row>
    <x:row r="236">
      <x:c r="A236" t="str">
        <x:v>DOS-5-035</x:v>
      </x:c>
      <x:c r="B236" t="str">
        <x:v>Not Mailed</x:v>
      </x:c>
      <x:c r="C236" s="55"/>
      <x:c r="D236" t="str">
        <x:v>No Response</x:v>
      </x:c>
      <x:c r="E236" t="str"/>
      <x:c r="F236" t="n">
        <x:v>5</x:v>
      </x:c>
      <x:c r="G236" t="str">
        <x:v>ISKYO ARONOV</x:v>
      </x:c>
      <x:c r="H236" t="str">
        <x:v>ISKYO ARONOV</x:v>
      </x:c>
      <x:c r="I236" t="n">
        <x:v>3</x:v>
      </x:c>
      <x:c r="J236" t="str">
        <x:v>116-55 QUEENS BLVD SUITE 206, FOREST HILLS, NY, 11375</x:v>
      </x:c>
      <x:c r="K236" t="str">
        <x:v>DOS address corroborated by ACRIS</x:v>
      </x:c>
      <x:c r="L236" t="n">
        <x:v>5</x:v>
      </x:c>
      <x:c r="M236" t="n">
        <x:v>8</x:v>
      </x:c>
      <x:c r="N236" t="str">
        <x:v>175 14TH STREET LLC | 218 QUINCY LLC | 534 NEW LOTS LLC | BRUK EQUITIES LLC | PHASE 2 DEVELOPMENT LLC</x:v>
      </x:c>
      <x:c r="O236" t="str">
        <x:v>1349 FRANKLIN AVENUE APT 2D, NY 10456 | 1349 FRANKLIN AVENUE APT 4C, NY 10456 | 1349 FRANKLIN AVENUE APT 4D, NY 10456 | 1349 FRANKLIN AVENUE APT PK4, NY 10456 | 175 14 STREET, NY 11215 | 218 QUINCY STREET, NY 11216 | 41 BRUCKNER BOULEVARD, NY 10454 | 534 NEW LOTS AVENUE, NY 11207</x:v>
      </x:c>
      <x:c r="P236" t="n">
        <x:v>5</x:v>
      </x:c>
      <x:c r="Q236" s="15" t="n">
        <x:v>1</x:v>
      </x:c>
      <x:c r="R236" t="n">
        <x:v>1</x:v>
      </x:c>
      <x:c r="S236" t="str">
        <x:v>Shared DOS address</x:v>
      </x:c>
      <x:c r="T236" t="str">
        <x:v>No</x:v>
      </x:c>
      <x:c r="U236" t="n">
        <x:v>100</x:v>
      </x:c>
      <x:c r="V236" t="str">
        <x:v>https://data.ny.gov/Economic-Development/Active-Corporations-Beginning-1800/n9v6-gdp6</x:v>
      </x:c>
    </x:row>
    <x:row r="237">
      <x:c r="A237" t="str">
        <x:v>DOS-5-036</x:v>
      </x:c>
      <x:c r="B237" t="str">
        <x:v>Not Mailed</x:v>
      </x:c>
      <x:c r="C237" s="55"/>
      <x:c r="D237" t="str">
        <x:v>No Response</x:v>
      </x:c>
      <x:c r="E237" t="str"/>
      <x:c r="F237" t="n">
        <x:v>5</x:v>
      </x:c>
      <x:c r="G237" t="str">
        <x:v>charles cara</x:v>
      </x:c>
      <x:c r="H237" t="str">
        <x:v>charles cara</x:v>
      </x:c>
      <x:c r="I237" t="n">
        <x:v>4</x:v>
      </x:c>
      <x:c r="J237" t="str">
        <x:v>128 waverly avenue, BROOKLYN, NY, 11205</x:v>
      </x:c>
      <x:c r="K237" t="str">
        <x:v>DOS address corroborated by ACRIS</x:v>
      </x:c>
      <x:c r="L237" t="n">
        <x:v>5</x:v>
      </x:c>
      <x:c r="M237" t="n">
        <x:v>8</x:v>
      </x:c>
      <x:c r="N237" t="str">
        <x:v>31 WASHINGTON STREET LLC | 47 HICKS STREET II LLC | 476 6TH AVENUE OWNER LLC | 81 PEARL STREET II LLC | CLASSON AVENUE 43 LLC</x:v>
      </x:c>
      <x:c r="O237" t="str">
        <x:v>126-132 FRONT STREET, NY 11201 | 212A CLASSON AVENUE, NY 11205 | 31 WASHINGTON STREET APT 1, NY 11201 | 31 WASHINGTON STREET APT 2, NY 11201 | 31 WASHINGTON STREET APT 9, NY 11201 | 31 WASHINGTON STREET APT B, NY 11201 | 47-49 HICKS STREET, NY 11201 | 476 6 AVENUE APT 5, NY 11215</x:v>
      </x:c>
      <x:c r="P237" t="n">
        <x:v>5</x:v>
      </x:c>
      <x:c r="Q237" s="15" t="n">
        <x:v>1</x:v>
      </x:c>
      <x:c r="R237" t="n">
        <x:v>5</x:v>
      </x:c>
      <x:c r="S237" t="str">
        <x:v>Strong DOS address corroboration</x:v>
      </x:c>
      <x:c r="T237" t="str">
        <x:v>No</x:v>
      </x:c>
      <x:c r="U237" t="n">
        <x:v>100</x:v>
      </x:c>
      <x:c r="V237" t="str">
        <x:v>https://data.ny.gov/Economic-Development/Active-Corporations-Beginning-1800/n9v6-gdp6</x:v>
      </x:c>
    </x:row>
    <x:row r="238">
      <x:c r="A238" t="str">
        <x:v>DOS-5-037</x:v>
      </x:c>
      <x:c r="B238" t="str">
        <x:v>Not Mailed</x:v>
      </x:c>
      <x:c r="C238" s="55"/>
      <x:c r="D238" t="str">
        <x:v>No Response</x:v>
      </x:c>
      <x:c r="E238" t="str"/>
      <x:c r="F238" t="n">
        <x:v>5</x:v>
      </x:c>
      <x:c r="G238" t="str">
        <x:v>PROPERTY OWNER</x:v>
      </x:c>
      <x:c r="H238" t="str"/>
      <x:c r="I238" t="n">
        <x:v>0</x:v>
      </x:c>
      <x:c r="J238" t="str">
        <x:v>152 WEST 57TH STREET 17TH FLOOR, NEW YORK, NY, 10019, US</x:v>
      </x:c>
      <x:c r="K238" t="str">
        <x:v>ACRIS deed-party address</x:v>
      </x:c>
      <x:c r="L238" t="n">
        <x:v>5</x:v>
      </x:c>
      <x:c r="M238" t="n">
        <x:v>8</x:v>
      </x:c>
      <x:c r="N238" t="str">
        <x:v>102 NORFOLK OWNER LLC | 99 ALLEN OWNER LLC | CORINTHIAN 50 PARTNERS LLC | HOPE STREET OWNER LLC | LUDLOW STREET OWNER LLC</x:v>
      </x:c>
      <x:c r="O238" t="str">
        <x:v>102 NORFOLK STREET, NY 10002 | 177 LUDLOW STREET, NY 10002 | 330 EAST 38 STREET APT 50D, NY 10016 | 330 EAST 38 STREET APT 50F, NY 10016 | 55 HOPE STREET, NY 11211 | 67 HOPE STREET, NY 11211 | 99 ALLEN STREET, NY 10002 | HOPE STREET</x:v>
      </x:c>
      <x:c r="P238" t="n">
        <x:v>5</x:v>
      </x:c>
      <x:c r="Q238" s="15" t="n">
        <x:v>1</x:v>
      </x:c>
      <x:c r="R238" t="n">
        <x:v>0</x:v>
      </x:c>
      <x:c r="S238" t="str">
        <x:v>Shared DOS address</x:v>
      </x:c>
      <x:c r="T238" t="str">
        <x:v>No</x:v>
      </x:c>
      <x:c r="U238" t="n">
        <x:v>100</x:v>
      </x:c>
      <x:c r="V238" t="str">
        <x:v>https://data.ny.gov/Economic-Development/Active-Corporations-Beginning-1800/n9v6-gdp6</x:v>
      </x:c>
    </x:row>
    <x:row r="239">
      <x:c r="A239" t="str">
        <x:v>DOS-5-038</x:v>
      </x:c>
      <x:c r="B239" t="str">
        <x:v>Not Mailed</x:v>
      </x:c>
      <x:c r="C239" s="55"/>
      <x:c r="D239" t="str">
        <x:v>No Response</x:v>
      </x:c>
      <x:c r="E239" t="str"/>
      <x:c r="F239" t="n">
        <x:v>5</x:v>
      </x:c>
      <x:c r="G239" t="str">
        <x:v>PROPERTY OWNER</x:v>
      </x:c>
      <x:c r="H239" t="str">
        <x:v>SOROOSH FAJIRAM</x:v>
      </x:c>
      <x:c r="I239" t="n">
        <x:v>1</x:v>
      </x:c>
      <x:c r="J239" t="str">
        <x:v>1680 ALBANY AVE, BROOKLYN, NY, 11210, US</x:v>
      </x:c>
      <x:c r="K239" t="str">
        <x:v>ACRIS deed-party address</x:v>
      </x:c>
      <x:c r="L239" t="n">
        <x:v>5</x:v>
      </x:c>
      <x:c r="M239" t="n">
        <x:v>8</x:v>
      </x:c>
      <x:c r="N239" t="str">
        <x:v>118 02 205TH STREET PARTNERS LLC | 1680 ALBANY AVENUE LLC | BSD 1698 ALBANY PARTNERS LLC | BSD 6031 MASPETH PARTNERS LLC | TYH 11829 191 PARTNERS LLC</x:v>
      </x:c>
      <x:c r="O239" t="str">
        <x:v>118 ROAD, NY 11412 | 118-29 191 STREET, NY 11412 | 1680 ALBANY AVENUE, NY 11210 | 1690 ALBANY AVENUE, NY 11210 | 1698 ALBANY AVENUE, NY 11210 | 2297 PACIFIC STREET, NY 11233 | ALBANY AVENUE</x:v>
      </x:c>
      <x:c r="P239" t="n">
        <x:v>5</x:v>
      </x:c>
      <x:c r="Q239" s="15" t="n">
        <x:v>1</x:v>
      </x:c>
      <x:c r="R239" t="n">
        <x:v>1</x:v>
      </x:c>
      <x:c r="S239" t="str">
        <x:v>Active-name matches only</x:v>
      </x:c>
      <x:c r="T239" t="str">
        <x:v>No</x:v>
      </x:c>
      <x:c r="U239" t="n">
        <x:v>100</x:v>
      </x:c>
      <x:c r="V239" t="str">
        <x:v>https://data.ny.gov/Economic-Development/Active-Corporations-Beginning-1800/n9v6-gdp6</x:v>
      </x:c>
    </x:row>
    <x:row r="240">
      <x:c r="A240" t="str">
        <x:v>DOS-5-039</x:v>
      </x:c>
      <x:c r="B240" t="str">
        <x:v>Not Mailed</x:v>
      </x:c>
      <x:c r="C240" s="55"/>
      <x:c r="D240" t="str">
        <x:v>No Response</x:v>
      </x:c>
      <x:c r="E240" t="str"/>
      <x:c r="F240" t="n">
        <x:v>5</x:v>
      </x:c>
      <x:c r="G240" t="str">
        <x:v>PROPERTY OWNER</x:v>
      </x:c>
      <x:c r="H240" t="str"/>
      <x:c r="I240" t="n">
        <x:v>0</x:v>
      </x:c>
      <x:c r="J240" t="str">
        <x:v>20  VESEY STREET, NEW YORK, NY, US</x:v>
      </x:c>
      <x:c r="K240" t="str">
        <x:v>ACRIS deed-party address</x:v>
      </x:c>
      <x:c r="L240" t="n">
        <x:v>5</x:v>
      </x:c>
      <x:c r="M240" t="n">
        <x:v>8</x:v>
      </x:c>
      <x:c r="N240" t="str">
        <x:v>160 172 EAST 85TH STREET LLC | 59 NASSAU STREET LLC | CASTEGA 20 VESEY STREET LLC | CASTEGA 60 WET 10THSTREET LLC | LRC 179 BROADWAY LLC</x:v>
      </x:c>
      <x:c r="O240" t="str">
        <x:v>160 EAST 85 STREET, NY 10028 | 162 EAST 85 STREET, NY 10028 | 164 EAST 85 STREET, NY 10028 | 172 EAST 85 STREET, NY 10028 | 179 BROADWAY, NY 10007 | 20 VESEY STREET, NY 10007 | 25-27 MAIDEN LANE, NY 10038 | 60-62 WEST 10 STREET, NY 10011</x:v>
      </x:c>
      <x:c r="P240" t="n">
        <x:v>3</x:v>
      </x:c>
      <x:c r="Q240" s="15" t="n">
        <x:v>0.6</x:v>
      </x:c>
      <x:c r="R240" t="n">
        <x:v>0</x:v>
      </x:c>
      <x:c r="S240" t="str">
        <x:v>Shared DOS address</x:v>
      </x:c>
      <x:c r="T240" t="str">
        <x:v>No</x:v>
      </x:c>
      <x:c r="U240" t="n">
        <x:v>100</x:v>
      </x:c>
      <x:c r="V240" t="str">
        <x:v>https://data.ny.gov/Economic-Development/Active-Corporations-Beginning-1800/n9v6-gdp6</x:v>
      </x:c>
    </x:row>
    <x:row r="241">
      <x:c r="A241" t="str">
        <x:v>DOS-5-040</x:v>
      </x:c>
      <x:c r="B241" t="str">
        <x:v>Not Mailed</x:v>
      </x:c>
      <x:c r="C241" s="55"/>
      <x:c r="D241" t="str">
        <x:v>No Response</x:v>
      </x:c>
      <x:c r="E241" t="str"/>
      <x:c r="F241" t="n">
        <x:v>5</x:v>
      </x:c>
      <x:c r="G241" t="str">
        <x:v>PROPERTY OWNER</x:v>
      </x:c>
      <x:c r="H241" t="str"/>
      <x:c r="I241" t="n">
        <x:v>0</x:v>
      </x:c>
      <x:c r="J241" t="str">
        <x:v>2123 EAST 7TH STREET, BROOKLYN, NY, 11223, US</x:v>
      </x:c>
      <x:c r="K241" t="str">
        <x:v>ACRIS deed-party address</x:v>
      </x:c>
      <x:c r="L241" t="n">
        <x:v>5</x:v>
      </x:c>
      <x:c r="M241" t="n">
        <x:v>8</x:v>
      </x:c>
      <x:c r="N241" t="str">
        <x:v>1653 E 4TH ST REALTY LLC | 2052 EAST 17 STREET LLC | 2386 EAST 2ND LLC | 960 MYRTLE LLC | M AND L GROUP PROPERTIES LLC</x:v>
      </x:c>
      <x:c r="O241" t="str">
        <x:v>1653 EAST 4 STREET, NY 11230 | 1899 CONEY ISLAND AVENUE, NY 11230 | 1901 CONEY ISLAND AVENUE, NY 11230 | 1907 CONEY ISLAND AVENUE, NY 11230 | 1909 CONEY ISLAND AVENUE, NY 11230 | 2052 EAST 17 STREET, NY 11229 | 2386 EAST 2 STREET, NY 11223 | 960 MYRTLE AVENUE, NY 11206</x:v>
      </x:c>
      <x:c r="P241" t="n">
        <x:v>5</x:v>
      </x:c>
      <x:c r="Q241" s="15" t="n">
        <x:v>1</x:v>
      </x:c>
      <x:c r="R241" t="n">
        <x:v>0</x:v>
      </x:c>
      <x:c r="S241" t="str">
        <x:v>Shared DOS address</x:v>
      </x:c>
      <x:c r="T241" t="str">
        <x:v>No</x:v>
      </x:c>
      <x:c r="U241" t="n">
        <x:v>100</x:v>
      </x:c>
      <x:c r="V241" t="str">
        <x:v>https://data.ny.gov/Economic-Development/Active-Corporations-Beginning-1800/n9v6-gdp6</x:v>
      </x:c>
    </x:row>
    <x:row r="242">
      <x:c r="A242" t="str">
        <x:v>DOS-5-041</x:v>
      </x:c>
      <x:c r="B242" t="str">
        <x:v>Not Mailed</x:v>
      </x:c>
      <x:c r="C242" s="55"/>
      <x:c r="D242" t="str">
        <x:v>No Response</x:v>
      </x:c>
      <x:c r="E242" t="str"/>
      <x:c r="F242" t="n">
        <x:v>5</x:v>
      </x:c>
      <x:c r="G242" t="str">
        <x:v>PROPERTY OWNER</x:v>
      </x:c>
      <x:c r="H242" t="str">
        <x:v>C/O QIANGHUA CHEN</x:v>
      </x:c>
      <x:c r="I242" t="n">
        <x:v>1</x:v>
      </x:c>
      <x:c r="J242" t="str">
        <x:v>22 Shadetree Lane, Roslyn Heights, NY, 11577</x:v>
      </x:c>
      <x:c r="K242" t="str">
        <x:v>DOS address corroborated by ACRIS</x:v>
      </x:c>
      <x:c r="L242" t="n">
        <x:v>5</x:v>
      </x:c>
      <x:c r="M242" t="n">
        <x:v>8</x:v>
      </x:c>
      <x:c r="N242" t="str">
        <x:v>4235 MAIN STREET 4C LLC | FIFTH AVENUE 26A LLC | FIFTH AVENUE 9E LLC | QH PROPERTY AND MANAGEMENT LLC | SI ZHE XIN PROPERTY MANAGMENT LLC</x:v>
      </x:c>
      <x:c r="O242" t="str">
        <x:v>136-16 31 ROAD APT 2B, NY 11354 | 136-16 31 ROAD APT 2C, NY 11354 | 136-16 31 ROAD APT P2, NY 11354 | 136-16 31 ROAD APT P3, NY 11354 | 42-35 MAIN STREET APT 4-C, NY 11355 | 42-35 MAIN STREET APT CF-3K, NY 11355 | 445 5 AVENUE APT 26A, NY 10016 | 445 5 AVENUE APT 9E, NY 10016</x:v>
      </x:c>
      <x:c r="P242" t="n">
        <x:v>4</x:v>
      </x:c>
      <x:c r="Q242" s="15" t="n">
        <x:v>0.8</x:v>
      </x:c>
      <x:c r="R242" t="n">
        <x:v>4</x:v>
      </x:c>
      <x:c r="S242" t="str">
        <x:v>Strong DOS address corroboration</x:v>
      </x:c>
      <x:c r="T242" t="str">
        <x:v>No</x:v>
      </x:c>
      <x:c r="U242" t="n">
        <x:v>100</x:v>
      </x:c>
      <x:c r="V242" t="str">
        <x:v>https://data.ny.gov/Economic-Development/Active-Corporations-Beginning-1800/n9v6-gdp6</x:v>
      </x:c>
    </x:row>
    <x:row r="243">
      <x:c r="A243" t="str">
        <x:v>DOS-5-042</x:v>
      </x:c>
      <x:c r="B243" t="str">
        <x:v>Not Mailed</x:v>
      </x:c>
      <x:c r="C243" s="55"/>
      <x:c r="D243" t="str">
        <x:v>No Response</x:v>
      </x:c>
      <x:c r="E243" t="str"/>
      <x:c r="F243" t="n">
        <x:v>5</x:v>
      </x:c>
      <x:c r="G243" t="str">
        <x:v>PROPERTY OWNER</x:v>
      </x:c>
      <x:c r="H243" t="str"/>
      <x:c r="I243" t="n">
        <x:v>0</x:v>
      </x:c>
      <x:c r="J243" t="str">
        <x:v>2430 46TH ST, LONG ISLAND CITY, NY, 111031008, US</x:v>
      </x:c>
      <x:c r="K243" t="str">
        <x:v>ACRIS deed-party address</x:v>
      </x:c>
      <x:c r="L243" t="n">
        <x:v>5</x:v>
      </x:c>
      <x:c r="M243" t="n">
        <x:v>8</x:v>
      </x:c>
      <x:c r="N243" t="str">
        <x:v>RISING PROPERTIES 24 13 LLC | RISING PROPERTIES 24 19 LLC | RISING PROPERTIES 24 27 LLC | RISING PROPERTIES 24 29 LLC | RISING PROPERTIES 24 30 LLC</x:v>
      </x:c>
      <x:c r="O243" t="str">
        <x:v>24-13 46 STREET, NY 11103 | 24-19 45 STREET, NY 11103 | 24-27 45 STREET, NY 11103 | 24-29 45 STREET, NY 11103 | 24-30-24-32 46 STREET, NY 11103 | 46 STREET | ASTORIA BLVD SOUTH</x:v>
      </x:c>
      <x:c r="P243" t="n">
        <x:v>5</x:v>
      </x:c>
      <x:c r="Q243" s="15" t="n">
        <x:v>1</x:v>
      </x:c>
      <x:c r="R243" t="n">
        <x:v>0</x:v>
      </x:c>
      <x:c r="S243" t="str">
        <x:v>Shared DOS address</x:v>
      </x:c>
      <x:c r="T243" t="str">
        <x:v>No</x:v>
      </x:c>
      <x:c r="U243" t="n">
        <x:v>100</x:v>
      </x:c>
      <x:c r="V243" t="str">
        <x:v>https://data.ny.gov/Economic-Development/Active-Corporations-Beginning-1800/n9v6-gdp6</x:v>
      </x:c>
    </x:row>
    <x:row r="244">
      <x:c r="A244" t="str">
        <x:v>DOS-5-043</x:v>
      </x:c>
      <x:c r="B244" t="str">
        <x:v>Not Mailed</x:v>
      </x:c>
      <x:c r="C244" s="55"/>
      <x:c r="D244" t="str">
        <x:v>No Response</x:v>
      </x:c>
      <x:c r="E244" t="str"/>
      <x:c r="F244" t="n">
        <x:v>5</x:v>
      </x:c>
      <x:c r="G244" t="str">
        <x:v>PROPERTY OWNER</x:v>
      </x:c>
      <x:c r="H244" t="str">
        <x:v>VISION ENTERPRISES</x:v>
      </x:c>
      <x:c r="I244" t="n">
        <x:v>1</x:v>
      </x:c>
      <x:c r="J244" t="str">
        <x:v>286 NORTHERN BLVD, GREAT NECK, NY, 11021</x:v>
      </x:c>
      <x:c r="K244" t="str">
        <x:v>DOS address corroborated by ACRIS</x:v>
      </x:c>
      <x:c r="L244" t="n">
        <x:v>5</x:v>
      </x:c>
      <x:c r="M244" t="n">
        <x:v>8</x:v>
      </x:c>
      <x:c r="N244" t="str">
        <x:v>19 EAST 76TH STREET LLC | B N O ASSOCIATES LLC | ET PL ASSOCIATES LLC | FRANNIE LEW ASSOCIATES LLC | KROY ASSOCIATES LLC</x:v>
      </x:c>
      <x:c r="O244" t="str">
        <x:v>19 EAST 76 STREET APT 5, NY 10021 | 236 EAST 75 STREET, NY 10021 | 333 EAST 86 STREET, NY 10028 | 335 EAST 86 STREET, NY 10028 | 337 EAST 86 STREET, NY 10028 | 34-45 FRANCIS LEWIS BLVD | 34-51 FRANCIS LEWIS BLVD | 84-51 64 ROAD, NY 11379</x:v>
      </x:c>
      <x:c r="P244" t="n">
        <x:v>5</x:v>
      </x:c>
      <x:c r="Q244" s="15" t="n">
        <x:v>1</x:v>
      </x:c>
      <x:c r="R244" t="n">
        <x:v>2</x:v>
      </x:c>
      <x:c r="S244" t="str">
        <x:v>Strong DOS address corroboration</x:v>
      </x:c>
      <x:c r="T244" t="str">
        <x:v>No</x:v>
      </x:c>
      <x:c r="U244" t="n">
        <x:v>100</x:v>
      </x:c>
      <x:c r="V244" t="str">
        <x:v>https://data.ny.gov/Economic-Development/Active-Corporations-Beginning-1800/n9v6-gdp6</x:v>
      </x:c>
    </x:row>
    <x:row r="245">
      <x:c r="A245" t="str">
        <x:v>DOS-5-044</x:v>
      </x:c>
      <x:c r="B245" t="str">
        <x:v>Not Mailed</x:v>
      </x:c>
      <x:c r="C245" s="55"/>
      <x:c r="D245" t="str">
        <x:v>No Response</x:v>
      </x:c>
      <x:c r="E245" t="str"/>
      <x:c r="F245" t="n">
        <x:v>5</x:v>
      </x:c>
      <x:c r="G245" t="str">
        <x:v>PROPERTY OWNER</x:v>
      </x:c>
      <x:c r="H245" t="str"/>
      <x:c r="I245" t="n">
        <x:v>0</x:v>
      </x:c>
      <x:c r="J245" t="str">
        <x:v>287 EAST GUN HILL ROAD, BRONX, NY, 10467, US</x:v>
      </x:c>
      <x:c r="K245" t="str">
        <x:v>ACRIS deed-party address</x:v>
      </x:c>
      <x:c r="L245" t="n">
        <x:v>5</x:v>
      </x:c>
      <x:c r="M245" t="n">
        <x:v>8</x:v>
      </x:c>
      <x:c r="N245" t="str">
        <x:v>2115 LLC | 3224 BRONX BOULEVARD LLC | 721E LLC | NUVA REALTY LLC | SHPIA LLC</x:v>
      </x:c>
      <x:c r="O245" t="str">
        <x:v>2115 CROSS BRONX EXPWY, NY 10462 | 3061 HULL AVENUE, NY 10467 | 3224 BRONX BOULEVARD, NY 10467 | 3235 WHITE PLAINS ROAD, NY 10467 | 3237 WHITE PLAINS ROAD, NY 10467 | 3433 DEKALB AVENUE, NY 10467 | 721 EAST 223 STREET, NY 10466 | CROSS BRONX EXPWY</x:v>
      </x:c>
      <x:c r="P245" t="n">
        <x:v>5</x:v>
      </x:c>
      <x:c r="Q245" s="15" t="n">
        <x:v>1</x:v>
      </x:c>
      <x:c r="R245" t="n">
        <x:v>0</x:v>
      </x:c>
      <x:c r="S245" t="str">
        <x:v>Shared DOS address</x:v>
      </x:c>
      <x:c r="T245" t="str">
        <x:v>No</x:v>
      </x:c>
      <x:c r="U245" t="n">
        <x:v>100</x:v>
      </x:c>
      <x:c r="V245" t="str">
        <x:v>https://data.ny.gov/Economic-Development/Active-Corporations-Beginning-1800/n9v6-gdp6</x:v>
      </x:c>
    </x:row>
    <x:row r="246">
      <x:c r="A246" t="str">
        <x:v>DOS-5-045</x:v>
      </x:c>
      <x:c r="B246" t="str">
        <x:v>Not Mailed</x:v>
      </x:c>
      <x:c r="C246" s="55"/>
      <x:c r="D246" t="str">
        <x:v>No Response</x:v>
      </x:c>
      <x:c r="E246" t="str"/>
      <x:c r="F246" t="n">
        <x:v>5</x:v>
      </x:c>
      <x:c r="G246" t="str">
        <x:v>PROPERTY OWNER</x:v>
      </x:c>
      <x:c r="H246" t="str"/>
      <x:c r="I246" t="n">
        <x:v>0</x:v>
      </x:c>
      <x:c r="J246" t="str">
        <x:v>32-75 Steinway Street, Suite 211, Astoria, NY, 11103</x:v>
      </x:c>
      <x:c r="K246" t="str">
        <x:v>DOS address corroborated by ACRIS</x:v>
      </x:c>
      <x:c r="L246" t="n">
        <x:v>5</x:v>
      </x:c>
      <x:c r="M246" t="n">
        <x:v>8</x:v>
      </x:c>
      <x:c r="N246" t="str">
        <x:v>31 ACQUISITION LLC | ACQUISITION DEBT 1A LLC | COGNATO CONDO LLC | HALLETS MARINA ASSOCIATES LLC | TGH REALTY LLC</x:v>
      </x:c>
      <x:c r="O246" t="str">
        <x:v>12-14 31 AVENUE APT CM, NY 11106 | 2501 FULTON STREET, NY 11207 | 31-25 20 AVENUE, NY 11105 | 37-10 31 AVENUE, NY 11103 | VERNON BOULEVARD, NY 11102</x:v>
      </x:c>
      <x:c r="P246" t="n">
        <x:v>5</x:v>
      </x:c>
      <x:c r="Q246" s="15" t="n">
        <x:v>1</x:v>
      </x:c>
      <x:c r="R246" t="n">
        <x:v>3</x:v>
      </x:c>
      <x:c r="S246" t="str">
        <x:v>Strong DOS address corroboration</x:v>
      </x:c>
      <x:c r="T246" t="str">
        <x:v>No</x:v>
      </x:c>
      <x:c r="U246" t="n">
        <x:v>100</x:v>
      </x:c>
      <x:c r="V246" t="str">
        <x:v>https://data.ny.gov/Economic-Development/Active-Corporations-Beginning-1800/n9v6-gdp6</x:v>
      </x:c>
    </x:row>
    <x:row r="247">
      <x:c r="A247" t="str">
        <x:v>DOS-5-046</x:v>
      </x:c>
      <x:c r="B247" t="str">
        <x:v>Not Mailed</x:v>
      </x:c>
      <x:c r="C247" s="55"/>
      <x:c r="D247" t="str">
        <x:v>No Response</x:v>
      </x:c>
      <x:c r="E247" t="str"/>
      <x:c r="F247" t="n">
        <x:v>5</x:v>
      </x:c>
      <x:c r="G247" t="str">
        <x:v>COSMO MONTEMURRO</x:v>
      </x:c>
      <x:c r="H247" t="str">
        <x:v>COSMO MONTEMURRO</x:v>
      </x:c>
      <x:c r="I247" t="n">
        <x:v>3</x:v>
      </x:c>
      <x:c r="J247" t="str">
        <x:v>3348 POLO PLACE, BRONX, NY, 10465</x:v>
      </x:c>
      <x:c r="K247" t="str">
        <x:v>DOS address corroborated by ACRIS</x:v>
      </x:c>
      <x:c r="L247" t="n">
        <x:v>5</x:v>
      </x:c>
      <x:c r="M247" t="n">
        <x:v>8</x:v>
      </x:c>
      <x:c r="N247" t="str">
        <x:v>3451 EAST TREMONT HOLDINGS LLC | 848 DEAN HOLDINGS LLC | B AND A MIDDLETOWN LLC | G MATESE AND MURRO PLAZA LLC | MONTEMURRO ENTERPRISES LLC</x:v>
      </x:c>
      <x:c r="O247" t="str">
        <x:v>2890 RANDALL AVENUE, NY 10465 | 3451 EAST TREMONT AVENUE, NY 10465 | 3517 EAST TREMONT AVENUE, NY 10465 | 3770 EAST TREMONT AVENUE, NY 10465 | 3881 EAST TREMONT AVENUE, NY 10465 | 548 THROGS NECK EXPWY, NY 10465 | 848 DEAN AVENUE APT 848-2, NY 10465 | 848 DEAN AVENUE APT 848-B, NY 10465</x:v>
      </x:c>
      <x:c r="P247" t="n">
        <x:v>5</x:v>
      </x:c>
      <x:c r="Q247" s="15" t="n">
        <x:v>1</x:v>
      </x:c>
      <x:c r="R247" t="n">
        <x:v>2</x:v>
      </x:c>
      <x:c r="S247" t="str">
        <x:v>Strong DOS address corroboration</x:v>
      </x:c>
      <x:c r="T247" t="str">
        <x:v>No</x:v>
      </x:c>
      <x:c r="U247" t="n">
        <x:v>100</x:v>
      </x:c>
      <x:c r="V247" t="str">
        <x:v>https://data.ny.gov/Economic-Development/Active-Corporations-Beginning-1800/n9v6-gdp6</x:v>
      </x:c>
    </x:row>
    <x:row r="248">
      <x:c r="A248" t="str">
        <x:v>DOS-5-047</x:v>
      </x:c>
      <x:c r="B248" t="str">
        <x:v>Not Mailed</x:v>
      </x:c>
      <x:c r="C248" s="55"/>
      <x:c r="D248" t="str">
        <x:v>No Response</x:v>
      </x:c>
      <x:c r="E248" t="str"/>
      <x:c r="F248" t="n">
        <x:v>5</x:v>
      </x:c>
      <x:c r="G248" t="str">
        <x:v>PROPERTY OWNER</x:v>
      </x:c>
      <x:c r="H248" t="str"/>
      <x:c r="I248" t="n">
        <x:v>0</x:v>
      </x:c>
      <x:c r="J248" t="str">
        <x:v>36-17 BUD PLACE, FLUSHING, NY, 11354</x:v>
      </x:c>
      <x:c r="K248" t="str">
        <x:v>DOS address corroborated by ACRIS</x:v>
      </x:c>
      <x:c r="L248" t="n">
        <x:v>5</x:v>
      </x:c>
      <x:c r="M248" t="n">
        <x:v>8</x:v>
      </x:c>
      <x:c r="N248" t="str">
        <x:v>133 16 35 AVE LLC | 134 07 NORTHERN BLVD LLC | 34TH AVE MANAGEMENT LLC | 35 07 COLLINS PLACE LLC | SABRINE LLC</x:v>
      </x:c>
      <x:c r="O248" t="str">
        <x:v>132-56 34 AVENUE, NY 11354 | 132-60 34 AVENUE, NY 11354 | 133-16 35 AVENUE, NY 11354 | 134-01-134-07 NORTHERN BOULEVARD, NY 11354 | 34-65 COLLINS PLACE, NY 11354 | 34-69 COLLINS PLACE, NY 11354 | 43-69 BOWNE STREET, NY 11355 | COLLINS PLACE, NY 11354</x:v>
      </x:c>
      <x:c r="P248" t="n">
        <x:v>5</x:v>
      </x:c>
      <x:c r="Q248" s="15" t="n">
        <x:v>1</x:v>
      </x:c>
      <x:c r="R248" t="n">
        <x:v>3</x:v>
      </x:c>
      <x:c r="S248" t="str">
        <x:v>Strong DOS address corroboration</x:v>
      </x:c>
      <x:c r="T248" t="str">
        <x:v>No</x:v>
      </x:c>
      <x:c r="U248" t="n">
        <x:v>100</x:v>
      </x:c>
      <x:c r="V248" t="str">
        <x:v>https://data.ny.gov/Economic-Development/Active-Corporations-Beginning-1800/n9v6-gdp6</x:v>
      </x:c>
    </x:row>
    <x:row r="249">
      <x:c r="A249" t="str">
        <x:v>DOS-5-048</x:v>
      </x:c>
      <x:c r="B249" t="str">
        <x:v>Not Mailed</x:v>
      </x:c>
      <x:c r="C249" s="55"/>
      <x:c r="D249" t="str">
        <x:v>No Response</x:v>
      </x:c>
      <x:c r="E249" t="str"/>
      <x:c r="F249" t="n">
        <x:v>5</x:v>
      </x:c>
      <x:c r="G249" t="str">
        <x:v>PROPERTY OWNER</x:v>
      </x:c>
      <x:c r="H249" t="str"/>
      <x:c r="I249" t="n">
        <x:v>0</x:v>
      </x:c>
      <x:c r="J249" t="str">
        <x:v>36 WEST 37TH STREET, NEW YORK, NY, 10018, US</x:v>
      </x:c>
      <x:c r="K249" t="str">
        <x:v>ACRIS deed-party address</x:v>
      </x:c>
      <x:c r="L249" t="n">
        <x:v>5</x:v>
      </x:c>
      <x:c r="M249" t="n">
        <x:v>8</x:v>
      </x:c>
      <x:c r="N249" t="str">
        <x:v>CONCOURSE HEIGHTS LLC | DOUBLE SALT LLC C O EVAN ROBERTS | FIFTH AVENUE HILLS LLC C O EVAN ROBERTS | FIRST 26 LLC C O EVAN ROBERTS | GREENSTONE 26 LLC</x:v>
      </x:c>
      <x:c r="O249" t="str">
        <x:v>1174 SHAKESPEARE AVENUE, NY 10452 | 1285 SHAKESPEARE AVENUE, NY 10452 | 187 ST GEORGES CRESCENT, NY 10458 | 189 ST GEORGES CRESCENT, NY 10458 | 191 ST GEORGES CRESCENT, NY 10458 | 2099 WEBSTER AVENUE, NY 10457 | 3206 3 AVENUE, NY 10451 | 64 WEST 165 STREET, NY 10452</x:v>
      </x:c>
      <x:c r="P249" t="n">
        <x:v>2</x:v>
      </x:c>
      <x:c r="Q249" s="15" t="n">
        <x:v>0.4</x:v>
      </x:c>
      <x:c r="R249" t="n">
        <x:v>0</x:v>
      </x:c>
      <x:c r="S249" t="str">
        <x:v>Active-name matches only</x:v>
      </x:c>
      <x:c r="T249" t="str">
        <x:v>No</x:v>
      </x:c>
      <x:c r="U249" t="n">
        <x:v>100</x:v>
      </x:c>
      <x:c r="V249" t="str">
        <x:v>https://data.ny.gov/Economic-Development/Active-Corporations-Beginning-1800/n9v6-gdp6</x:v>
      </x:c>
    </x:row>
    <x:row r="250">
      <x:c r="A250" t="str">
        <x:v>DOS-5-049</x:v>
      </x:c>
      <x:c r="B250" t="str">
        <x:v>Not Mailed</x:v>
      </x:c>
      <x:c r="C250" s="55"/>
      <x:c r="D250" t="str">
        <x:v>No Response</x:v>
      </x:c>
      <x:c r="E250" t="str"/>
      <x:c r="F250" t="n">
        <x:v>5</x:v>
      </x:c>
      <x:c r="G250" t="str">
        <x:v>PROPERTY OWNER</x:v>
      </x:c>
      <x:c r="H250" t="str"/>
      <x:c r="I250" t="n">
        <x:v>0</x:v>
      </x:c>
      <x:c r="J250" t="str">
        <x:v>48 EAST OLD COUNTRY ROAD, SUITE 203, MINEOLA, NY, 11501</x:v>
      </x:c>
      <x:c r="K250" t="str">
        <x:v>DOS address corroborated by ACRIS</x:v>
      </x:c>
      <x:c r="L250" t="n">
        <x:v>5</x:v>
      </x:c>
      <x:c r="M250" t="n">
        <x:v>8</x:v>
      </x:c>
      <x:c r="N250" t="str">
        <x:v>BELL BLVD COMMONS LLC | GLENDALE COMMONS LLC | ROOSEVELT AVENUE COMMONS LLC | TIFFANY PLAZA COMMONS LLC | YELLOWSTONE PROFESSIONAL CONDOS LLC</x:v>
      </x:c>
      <x:c r="O250" t="str">
        <x:v>1815 GATES AVENUE, NY 11385 | 2009 UTICA AVENUE, NY 11234 | 2011-2017 UTICA AVENUE, NY 11234 | 216-01 HORACE HARDING EXPRE | 68-09 MYRTLE AVENUE, NY 11385 | 80-20 ROOSEVELT AVENUE, NY 11372 | UTICA AVENUE</x:v>
      </x:c>
      <x:c r="P250" t="n">
        <x:v>5</x:v>
      </x:c>
      <x:c r="Q250" s="15" t="n">
        <x:v>1</x:v>
      </x:c>
      <x:c r="R250" t="n">
        <x:v>4</x:v>
      </x:c>
      <x:c r="S250" t="str">
        <x:v>Strong DOS address corroboration</x:v>
      </x:c>
      <x:c r="T250" t="str">
        <x:v>No</x:v>
      </x:c>
      <x:c r="U250" t="n">
        <x:v>100</x:v>
      </x:c>
      <x:c r="V250" t="str">
        <x:v>https://data.ny.gov/Economic-Development/Active-Corporations-Beginning-1800/n9v6-gdp6</x:v>
      </x:c>
    </x:row>
    <x:row r="251">
      <x:c r="A251" t="str">
        <x:v>DOS-5-050</x:v>
      </x:c>
      <x:c r="B251" t="str">
        <x:v>Not Mailed</x:v>
      </x:c>
      <x:c r="C251" s="55"/>
      <x:c r="D251" t="str">
        <x:v>No Response</x:v>
      </x:c>
      <x:c r="E251" t="str"/>
      <x:c r="F251" t="n">
        <x:v>5</x:v>
      </x:c>
      <x:c r="G251" t="str">
        <x:v>PROPERTY OWNER</x:v>
      </x:c>
      <x:c r="H251" t="str">
        <x:v>PRABHJIT SINGH</x:v>
      </x:c>
      <x:c r="I251" t="n">
        <x:v>1</x:v>
      </x:c>
      <x:c r="J251" t="str">
        <x:v>5328 11TH STREET, LONG ISLAND CITY, NY, 11101, US</x:v>
      </x:c>
      <x:c r="K251" t="str">
        <x:v>ACRIS deed-party address</x:v>
      </x:c>
      <x:c r="L251" t="n">
        <x:v>5</x:v>
      </x:c>
      <x:c r="M251" t="n">
        <x:v>8</x:v>
      </x:c>
      <x:c r="N251" t="str">
        <x:v>13819 JAMAICA LLC | 1645 EAST NY LLC | 654 STANNES LLC | 7424 ALMEDA LLC | PARK ROCKY LLC</x:v>
      </x:c>
      <x:c r="O251" t="str">
        <x:v>138-19-138-21 95 AVENUE, NY 11435 | 1645 EAST NEW YORK AVENUE, NY 11212 | 4522 PARK AVENUE, NY 10457 | 656 ST ANNS AVENUE, NY 10455 | 72-58 ELIZABETH AVENUE, NY 11692 | ALMEDA AVENUE | BURCHELL AVENUE</x:v>
      </x:c>
      <x:c r="P251" t="n">
        <x:v>5</x:v>
      </x:c>
      <x:c r="Q251" s="15" t="n">
        <x:v>1</x:v>
      </x:c>
      <x:c r="R251" t="n">
        <x:v>0</x:v>
      </x:c>
      <x:c r="S251" t="str">
        <x:v>Shared DOS address</x:v>
      </x:c>
      <x:c r="T251" t="str">
        <x:v>No</x:v>
      </x:c>
      <x:c r="U251" t="n">
        <x:v>100</x:v>
      </x:c>
      <x:c r="V251" t="str">
        <x:v>https://data.ny.gov/Economic-Development/Active-Corporations-Beginning-1800/n9v6-gdp6</x:v>
      </x:c>
    </x:row>
    <x:row r="252">
      <x:c r="A252" t="str">
        <x:v>DOS-5-051</x:v>
      </x:c>
      <x:c r="B252" t="str">
        <x:v>Not Mailed</x:v>
      </x:c>
      <x:c r="C252" s="55"/>
      <x:c r="D252" t="str">
        <x:v>No Response</x:v>
      </x:c>
      <x:c r="E252" t="str"/>
      <x:c r="F252" t="n">
        <x:v>5</x:v>
      </x:c>
      <x:c r="G252" t="str">
        <x:v>PROPERTY OWNER</x:v>
      </x:c>
      <x:c r="H252" t="str">
        <x:v>C/O SPECTOR FOO WEISSMAN</x:v>
      </x:c>
      <x:c r="I252" t="n">
        <x:v>1</x:v>
      </x:c>
      <x:c r="J252" t="str">
        <x:v>60 COLUMBUS CIRCLE, 20TH FLOOR, NEW YORK, NY, 10023, US</x:v>
      </x:c>
      <x:c r="K252" t="str">
        <x:v>ACRIS deed-party address</x:v>
      </x:c>
      <x:c r="L252" t="n">
        <x:v>5</x:v>
      </x:c>
      <x:c r="M252" t="n">
        <x:v>8</x:v>
      </x:c>
      <x:c r="N252" t="str">
        <x:v>19 INDIA FEE OWNER LLC | 4 E 94TH ST THU OWNER LLC | RSG SHEF 298 WEIRFIELD LLC | RSG SHEF 477 IRVING LLC | SM 145WEST LLC</x:v>
      </x:c>
      <x:c r="O252" t="str">
        <x:v>21 INDIA STREET APT 32K, NY 11222 | 21 INDIA STREET APT CFU, NY 11222 | 21 INDIA STREET APT PU, NY 11222 | 21 INDIA STREET APT RETU, NY 11222 | 21 INDIA STREET APT RU, NY 11222 | 298 WEIRFIELD STREET, NY 11237 | 4 EAST 94 STREET APT TU, NY 10128 | 477 IRVING AVENUE, NY 11237</x:v>
      </x:c>
      <x:c r="P252" t="n">
        <x:v>5</x:v>
      </x:c>
      <x:c r="Q252" s="15" t="n">
        <x:v>1</x:v>
      </x:c>
      <x:c r="R252" t="n">
        <x:v>0</x:v>
      </x:c>
      <x:c r="S252" t="str">
        <x:v>Shared DOS address</x:v>
      </x:c>
      <x:c r="T252" t="str">
        <x:v>No</x:v>
      </x:c>
      <x:c r="U252" t="n">
        <x:v>100</x:v>
      </x:c>
      <x:c r="V252" t="str">
        <x:v>https://data.ny.gov/Economic-Development/Active-Corporations-Beginning-1800/n9v6-gdp6</x:v>
      </x:c>
    </x:row>
    <x:row r="253">
      <x:c r="A253" t="str">
        <x:v>DOS-5-052</x:v>
      </x:c>
      <x:c r="B253" t="str">
        <x:v>Not Mailed</x:v>
      </x:c>
      <x:c r="C253" s="55"/>
      <x:c r="D253" t="str">
        <x:v>No Response</x:v>
      </x:c>
      <x:c r="E253" t="str"/>
      <x:c r="F253" t="n">
        <x:v>5</x:v>
      </x:c>
      <x:c r="G253" t="str">
        <x:v>PROPERTY OWNER</x:v>
      </x:c>
      <x:c r="H253" t="str">
        <x:v>C/O LEON NEKTALOV</x:v>
      </x:c>
      <x:c r="I253" t="n">
        <x:v>1</x:v>
      </x:c>
      <x:c r="J253" t="str">
        <x:v>74 WEST 47TH STREET, NEW YORK, NY, 10036, US</x:v>
      </x:c>
      <x:c r="K253" t="str">
        <x:v>ACRIS deed-party address</x:v>
      </x:c>
      <x:c r="L253" t="n">
        <x:v>5</x:v>
      </x:c>
      <x:c r="M253" t="n">
        <x:v>8</x:v>
      </x:c>
      <x:c r="N253" t="str">
        <x:v>1302 AVENUE K LLC | 217 HILLSIDE APARTMENTS LLC | 3717 ATLANTIC REALTY LLC | ALANELI LLC | QUEENS APARTMENT MANAGEMENT LLC</x:v>
      </x:c>
      <x:c r="O253" t="str">
        <x:v>1302 AVENUE K APT 36, NY 11230 | 217-09 HILLSIDE AVENUE, NY 11427 | 217-19 HILLSIDE AVENUE, NY 11427 | 3717 ATLANTIC AVENUE, NY 11224 | 3719 ATLANTIC AVENUE, NY 11224 | 75-28 178 STREET, NY 11366 | 862 50 STREET, NY 11220 | 868 50 STREET, NY 11220</x:v>
      </x:c>
      <x:c r="P253" t="n">
        <x:v>5</x:v>
      </x:c>
      <x:c r="Q253" s="15" t="n">
        <x:v>1</x:v>
      </x:c>
      <x:c r="R253" t="n">
        <x:v>2</x:v>
      </x:c>
      <x:c r="S253" t="str">
        <x:v>Strong DOS address corroboration</x:v>
      </x:c>
      <x:c r="T253" t="str">
        <x:v>No</x:v>
      </x:c>
      <x:c r="U253" t="n">
        <x:v>100</x:v>
      </x:c>
      <x:c r="V253" t="str">
        <x:v>https://data.ny.gov/Economic-Development/Active-Corporations-Beginning-1800/n9v6-gdp6</x:v>
      </x:c>
    </x:row>
    <x:row r="254">
      <x:c r="A254" t="str">
        <x:v>DOS-5-053</x:v>
      </x:c>
      <x:c r="B254" t="str">
        <x:v>Not Mailed</x:v>
      </x:c>
      <x:c r="C254" s="55"/>
      <x:c r="D254" t="str">
        <x:v>No Response</x:v>
      </x:c>
      <x:c r="E254" t="str"/>
      <x:c r="F254" t="n">
        <x:v>5</x:v>
      </x:c>
      <x:c r="G254" t="str">
        <x:v>PROPERTY OWNER</x:v>
      </x:c>
      <x:c r="H254" t="str">
        <x:v>LOUIS BRISCO</x:v>
      </x:c>
      <x:c r="I254" t="n">
        <x:v>1</x:v>
      </x:c>
      <x:c r="J254" t="str">
        <x:v>766 AMSTERDAM AVE, NEW YORK, NY, 10025</x:v>
      </x:c>
      <x:c r="K254" t="str">
        <x:v>DOS address corroborated by ACRIS</x:v>
      </x:c>
      <x:c r="L254" t="n">
        <x:v>5</x:v>
      </x:c>
      <x:c r="M254" t="n">
        <x:v>8</x:v>
      </x:c>
      <x:c r="N254" t="str">
        <x:v>BRUSCO EQUITIES LLC | JFB REALTY LLC | NUNZ EQUITIES EAST LLC | PARKWAY EAST PROPERTIES LLC | RIA PROPERTIES LLC</x:v>
      </x:c>
      <x:c r="O254" t="str">
        <x:v>101 WEST 69 STREET, NY 10023 | 126 WEST 71 STREET, NY 10023 | 128 WEST 71 STREET, NY 10023 | 304 EAST 89 STREET, NY 10128 | 348 EAST 58 STREET, NY 10022 | 58 WEST 72 STREET, NY 10023 | 772 AMSTERDAM AVENUE, NY 10025 | 774 AMSTERDAM AVENUE, NY 10025</x:v>
      </x:c>
      <x:c r="P254" t="n">
        <x:v>4</x:v>
      </x:c>
      <x:c r="Q254" s="15" t="n">
        <x:v>0.8</x:v>
      </x:c>
      <x:c r="R254" t="n">
        <x:v>2</x:v>
      </x:c>
      <x:c r="S254" t="str">
        <x:v>Strong DOS address corroboration</x:v>
      </x:c>
      <x:c r="T254" t="str">
        <x:v>No</x:v>
      </x:c>
      <x:c r="U254" t="n">
        <x:v>100</x:v>
      </x:c>
      <x:c r="V254" t="str">
        <x:v>https://data.ny.gov/Economic-Development/Active-Corporations-Beginning-1800/n9v6-gdp6</x:v>
      </x:c>
    </x:row>
    <x:row r="255">
      <x:c r="A255" t="str">
        <x:v>DOS-5-054</x:v>
      </x:c>
      <x:c r="B255" t="str">
        <x:v>Not Mailed</x:v>
      </x:c>
      <x:c r="C255" s="55"/>
      <x:c r="D255" t="str">
        <x:v>No Response</x:v>
      </x:c>
      <x:c r="E255" t="str"/>
      <x:c r="F255" t="n">
        <x:v>5</x:v>
      </x:c>
      <x:c r="G255" t="str">
        <x:v>PROPERTY OWNER</x:v>
      </x:c>
      <x:c r="H255" t="str"/>
      <x:c r="I255" t="n">
        <x:v>0</x:v>
      </x:c>
      <x:c r="J255" t="str">
        <x:v>28 LIBERTY ST., NEW YORK, NY, 10005</x:v>
      </x:c>
      <x:c r="K255" t="str">
        <x:v>DOS address corroborated by ACRIS</x:v>
      </x:c>
      <x:c r="L255" t="n">
        <x:v>5</x:v>
      </x:c>
      <x:c r="M255" t="n">
        <x:v>8</x:v>
      </x:c>
      <x:c r="N255" t="str">
        <x:v>1937 FIRST 109 LLC | 224 EAST 74TH LLC | 555 TENTH AVENUE II LLC | 555 TENTH AVENUE LLC | BELMONT HOLDING LLC</x:v>
      </x:c>
      <x:c r="O255" t="str">
        <x:v>100-102 POST AVENUE, NY 10034 | 1937 1 AVENUE, NY 10029 | 224 EAST 74 STREET, NY 10021 | 551 10 AVENUE APT RES 1, NY 10018 | 551 10 AVENUE APT RES 2, NY 10018 | 551 10 AVENUE APT RES 3, NY 10018 | 551 10 AVENUE APT RES 4, NY 10018 | 551 10 AVENUE APT RET, NY 10018</x:v>
      </x:c>
      <x:c r="P255" t="n">
        <x:v>5</x:v>
      </x:c>
      <x:c r="Q255" s="15" t="n">
        <x:v>1</x:v>
      </x:c>
      <x:c r="R255" t="n">
        <x:v>1</x:v>
      </x:c>
      <x:c r="S255" t="str">
        <x:v>Shared DOS address</x:v>
      </x:c>
      <x:c r="T255" t="str">
        <x:v>No</x:v>
      </x:c>
      <x:c r="U255" t="n">
        <x:v>100</x:v>
      </x:c>
      <x:c r="V255" t="str">
        <x:v>https://data.ny.gov/Economic-Development/Active-Corporations-Beginning-1800/n9v6-gdp6</x:v>
      </x:c>
    </x:row>
    <x:row r="256">
      <x:c r="A256" t="str">
        <x:v>DOS-5-055</x:v>
      </x:c>
      <x:c r="B256" t="str">
        <x:v>Not Mailed</x:v>
      </x:c>
      <x:c r="C256" s="55"/>
      <x:c r="D256" t="str">
        <x:v>No Response</x:v>
      </x:c>
      <x:c r="E256" t="str"/>
      <x:c r="F256" t="n">
        <x:v>5</x:v>
      </x:c>
      <x:c r="G256" t="str">
        <x:v>ALLAN HONG GAO</x:v>
      </x:c>
      <x:c r="H256" t="str">
        <x:v>ALLAN HONG GAO</x:v>
      </x:c>
      <x:c r="I256" t="n">
        <x:v>3</x:v>
      </x:c>
      <x:c r="J256" t="str">
        <x:v>9 DONNA LANE, SYOSSET, NY, 11791</x:v>
      </x:c>
      <x:c r="K256" t="str">
        <x:v>DOS address corroborated by ACRIS</x:v>
      </x:c>
      <x:c r="L256" t="n">
        <x:v>5</x:v>
      </x:c>
      <x:c r="M256" t="n">
        <x:v>8</x:v>
      </x:c>
      <x:c r="N256" t="str">
        <x:v>FEEDERS LLC | GENHON LLC | GINGWOH LLC | LAFON LLC | MELBORN LLC</x:v>
      </x:c>
      <x:c r="O256" t="str">
        <x:v>133-27 39TH AVENUE APT 9M, NY 11354 | 133-36 37TH AVENUE APT 8K, NY 11354 | 141-05 CHERRY AVENUE APT 4F, NY 11355 | 141-05 CHERRY AVENUE APT 5C, NY 11355 | 141-05 CHERRY AVENUE APT 5F, NY 11355 | 142-38 37 AVENUE APT 10E, NY 11354 | 142-38 37 AVENUE APT 11F, NY 11354 | 43-18 ROBINSON STREET APT 5D, NY 11355</x:v>
      </x:c>
      <x:c r="P256" t="n">
        <x:v>5</x:v>
      </x:c>
      <x:c r="Q256" s="15" t="n">
        <x:v>1</x:v>
      </x:c>
      <x:c r="R256" t="n">
        <x:v>5</x:v>
      </x:c>
      <x:c r="S256" t="str">
        <x:v>Strong DOS address corroboration</x:v>
      </x:c>
      <x:c r="T256" t="str">
        <x:v>No</x:v>
      </x:c>
      <x:c r="U256" t="n">
        <x:v>100</x:v>
      </x:c>
      <x:c r="V256" t="str">
        <x:v>https://data.ny.gov/Economic-Development/Active-Corporations-Beginning-1800/n9v6-gdp6</x:v>
      </x:c>
    </x:row>
    <x:row r="257">
      <x:c r="A257" t="str">
        <x:v>DOS-5-056</x:v>
      </x:c>
      <x:c r="B257" t="str">
        <x:v>Not Mailed</x:v>
      </x:c>
      <x:c r="C257" s="55"/>
      <x:c r="D257" t="str">
        <x:v>No Response</x:v>
      </x:c>
      <x:c r="E257" t="str"/>
      <x:c r="F257" t="n">
        <x:v>5</x:v>
      </x:c>
      <x:c r="G257" t="str">
        <x:v>PROPERTY OWNER</x:v>
      </x:c>
      <x:c r="H257" t="str"/>
      <x:c r="I257" t="n">
        <x:v>0</x:v>
      </x:c>
      <x:c r="J257" t="str">
        <x:v>POB 290012, BROOKLYN, NY, 11229</x:v>
      </x:c>
      <x:c r="K257" t="str">
        <x:v>DOS address corroborated by ACRIS</x:v>
      </x:c>
      <x:c r="L257" t="n">
        <x:v>5</x:v>
      </x:c>
      <x:c r="M257" t="n">
        <x:v>8</x:v>
      </x:c>
      <x:c r="N257" t="str">
        <x:v>1363 PINSON LLC | 170 BAY 31ST ST LLC | 209 BEACH 28 LLC | 262 45 ST LLC | Q184 2 LLC</x:v>
      </x:c>
      <x:c r="O257" t="str">
        <x:v>13-63 PINSON STREET, NY 11691 | 197 BEACH 29 STREET, NY 11691 | 2213-2223 BATH AVENUE APT 22, NY 11214 | 232 TROY AVENUE, NY 11213 | 262 45 STREET, NY 11220 | 266 45 STREET APT 8, NY 11220 | 268 45 STREET APT 8, NY 11220 | 272 45 STREET APT 8, NY 11220</x:v>
      </x:c>
      <x:c r="P257" t="n">
        <x:v>5</x:v>
      </x:c>
      <x:c r="Q257" s="15" t="n">
        <x:v>1</x:v>
      </x:c>
      <x:c r="R257" t="n">
        <x:v>1</x:v>
      </x:c>
      <x:c r="S257" t="str">
        <x:v>Shared DOS address</x:v>
      </x:c>
      <x:c r="T257" t="str">
        <x:v>No</x:v>
      </x:c>
      <x:c r="U257" t="n">
        <x:v>100</x:v>
      </x:c>
      <x:c r="V257" t="str">
        <x:v>https://data.ny.gov/Economic-Development/Active-Corporations-Beginning-1800/n9v6-gdp6</x:v>
      </x:c>
    </x:row>
    <x:row r="258">
      <x:c r="A258" t="str">
        <x:v>DOS-5-057</x:v>
      </x:c>
      <x:c r="B258" t="str">
        <x:v>Not Mailed</x:v>
      </x:c>
      <x:c r="C258" s="55"/>
      <x:c r="D258" t="str">
        <x:v>No Response</x:v>
      </x:c>
      <x:c r="E258" t="str"/>
      <x:c r="F258" t="n">
        <x:v>5</x:v>
      </x:c>
      <x:c r="G258" t="str">
        <x:v>PROPERTY OWNER</x:v>
      </x:c>
      <x:c r="H258" t="str"/>
      <x:c r="I258" t="n">
        <x:v>0</x:v>
      </x:c>
      <x:c r="J258" t="str">
        <x:v>1021 38th Street, Brooklyn, NY, 11219</x:v>
      </x:c>
      <x:c r="K258" t="str">
        <x:v>DOS address corroborated by ACRIS</x:v>
      </x:c>
      <x:c r="L258" t="n">
        <x:v>5</x:v>
      </x:c>
      <x:c r="M258" t="n">
        <x:v>7</x:v>
      </x:c>
      <x:c r="N258" t="str">
        <x:v>1058 PACIFIC STREET LLC | 120 EAST 144 OWNER LLC | 1533 1541 60 STREET LLC | 1555 60TH STREET LLC | WALTON STREET GC DEVELOPMENTS LLC</x:v>
      </x:c>
      <x:c r="O258" t="str">
        <x:v>1058-1066 PACIFIC STREET, NY 11238 | 120 EAST 144 STREET, NY 10451 | 1533 60 STREET, NY 11219 | 1541 60 STREET, NY 11219 | 1547-1555 60 STREET, NY 11219 | 261 GRAND CONCOURSE, NY 10451 | 315 GRAND CONCOURSE, NY 10451</x:v>
      </x:c>
      <x:c r="P258" t="n">
        <x:v>5</x:v>
      </x:c>
      <x:c r="Q258" s="15" t="n">
        <x:v>1</x:v>
      </x:c>
      <x:c r="R258" t="n">
        <x:v>5</x:v>
      </x:c>
      <x:c r="S258" t="str">
        <x:v>Strong DOS address corroboration</x:v>
      </x:c>
      <x:c r="T258" t="str">
        <x:v>No</x:v>
      </x:c>
      <x:c r="U258" t="n">
        <x:v>100</x:v>
      </x:c>
      <x:c r="V258" t="str">
        <x:v>https://data.ny.gov/Economic-Development/Active-Corporations-Beginning-1800/n9v6-gdp6</x:v>
      </x:c>
    </x:row>
    <x:row r="259">
      <x:c r="A259" t="str">
        <x:v>DOS-5-058</x:v>
      </x:c>
      <x:c r="B259" t="str">
        <x:v>Not Mailed</x:v>
      </x:c>
      <x:c r="C259" s="55"/>
      <x:c r="D259" t="str">
        <x:v>No Response</x:v>
      </x:c>
      <x:c r="E259" t="str"/>
      <x:c r="F259" t="n">
        <x:v>5</x:v>
      </x:c>
      <x:c r="G259" t="str">
        <x:v>GORDON HAMM</x:v>
      </x:c>
      <x:c r="H259" t="str">
        <x:v>GORDON HAMM</x:v>
      </x:c>
      <x:c r="I259" t="n">
        <x:v>2</x:v>
      </x:c>
      <x:c r="J259" t="str">
        <x:v>124  EAST 63RD STREET, NEW YORK, NY, 10021, US</x:v>
      </x:c>
      <x:c r="K259" t="str">
        <x:v>ACRIS deed-party address</x:v>
      </x:c>
      <x:c r="L259" t="n">
        <x:v>5</x:v>
      </x:c>
      <x:c r="M259" t="n">
        <x:v>7</x:v>
      </x:c>
      <x:c r="N259" t="str">
        <x:v>BELMONT OWNERS LLC | CHAPLAND OWNERS LLC | EVANS OWNERS LLC | REDBALL OWNERS LLC | RIBAR OWNERS LLC</x:v>
      </x:c>
      <x:c r="O259" t="str">
        <x:v>109-111 EAST 82 STREET, NY 10028 | 115 EAST 84 STREET, NY 10028 | 142-158 EAST 31 STREET, NY 10016 | 1490-1496 3 AVENUE APT COMMU, NY 10028 | 160-168 WEST 10 STREET, NY 10014 | 171 EAST 84 STREET APT GAR, NY 10028 | 171 EAST 84 STREET APT RETAI, NY 10028</x:v>
      </x:c>
      <x:c r="P259" t="n">
        <x:v>4</x:v>
      </x:c>
      <x:c r="Q259" s="15" t="n">
        <x:v>0.8</x:v>
      </x:c>
      <x:c r="R259" t="n">
        <x:v>0</x:v>
      </x:c>
      <x:c r="S259" t="str">
        <x:v>Active-name matches only</x:v>
      </x:c>
      <x:c r="T259" t="str">
        <x:v>No</x:v>
      </x:c>
      <x:c r="U259" t="n">
        <x:v>100</x:v>
      </x:c>
      <x:c r="V259" t="str">
        <x:v>https://data.ny.gov/Economic-Development/Active-Corporations-Beginning-1800/n9v6-gdp6</x:v>
      </x:c>
    </x:row>
    <x:row r="260">
      <x:c r="A260" t="str">
        <x:v>DOS-5-059</x:v>
      </x:c>
      <x:c r="B260" t="str">
        <x:v>Not Mailed</x:v>
      </x:c>
      <x:c r="C260" s="55"/>
      <x:c r="D260" t="str">
        <x:v>No Response</x:v>
      </x:c>
      <x:c r="E260" t="str"/>
      <x:c r="F260" t="n">
        <x:v>5</x:v>
      </x:c>
      <x:c r="G260" t="str">
        <x:v>PROPERTY OWNER</x:v>
      </x:c>
      <x:c r="H260" t="str"/>
      <x:c r="I260" t="n">
        <x:v>0</x:v>
      </x:c>
      <x:c r="J260" t="str">
        <x:v>134-03 35TH AVENUE, FLUSHING, NY, 11354, US</x:v>
      </x:c>
      <x:c r="K260" t="str">
        <x:v>ACRIS deed-party address</x:v>
      </x:c>
      <x:c r="L260" t="n">
        <x:v>5</x:v>
      </x:c>
      <x:c r="M260" t="n">
        <x:v>7</x:v>
      </x:c>
      <x:c r="N260" t="str">
        <x:v>A AND C INTERNATIONAL MANAGEMENT GROUP LLC | DOWNING STREET REALTY LLC | FLUSHING VENTURE CAPITAL LLC | QUEENS PLAZA VENTURES LLC | UNITED DEVELOPMENT VENTURE LLC</x:v>
      </x:c>
      <x:c r="O260" t="str">
        <x:v>21 STREET, NY 11101 | 31-35 DOWNING STREET, NY 11354 | 38-25 MAIN STREET APT 5D, NY 11354 | 38-25 MAIN STREET APT 5E, NY 11354 | 38-50 21 STREET, NY 11101 | 41-02 22 STREET, NY 11101 | WHITESTONE EXPRESSWAY, NY 11354</x:v>
      </x:c>
      <x:c r="P260" t="n">
        <x:v>5</x:v>
      </x:c>
      <x:c r="Q260" s="15" t="n">
        <x:v>1</x:v>
      </x:c>
      <x:c r="R260" t="n">
        <x:v>0</x:v>
      </x:c>
      <x:c r="S260" t="str">
        <x:v>Shared DOS address</x:v>
      </x:c>
      <x:c r="T260" t="str">
        <x:v>No</x:v>
      </x:c>
      <x:c r="U260" t="n">
        <x:v>100</x:v>
      </x:c>
      <x:c r="V260" t="str">
        <x:v>https://data.ny.gov/Economic-Development/Active-Corporations-Beginning-1800/n9v6-gdp6</x:v>
      </x:c>
    </x:row>
    <x:row r="261">
      <x:c r="A261" t="str">
        <x:v>DOS-5-060</x:v>
      </x:c>
      <x:c r="B261" t="str">
        <x:v>Not Mailed</x:v>
      </x:c>
      <x:c r="C261" s="55"/>
      <x:c r="D261" t="str">
        <x:v>No Response</x:v>
      </x:c>
      <x:c r="E261" t="str"/>
      <x:c r="F261" t="n">
        <x:v>5</x:v>
      </x:c>
      <x:c r="G261" t="str">
        <x:v>PROPERTY OWNER</x:v>
      </x:c>
      <x:c r="H261" t="str">
        <x:v>IDAN SHITRIT</x:v>
      </x:c>
      <x:c r="I261" t="n">
        <x:v>1</x:v>
      </x:c>
      <x:c r="J261" t="str">
        <x:v>134 N 4th Street, Brooklyn, NY, 11249</x:v>
      </x:c>
      <x:c r="K261" t="str">
        <x:v>DOS address corroborated by ACRIS</x:v>
      </x:c>
      <x:c r="L261" t="n">
        <x:v>5</x:v>
      </x:c>
      <x:c r="M261" t="n">
        <x:v>7</x:v>
      </x:c>
      <x:c r="N261" t="str">
        <x:v>153 BERRY PREMIUM LLC | 74 76 SOUTH 2ND ST LLC | BEACH 163 LLC | BSJ DEVELOPMENT LLC | FIRE CONSULTANTS LLC</x:v>
      </x:c>
      <x:c r="O261" t="str">
        <x:v>153 BERRY STREET, NY 11249 | 153 GREEN STREET APT 1A, NY 11222 | 163 ROAD | 60 104 STREET, NY 11414 | 74 SOUTH 2ND STREET, NY 11249 | 76 SOUTH 2ND STREET, NY 11249 | 78 HEMLOCK STREET, NY 11208</x:v>
      </x:c>
      <x:c r="P261" t="n">
        <x:v>5</x:v>
      </x:c>
      <x:c r="Q261" s="15" t="n">
        <x:v>1</x:v>
      </x:c>
      <x:c r="R261" t="n">
        <x:v>2</x:v>
      </x:c>
      <x:c r="S261" t="str">
        <x:v>Strong DOS address corroboration</x:v>
      </x:c>
      <x:c r="T261" t="str">
        <x:v>No</x:v>
      </x:c>
      <x:c r="U261" t="n">
        <x:v>100</x:v>
      </x:c>
      <x:c r="V261" t="str">
        <x:v>https://data.ny.gov/Economic-Development/Active-Corporations-Beginning-1800/n9v6-gdp6</x:v>
      </x:c>
    </x:row>
    <x:row r="262">
      <x:c r="A262" t="str">
        <x:v>DOS-5-061</x:v>
      </x:c>
      <x:c r="B262" t="str">
        <x:v>Not Mailed</x:v>
      </x:c>
      <x:c r="C262" s="55"/>
      <x:c r="D262" t="str">
        <x:v>No Response</x:v>
      </x:c>
      <x:c r="E262" t="str"/>
      <x:c r="F262" t="n">
        <x:v>5</x:v>
      </x:c>
      <x:c r="G262" t="str">
        <x:v>PROPERTY OWNER</x:v>
      </x:c>
      <x:c r="H262" t="str"/>
      <x:c r="I262" t="n">
        <x:v>0</x:v>
      </x:c>
      <x:c r="J262" t="str">
        <x:v>1368 Ralph Avenue, Brooklyn, NY, 11236</x:v>
      </x:c>
      <x:c r="K262" t="str">
        <x:v>DOS address corroborated by ACRIS</x:v>
      </x:c>
      <x:c r="L262" t="n">
        <x:v>5</x:v>
      </x:c>
      <x:c r="M262" t="n">
        <x:v>7</x:v>
      </x:c>
      <x:c r="N262" t="str">
        <x:v>538 83RD REALTY LLC | BARGE REALTY LLC | CHLOE DEVELOPMENT LLC | JACAL REALTY AND DEVELOPMENT LLC | NEIL ENTERPRISES LLC</x:v>
      </x:c>
      <x:c r="O262" t="str">
        <x:v>538 EAST 83 STREET, NY 11236 | 8109 FOSTER AVENUE, NY 11236 | 8214 FOSTER AVENUE, NY 11236 | 9001 DITMAS AVENUE, NY 11236 | 9917 SHORE ROAD APT 6C, NY 11209 | 9917 SHORE ROAD APT P16, NY 11209 | 9917 SHORE ROAD APT S9, NY 11209</x:v>
      </x:c>
      <x:c r="P262" t="n">
        <x:v>5</x:v>
      </x:c>
      <x:c r="Q262" s="15" t="n">
        <x:v>1</x:v>
      </x:c>
      <x:c r="R262" t="n">
        <x:v>5</x:v>
      </x:c>
      <x:c r="S262" t="str">
        <x:v>Strong DOS address corroboration</x:v>
      </x:c>
      <x:c r="T262" t="str">
        <x:v>No</x:v>
      </x:c>
      <x:c r="U262" t="n">
        <x:v>100</x:v>
      </x:c>
      <x:c r="V262" t="str">
        <x:v>https://data.ny.gov/Economic-Development/Active-Corporations-Beginning-1800/n9v6-gdp6</x:v>
      </x:c>
    </x:row>
    <x:row r="263">
      <x:c r="A263" t="str">
        <x:v>DOS-5-062</x:v>
      </x:c>
      <x:c r="B263" t="str">
        <x:v>Not Mailed</x:v>
      </x:c>
      <x:c r="C263" s="55"/>
      <x:c r="D263" t="str">
        <x:v>No Response</x:v>
      </x:c>
      <x:c r="E263" t="str"/>
      <x:c r="F263" t="n">
        <x:v>5</x:v>
      </x:c>
      <x:c r="G263" t="str">
        <x:v>PROPERTY OWNER</x:v>
      </x:c>
      <x:c r="H263" t="str"/>
      <x:c r="I263" t="n">
        <x:v>0</x:v>
      </x:c>
      <x:c r="J263" t="str">
        <x:v>85-16 QUEENS BLVD, ELMHURST, NY, 11373</x:v>
      </x:c>
      <x:c r="K263" t="str">
        <x:v>DOS address corroborated by ACRIS</x:v>
      </x:c>
      <x:c r="L263" t="n">
        <x:v>5</x:v>
      </x:c>
      <x:c r="M263" t="n">
        <x:v>7</x:v>
      </x:c>
      <x:c r="N263" t="str">
        <x:v>FOREST HILL 147 LLC | WW BROOKLYN REALTY LLC | WW CORINA REALTY LLC | WW EXECUTIVE PLAZA LLC | WW JUSTICE TOWER LLC</x:v>
      </x:c>
      <x:c r="O263" t="str">
        <x:v>104-33 39 AVENUE APT M, NY 11368 | 134-37 35TH AVENUE APT 8C, NY 11354 | 147 GREENWAY NORTH, NY 11375 | 150 WEST 51 STREET APT 12-28, NY 10019 | 150 WEST 51 STREET APT 21-2, NY 10019 | 150 WEST 51 STREET APT 21-4, NY 10019 | 99 JOHN STREET APT 204, NY 10038</x:v>
      </x:c>
      <x:c r="P263" t="n">
        <x:v>5</x:v>
      </x:c>
      <x:c r="Q263" s="15" t="n">
        <x:v>1</x:v>
      </x:c>
      <x:c r="R263" t="n">
        <x:v>2</x:v>
      </x:c>
      <x:c r="S263" t="str">
        <x:v>Strong DOS address corroboration</x:v>
      </x:c>
      <x:c r="T263" t="str">
        <x:v>No</x:v>
      </x:c>
      <x:c r="U263" t="n">
        <x:v>100</x:v>
      </x:c>
      <x:c r="V263" t="str">
        <x:v>https://data.ny.gov/Economic-Development/Active-Corporations-Beginning-1800/n9v6-gdp6</x:v>
      </x:c>
    </x:row>
    <x:row r="264">
      <x:c r="A264" t="str">
        <x:v>DOS-5-063</x:v>
      </x:c>
      <x:c r="B264" t="str">
        <x:v>Not Mailed</x:v>
      </x:c>
      <x:c r="C264" s="55"/>
      <x:c r="D264" t="str">
        <x:v>No Response</x:v>
      </x:c>
      <x:c r="E264" t="str"/>
      <x:c r="F264" t="n">
        <x:v>5</x:v>
      </x:c>
      <x:c r="G264" t="str">
        <x:v>PROPERTY OWNER</x:v>
      </x:c>
      <x:c r="H264" t="str">
        <x:v>union hall mazalito</x:v>
      </x:c>
      <x:c r="I264" t="n">
        <x:v>1</x:v>
      </x:c>
      <x:c r="J264" t="str">
        <x:v>14718 HILLSIDE AVENUE, JAMAICA, NY, 11435, US</x:v>
      </x:c>
      <x:c r="K264" t="str">
        <x:v>ACRIS deed-party address</x:v>
      </x:c>
      <x:c r="L264" t="n">
        <x:v>5</x:v>
      </x:c>
      <x:c r="M264" t="n">
        <x:v>7</x:v>
      </x:c>
      <x:c r="N264" t="str">
        <x:v>63RD SAUNDERS LLC | BUTTRICK 123 LLC | MRT BUYERS LLC | UNION HALL MAZALITO LLC | UTICA 2022 LLC</x:v>
      </x:c>
      <x:c r="O264" t="str">
        <x:v>134-26 154 STREET, NY 11434 | 1344 UTICA AVENUE, NY 11203 | 257 BUTTRICK AVENUE, NY 10465 | 259 BUTTRICK AVENUE, NY 10465 | 278 BALCOM AVENUE, NY 10465 | 94-19 63 DRIVE, NY 11374 | UNION HALL STREET</x:v>
      </x:c>
      <x:c r="P264" t="n">
        <x:v>5</x:v>
      </x:c>
      <x:c r="Q264" s="15" t="n">
        <x:v>1</x:v>
      </x:c>
      <x:c r="R264" t="n">
        <x:v>0</x:v>
      </x:c>
      <x:c r="S264" t="str">
        <x:v>Shared DOS address</x:v>
      </x:c>
      <x:c r="T264" t="str">
        <x:v>No</x:v>
      </x:c>
      <x:c r="U264" t="n">
        <x:v>100</x:v>
      </x:c>
      <x:c r="V264" t="str">
        <x:v>https://data.ny.gov/Economic-Development/Active-Corporations-Beginning-1800/n9v6-gdp6</x:v>
      </x:c>
    </x:row>
    <x:row r="265">
      <x:c r="A265" t="str">
        <x:v>DOS-5-064</x:v>
      </x:c>
      <x:c r="B265" t="str">
        <x:v>Not Mailed</x:v>
      </x:c>
      <x:c r="C265" s="55"/>
      <x:c r="D265" t="str">
        <x:v>No Response</x:v>
      </x:c>
      <x:c r="E265" t="str"/>
      <x:c r="F265" t="n">
        <x:v>5</x:v>
      </x:c>
      <x:c r="G265" t="str">
        <x:v>PROPERTY OWNER</x:v>
      </x:c>
      <x:c r="H265" t="str"/>
      <x:c r="I265" t="n">
        <x:v>0</x:v>
      </x:c>
      <x:c r="J265" t="str">
        <x:v>1600 BEVERLY ROAD, SUITE C1, BROOKLYN, NY, 11226, US</x:v>
      </x:c>
      <x:c r="K265" t="str">
        <x:v>ACRIS deed-party address</x:v>
      </x:c>
      <x:c r="L265" t="n">
        <x:v>5</x:v>
      </x:c>
      <x:c r="M265" t="n">
        <x:v>7</x:v>
      </x:c>
      <x:c r="N265" t="str">
        <x:v>3933 SECOR LLC | 970 STERLING PLACE LLC | URBAN ADVANCEMENT II LLC | URBAN ADVANCEMENT V LLC | URBAN ADVANCEMENT VI LLC</x:v>
      </x:c>
      <x:c r="O265" t="str">
        <x:v>119-52 155 STREET, NY 11434 | 175 STREET | 3933 SECOR AVENUE, NY 10466 | 970 STERLING PLACE, NY 11213 | DOROTHEA PLACE | EAST 52 STREET | WEST 263 STREET, NY 10471</x:v>
      </x:c>
      <x:c r="P265" t="n">
        <x:v>2</x:v>
      </x:c>
      <x:c r="Q265" s="15" t="n">
        <x:v>0.4</x:v>
      </x:c>
      <x:c r="R265" t="n">
        <x:v>0</x:v>
      </x:c>
      <x:c r="S265" t="str">
        <x:v>Active-name matches only</x:v>
      </x:c>
      <x:c r="T265" t="str">
        <x:v>No</x:v>
      </x:c>
      <x:c r="U265" t="n">
        <x:v>100</x:v>
      </x:c>
      <x:c r="V265" t="str">
        <x:v>https://data.ny.gov/Economic-Development/Active-Corporations-Beginning-1800/n9v6-gdp6</x:v>
      </x:c>
    </x:row>
    <x:row r="266">
      <x:c r="A266" t="str">
        <x:v>DOS-5-065</x:v>
      </x:c>
      <x:c r="B266" t="str">
        <x:v>Not Mailed</x:v>
      </x:c>
      <x:c r="C266" s="55"/>
      <x:c r="D266" t="str">
        <x:v>No Response</x:v>
      </x:c>
      <x:c r="E266" t="str"/>
      <x:c r="F266" t="n">
        <x:v>5</x:v>
      </x:c>
      <x:c r="G266" t="str">
        <x:v>PROPERTY OWNER</x:v>
      </x:c>
      <x:c r="H266" t="str">
        <x:v>COMPOSTO &amp; FELICIA</x:v>
      </x:c>
      <x:c r="I266" t="n">
        <x:v>1</x:v>
      </x:c>
      <x:c r="J266" t="str">
        <x:v>1682 86TH STREET, BROOKLYN, NY, 11214</x:v>
      </x:c>
      <x:c r="K266" t="str">
        <x:v>DOS address corroborated by ACRIS</x:v>
      </x:c>
      <x:c r="L266" t="n">
        <x:v>5</x:v>
      </x:c>
      <x:c r="M266" t="n">
        <x:v>7</x:v>
      </x:c>
      <x:c r="N266" t="str">
        <x:v>1682 86TH STREET REALTY LLC | 1720 WEST 11TH STREET REALTY LLC | 2438 40 STILLWELL AVE LLC | RUTINO REALTY LLC | STILLWELL MANAGEMENT LLC</x:v>
      </x:c>
      <x:c r="O266" t="str">
        <x:v>1682 86 STREET, NY 11214 | 1720 WEST 11 STREET, NY 11223 | 2434 STILLWELL AVENUE, NY 11223 | 2859 HARWAY AVENUE, NY 11214 | 571 39 STREET, NY 11232 | HARWAY AVENUE | STILLWELL AVENUE</x:v>
      </x:c>
      <x:c r="P266" t="n">
        <x:v>4</x:v>
      </x:c>
      <x:c r="Q266" s="15" t="n">
        <x:v>0.8</x:v>
      </x:c>
      <x:c r="R266" t="n">
        <x:v>3</x:v>
      </x:c>
      <x:c r="S266" t="str">
        <x:v>Strong DOS address corroboration</x:v>
      </x:c>
      <x:c r="T266" t="str">
        <x:v>No</x:v>
      </x:c>
      <x:c r="U266" t="n">
        <x:v>100</x:v>
      </x:c>
      <x:c r="V266" t="str">
        <x:v>https://data.ny.gov/Economic-Development/Active-Corporations-Beginning-1800/n9v6-gdp6</x:v>
      </x:c>
    </x:row>
    <x:row r="267">
      <x:c r="A267" t="str">
        <x:v>DOS-5-066</x:v>
      </x:c>
      <x:c r="B267" t="str">
        <x:v>Not Mailed</x:v>
      </x:c>
      <x:c r="C267" s="55"/>
      <x:c r="D267" t="str">
        <x:v>No Response</x:v>
      </x:c>
      <x:c r="E267" t="str"/>
      <x:c r="F267" t="n">
        <x:v>5</x:v>
      </x:c>
      <x:c r="G267" t="str">
        <x:v>PROPERTY OWNER</x:v>
      </x:c>
      <x:c r="H267" t="str">
        <x:v>SALVATORE RUSSO AND FRANK DELPONTE</x:v>
      </x:c>
      <x:c r="I267" t="n">
        <x:v>1</x:v>
      </x:c>
      <x:c r="J267" t="str">
        <x:v>219 R. Wolfs Lane, Pelham, NY, 10803</x:v>
      </x:c>
      <x:c r="K267" t="str">
        <x:v>DOS address corroborated by ACRIS</x:v>
      </x:c>
      <x:c r="L267" t="n">
        <x:v>5</x:v>
      </x:c>
      <x:c r="M267" t="n">
        <x:v>7</x:v>
      </x:c>
      <x:c r="N267" t="str">
        <x:v>DELRUSS LLC | GIGI LLC | JOEFRANK LLC | S F 11 LLC | SEWARD BEACH LLC</x:v>
      </x:c>
      <x:c r="O267" t="str">
        <x:v>105 CENTRE STREET, NY 10464 | 1621 CROSBY AVENUE, NY 10461 | 1631 CROSBY AVENUE, NY 10461 | 1633 CROSBY AVENUE, NY 10461 | 1806 SEWARD AVENUE, NY 10473 | 1811 RADCLIFF AVENUE, NY 10462 | 654 BEACH AVENUE, NY 10473</x:v>
      </x:c>
      <x:c r="P267" t="n">
        <x:v>5</x:v>
      </x:c>
      <x:c r="Q267" s="15" t="n">
        <x:v>1</x:v>
      </x:c>
      <x:c r="R267" t="n">
        <x:v>2</x:v>
      </x:c>
      <x:c r="S267" t="str">
        <x:v>Strong DOS address corroboration</x:v>
      </x:c>
      <x:c r="T267" t="str">
        <x:v>No</x:v>
      </x:c>
      <x:c r="U267" t="n">
        <x:v>100</x:v>
      </x:c>
      <x:c r="V267" t="str">
        <x:v>https://data.ny.gov/Economic-Development/Active-Corporations-Beginning-1800/n9v6-gdp6</x:v>
      </x:c>
    </x:row>
    <x:row r="268">
      <x:c r="A268" t="str">
        <x:v>DOS-5-067</x:v>
      </x:c>
      <x:c r="B268" t="str">
        <x:v>Not Mailed</x:v>
      </x:c>
      <x:c r="C268" s="55"/>
      <x:c r="D268" t="str">
        <x:v>No Response</x:v>
      </x:c>
      <x:c r="E268" t="str"/>
      <x:c r="F268" t="n">
        <x:v>5</x:v>
      </x:c>
      <x:c r="G268" t="str">
        <x:v>PROPERTY OWNER</x:v>
      </x:c>
      <x:c r="H268" t="str"/>
      <x:c r="I268" t="n">
        <x:v>0</x:v>
      </x:c>
      <x:c r="J268" t="str">
        <x:v>183 WILSON ST STE 133, BROOKLYN, NY, 11211</x:v>
      </x:c>
      <x:c r="K268" t="str">
        <x:v>DOS address corroborated by ACRIS</x:v>
      </x:c>
      <x:c r="L268" t="n">
        <x:v>5</x:v>
      </x:c>
      <x:c r="M268" t="n">
        <x:v>7</x:v>
      </x:c>
      <x:c r="N268" t="str">
        <x:v>6 HAVEMEYER STREET LLC | GRAHAM ASSETS LLC | SOUTHSIDE UNITS LLC | WHIPPLE JS LLC | WHIPPLE YN LLC</x:v>
      </x:c>
      <x:c r="O268" t="str">
        <x:v>322 GRAHAM AVENUE, NY 11211 | 367 SOUTH 4 STREET, NY 11211 | 371 SOUTH 4 STREET, NY 11211 | 6 HAVEMEYER STREET, NY 11211 | 7 WHIPPLE STREET APT 102, NY 11206 | 7 WHIPPLE STREET APT 701, NY 11206 | 8 HAVEMEYER STREET, NY 11211</x:v>
      </x:c>
      <x:c r="P268" t="n">
        <x:v>5</x:v>
      </x:c>
      <x:c r="Q268" s="15" t="n">
        <x:v>1</x:v>
      </x:c>
      <x:c r="R268" t="n">
        <x:v>1</x:v>
      </x:c>
      <x:c r="S268" t="str">
        <x:v>Shared DOS address</x:v>
      </x:c>
      <x:c r="T268" t="str">
        <x:v>No</x:v>
      </x:c>
      <x:c r="U268" t="n">
        <x:v>100</x:v>
      </x:c>
      <x:c r="V268" t="str">
        <x:v>https://data.ny.gov/Economic-Development/Active-Corporations-Beginning-1800/n9v6-gdp6</x:v>
      </x:c>
    </x:row>
    <x:row r="269">
      <x:c r="A269" t="str">
        <x:v>DOS-5-068</x:v>
      </x:c>
      <x:c r="B269" t="str">
        <x:v>Not Mailed</x:v>
      </x:c>
      <x:c r="C269" s="55"/>
      <x:c r="D269" t="str">
        <x:v>No Response</x:v>
      </x:c>
      <x:c r="E269" t="str"/>
      <x:c r="F269" t="n">
        <x:v>5</x:v>
      </x:c>
      <x:c r="G269" t="str">
        <x:v>PROPERTY OWNER</x:v>
      </x:c>
      <x:c r="H269" t="str"/>
      <x:c r="I269" t="n">
        <x:v>0</x:v>
      </x:c>
      <x:c r="J269" t="str">
        <x:v>191-15 JAMAICA AVE, HOLLIS, NY, 11423</x:v>
      </x:c>
      <x:c r="K269" t="str">
        <x:v>DOS address corroborated by ACRIS</x:v>
      </x:c>
      <x:c r="L269" t="n">
        <x:v>5</x:v>
      </x:c>
      <x:c r="M269" t="n">
        <x:v>7</x:v>
      </x:c>
      <x:c r="N269" t="str">
        <x:v>200 PROPERTIES LLC | 203 MAC DONOUGH LLC | 214 VAN BUREN LLC | OR HAIM PROPERTIES LLC | YHOR LLC</x:v>
      </x:c>
      <x:c r="O269" t="str">
        <x:v>1063 BERGEN STREET APT 6, NY 11216 | 203 MAC DONOUGH STREET, NY 11216 | 2452 LORILLARD PLACE, NY 10458 | 2492 CAMBRELENG AVENUE, NY 10458 | 33 CLIFTON PLACE, NY 11238 | 442 JEFFERSON AVENUE, NY 11221 | 520 MADISON STREET, NY 11221</x:v>
      </x:c>
      <x:c r="P269" t="n">
        <x:v>4</x:v>
      </x:c>
      <x:c r="Q269" s="15" t="n">
        <x:v>0.8</x:v>
      </x:c>
      <x:c r="R269" t="n">
        <x:v>4</x:v>
      </x:c>
      <x:c r="S269" t="str">
        <x:v>Strong DOS address corroboration</x:v>
      </x:c>
      <x:c r="T269" t="str">
        <x:v>No</x:v>
      </x:c>
      <x:c r="U269" t="n">
        <x:v>100</x:v>
      </x:c>
      <x:c r="V269" t="str">
        <x:v>https://data.ny.gov/Economic-Development/Active-Corporations-Beginning-1800/n9v6-gdp6</x:v>
      </x:c>
    </x:row>
    <x:row r="270">
      <x:c r="A270" t="str">
        <x:v>DOS-5-069</x:v>
      </x:c>
      <x:c r="B270" t="str">
        <x:v>Not Mailed</x:v>
      </x:c>
      <x:c r="C270" s="55"/>
      <x:c r="D270" t="str">
        <x:v>No Response</x:v>
      </x:c>
      <x:c r="E270" t="str"/>
      <x:c r="F270" t="n">
        <x:v>5</x:v>
      </x:c>
      <x:c r="G270" t="str">
        <x:v>PROPERTY OWNER</x:v>
      </x:c>
      <x:c r="H270" t="str">
        <x:v>HENRY SHAPIRO</x:v>
      </x:c>
      <x:c r="I270" t="n">
        <x:v>1</x:v>
      </x:c>
      <x:c r="J270" t="str">
        <x:v>2184 McDonald Ave, Brooklyn, NY, 11223</x:v>
      </x:c>
      <x:c r="K270" t="str">
        <x:v>DOS address corroborated by ACRIS</x:v>
      </x:c>
      <x:c r="L270" t="n">
        <x:v>5</x:v>
      </x:c>
      <x:c r="M270" t="n">
        <x:v>7</x:v>
      </x:c>
      <x:c r="N270" t="str">
        <x:v>1976 CROTONA LLC | 316 318 EAST 77 LLC | 350 WEST 44 LLC | 44LIC DEVELOPMENT SP LLC | TERRA DEVELOPERS LLC</x:v>
      </x:c>
      <x:c r="O270" t="str">
        <x:v>11-49 44TH DRIVE, NY 11101 | 1970-1978 CROTONA PARKWAY, NY 10460 | 316 EAST 77 STREET, NY 10075 | 318 EAST 77 STREET, NY 10075 | 346 WEST 44TH STREET, NY 10036 | 618 AVENUE H APT P1, NY 11230 | 623 AVENUE H APT PS1, NY 11230</x:v>
      </x:c>
      <x:c r="P270" t="n">
        <x:v>5</x:v>
      </x:c>
      <x:c r="Q270" s="15" t="n">
        <x:v>1</x:v>
      </x:c>
      <x:c r="R270" t="n">
        <x:v>1</x:v>
      </x:c>
      <x:c r="S270" t="str">
        <x:v>Shared DOS address</x:v>
      </x:c>
      <x:c r="T270" t="str">
        <x:v>No</x:v>
      </x:c>
      <x:c r="U270" t="n">
        <x:v>100</x:v>
      </x:c>
      <x:c r="V270" t="str">
        <x:v>https://data.ny.gov/Economic-Development/Active-Corporations-Beginning-1800/n9v6-gdp6</x:v>
      </x:c>
    </x:row>
    <x:row r="271">
      <x:c r="A271" t="str">
        <x:v>DOS-5-070</x:v>
      </x:c>
      <x:c r="B271" t="str">
        <x:v>Not Mailed</x:v>
      </x:c>
      <x:c r="C271" s="55"/>
      <x:c r="D271" t="str">
        <x:v>No Response</x:v>
      </x:c>
      <x:c r="E271" t="str"/>
      <x:c r="F271" t="n">
        <x:v>5</x:v>
      </x:c>
      <x:c r="G271" t="str">
        <x:v>PROPERTY OWNER</x:v>
      </x:c>
      <x:c r="H271" t="str"/>
      <x:c r="I271" t="n">
        <x:v>0</x:v>
      </x:c>
      <x:c r="J271" t="str">
        <x:v>25-32 168TH STREET, FLUSHING, NY, 11358, US</x:v>
      </x:c>
      <x:c r="K271" t="str">
        <x:v>ACRIS deed-party address</x:v>
      </x:c>
      <x:c r="L271" t="n">
        <x:v>5</x:v>
      </x:c>
      <x:c r="M271" t="n">
        <x:v>7</x:v>
      </x:c>
      <x:c r="N271" t="str">
        <x:v>12616 HOLDING LLC | 129 19 HOLDING LLC | 14 21 23 HOLDING LLC | 2218 FULTON STREET LLC | 25 50 FLB LLC</x:v>
      </x:c>
      <x:c r="O271" t="str">
        <x:v>126-16 18 AVENUE, NY 11356 | 129-19 20 AVENUE, NY 11356 | 2218 FULTON STREET, NY 11233 | 2222 FULTON STREET, NY 11233 | 2224 FULTON STREET, NY 11233 | 25-57 31 STREET, NY 11102 | 53-30 35 STREET, NY 11101</x:v>
      </x:c>
      <x:c r="P271" t="n">
        <x:v>5</x:v>
      </x:c>
      <x:c r="Q271" s="15" t="n">
        <x:v>1</x:v>
      </x:c>
      <x:c r="R271" t="n">
        <x:v>0</x:v>
      </x:c>
      <x:c r="S271" t="str">
        <x:v>Shared DOS address</x:v>
      </x:c>
      <x:c r="T271" t="str">
        <x:v>No</x:v>
      </x:c>
      <x:c r="U271" t="n">
        <x:v>100</x:v>
      </x:c>
      <x:c r="V271" t="str">
        <x:v>https://data.ny.gov/Economic-Development/Active-Corporations-Beginning-1800/n9v6-gdp6</x:v>
      </x:c>
    </x:row>
    <x:row r="272">
      <x:c r="A272" t="str">
        <x:v>DOS-5-071</x:v>
      </x:c>
      <x:c r="B272" t="str">
        <x:v>Not Mailed</x:v>
      </x:c>
      <x:c r="C272" s="55"/>
      <x:c r="D272" t="str">
        <x:v>No Response</x:v>
      </x:c>
      <x:c r="E272" t="str"/>
      <x:c r="F272" t="n">
        <x:v>5</x:v>
      </x:c>
      <x:c r="G272" t="str">
        <x:v>PROPERTY OWNER</x:v>
      </x:c>
      <x:c r="H272" t="str"/>
      <x:c r="I272" t="n">
        <x:v>0</x:v>
      </x:c>
      <x:c r="J272" t="str">
        <x:v>2500  ARTHUR AVENUE, BRONX, NY, US</x:v>
      </x:c>
      <x:c r="K272" t="str">
        <x:v>ACRIS deed-party address</x:v>
      </x:c>
      <x:c r="L272" t="n">
        <x:v>5</x:v>
      </x:c>
      <x:c r="M272" t="n">
        <x:v>7</x:v>
      </x:c>
      <x:c r="N272" t="str">
        <x:v>BATHGATE LLC | HOFFMAN LLC | LORILLARD LLC | P AND P REALTY LLC | ROSE HILL LLC</x:v>
      </x:c>
      <x:c r="O272" t="str">
        <x:v>2423 HOFFMAN STREET, NY 10458 | 2425 HOFFMAN STREET, NY 10458 | 2491 LORILLARD PLACE, NY 10458 | 2493 LORILLARD PLACE, NY 10458 | 2502 BATHGATE AVENUE, NY 10458 | 2503 LORILLARD PLACE, NY 10458 | 2551 HOFFMAN STREET, NY 10458</x:v>
      </x:c>
      <x:c r="P272" t="n">
        <x:v>5</x:v>
      </x:c>
      <x:c r="Q272" s="15" t="n">
        <x:v>1</x:v>
      </x:c>
      <x:c r="R272" t="n">
        <x:v>0</x:v>
      </x:c>
      <x:c r="S272" t="str">
        <x:v>Shared DOS address</x:v>
      </x:c>
      <x:c r="T272" t="str">
        <x:v>No</x:v>
      </x:c>
      <x:c r="U272" t="n">
        <x:v>100</x:v>
      </x:c>
      <x:c r="V272" t="str">
        <x:v>https://data.ny.gov/Economic-Development/Active-Corporations-Beginning-1800/n9v6-gdp6</x:v>
      </x:c>
    </x:row>
    <x:row r="273">
      <x:c r="A273" t="str">
        <x:v>DOS-5-072</x:v>
      </x:c>
      <x:c r="B273" t="str">
        <x:v>Not Mailed</x:v>
      </x:c>
      <x:c r="C273" s="55"/>
      <x:c r="D273" t="str">
        <x:v>No Response</x:v>
      </x:c>
      <x:c r="E273" t="str"/>
      <x:c r="F273" t="n">
        <x:v>5</x:v>
      </x:c>
      <x:c r="G273" t="str">
        <x:v>PROPERTY OWNER</x:v>
      </x:c>
      <x:c r="H273" t="str">
        <x:v>STEVEN ROSS</x:v>
      </x:c>
      <x:c r="I273" t="n">
        <x:v>1</x:v>
      </x:c>
      <x:c r="J273" t="str">
        <x:v>266 47TH STREET, BROOKLYN, NY, 11220, US</x:v>
      </x:c>
      <x:c r="K273" t="str">
        <x:v>ACRIS deed-party address</x:v>
      </x:c>
      <x:c r="L273" t="n">
        <x:v>5</x:v>
      </x:c>
      <x:c r="M273" t="n">
        <x:v>7</x:v>
      </x:c>
      <x:c r="N273" t="str">
        <x:v>563 EP LLC | 568 REALTY PARTNERS LLC | LOTT ESTATES LLC | QUE10 LLC | URBAN BHCHESTER LLC</x:v>
      </x:c>
      <x:c r="O273" t="str">
        <x:v>107-26 SPRINGFIELD BLVD | 107-30 SPRINGFIELD BLVD | 107-32 SPRINGFIELD BLVD | 38 LOTT AVENUE, NY 11212 | 540 CHESTER STREET, NY 11212 | 563 EASTERN PARKWAY, NY 11216 | 620 CRESCENT STREET APT 6, NY 11208</x:v>
      </x:c>
      <x:c r="P273" t="n">
        <x:v>5</x:v>
      </x:c>
      <x:c r="Q273" s="15" t="n">
        <x:v>1</x:v>
      </x:c>
      <x:c r="R273" t="n">
        <x:v>1</x:v>
      </x:c>
      <x:c r="S273" t="str">
        <x:v>Active-name matches only</x:v>
      </x:c>
      <x:c r="T273" t="str">
        <x:v>No</x:v>
      </x:c>
      <x:c r="U273" t="n">
        <x:v>100</x:v>
      </x:c>
      <x:c r="V273" t="str">
        <x:v>https://data.ny.gov/Economic-Development/Active-Corporations-Beginning-1800/n9v6-gdp6</x:v>
      </x:c>
    </x:row>
    <x:row r="274">
      <x:c r="A274" t="str">
        <x:v>DOS-5-073</x:v>
      </x:c>
      <x:c r="B274" t="str">
        <x:v>Not Mailed</x:v>
      </x:c>
      <x:c r="C274" s="55"/>
      <x:c r="D274" t="str">
        <x:v>No Response</x:v>
      </x:c>
      <x:c r="E274" t="str"/>
      <x:c r="F274" t="n">
        <x:v>5</x:v>
      </x:c>
      <x:c r="G274" t="str">
        <x:v>PROPERTY OWNER</x:v>
      </x:c>
      <x:c r="H274" t="str"/>
      <x:c r="I274" t="n">
        <x:v>0</x:v>
      </x:c>
      <x:c r="J274" t="str">
        <x:v>2738 GERRITSEN AVENUE, BROOKLYN, NY, 11229</x:v>
      </x:c>
      <x:c r="K274" t="str">
        <x:v>DOS address corroborated by ACRIS</x:v>
      </x:c>
      <x:c r="L274" t="n">
        <x:v>5</x:v>
      </x:c>
      <x:c r="M274" t="n">
        <x:v>7</x:v>
      </x:c>
      <x:c r="N274" t="str">
        <x:v>2728 GERRITSEN AVENUE LLC | 2738 GERRITSEN AVENUE LLC | 2754 GERRITSEN AVENUE LLC | BH5 BARTLETT PL LLC | GERRITSEN PARK LLC</x:v>
      </x:c>
      <x:c r="O274" t="str">
        <x:v>1 BARTLETT PLACE, NY 11229 | 2728 GERRITSEN AVENUE, NY 11229 | 2738-2750 GERRITSEN AVENUE, NY 11229 | 2754 GERRITSEN AVENUE, NY 11229 | 4 BARTLETT PLACE, NY 11229 | 5 BARTLETT PLACE, NY 11229 | BARTLETT PLACE</x:v>
      </x:c>
      <x:c r="P274" t="n">
        <x:v>5</x:v>
      </x:c>
      <x:c r="Q274" s="15" t="n">
        <x:v>1</x:v>
      </x:c>
      <x:c r="R274" t="n">
        <x:v>4</x:v>
      </x:c>
      <x:c r="S274" t="str">
        <x:v>Strong DOS address corroboration</x:v>
      </x:c>
      <x:c r="T274" t="str">
        <x:v>No</x:v>
      </x:c>
      <x:c r="U274" t="n">
        <x:v>100</x:v>
      </x:c>
      <x:c r="V274" t="str">
        <x:v>https://data.ny.gov/Economic-Development/Active-Corporations-Beginning-1800/n9v6-gdp6</x:v>
      </x:c>
    </x:row>
    <x:row r="275">
      <x:c r="A275" t="str">
        <x:v>DOS-5-074</x:v>
      </x:c>
      <x:c r="B275" t="str">
        <x:v>Not Mailed</x:v>
      </x:c>
      <x:c r="C275" s="55"/>
      <x:c r="D275" t="str">
        <x:v>No Response</x:v>
      </x:c>
      <x:c r="E275" t="str"/>
      <x:c r="F275" t="n">
        <x:v>5</x:v>
      </x:c>
      <x:c r="G275" t="str">
        <x:v>PROPERTY OWNER</x:v>
      </x:c>
      <x:c r="H275" t="str">
        <x:v>C/O TROY G. BLOMBERG, ESQ.</x:v>
      </x:c>
      <x:c r="I275" t="n">
        <x:v>1</x:v>
      </x:c>
      <x:c r="J275" t="str">
        <x:v>3240 LUCERNE STREET, BRONX, NY, 10465, US</x:v>
      </x:c>
      <x:c r="K275" t="str">
        <x:v>ACRIS deed-party address</x:v>
      </x:c>
      <x:c r="L275" t="n">
        <x:v>5</x:v>
      </x:c>
      <x:c r="M275" t="n">
        <x:v>7</x:v>
      </x:c>
      <x:c r="N275" t="str">
        <x:v>BIG V INTERNATIONAL LLC | CHIROSA LLC | GALT LINE FELICIA LLC | POTOMAC WILL LLC | WILCOX AVENUE LLC</x:v>
      </x:c>
      <x:c r="O275" t="str">
        <x:v>2066-2068 MATTHEWS AVENUE, NY 10462 | 3023 KINGSLAND AVENUE, NY 10469 | 666 EAST 234 STREET, NY 10466 | 668 EAST 234 STREET, NY 10466 | 670 EAST 234 STREET, NY 10466 | 925 BRUCKNER BOULEVARD, NY 10459 | WILCOX AVENUE</x:v>
      </x:c>
      <x:c r="P275" t="n">
        <x:v>5</x:v>
      </x:c>
      <x:c r="Q275" s="15" t="n">
        <x:v>1</x:v>
      </x:c>
      <x:c r="R275" t="n">
        <x:v>0</x:v>
      </x:c>
      <x:c r="S275" t="str">
        <x:v>Active-name matches only</x:v>
      </x:c>
      <x:c r="T275" t="str">
        <x:v>No</x:v>
      </x:c>
      <x:c r="U275" t="n">
        <x:v>100</x:v>
      </x:c>
      <x:c r="V275" t="str">
        <x:v>https://data.ny.gov/Economic-Development/Active-Corporations-Beginning-1800/n9v6-gdp6</x:v>
      </x:c>
    </x:row>
    <x:row r="276">
      <x:c r="A276" t="str">
        <x:v>DOS-5-075</x:v>
      </x:c>
      <x:c r="B276" t="str">
        <x:v>Not Mailed</x:v>
      </x:c>
      <x:c r="C276" s="55"/>
      <x:c r="D276" t="str">
        <x:v>No Response</x:v>
      </x:c>
      <x:c r="E276" t="str"/>
      <x:c r="F276" t="n">
        <x:v>5</x:v>
      </x:c>
      <x:c r="G276" t="str">
        <x:v>PROPERTY OWNER</x:v>
      </x:c>
      <x:c r="H276" t="str"/>
      <x:c r="I276" t="n">
        <x:v>0</x:v>
      </x:c>
      <x:c r="J276" t="str">
        <x:v>SUITE 411, 3333 NEW HYDE PARK ROAD, NEW HYDE PARK, NY, 110421205</x:v>
      </x:c>
      <x:c r="K276" t="str">
        <x:v>DOS address corroborated by ACRIS</x:v>
      </x:c>
      <x:c r="L276" t="n">
        <x:v>5</x:v>
      </x:c>
      <x:c r="M276" t="n">
        <x:v>7</x:v>
      </x:c>
      <x:c r="N276" t="str">
        <x:v>5501 8760 C A S LLC | 82 83 JH LLC | AEJ 530 EAST 88TH LLC | DEERWOOD JACKSON AVENUE LLC | P S 143 REALTY LLC</x:v>
      </x:c>
      <x:c r="O276" t="str">
        <x:v>143-25 41 AVENUE, NY 11355 | 26-14-26-16 JACKSON AVENUE, NY 11101 | 35-53 82 STREET, NY 11372 | 35-54 83 STREET, NY 11372 | 524-530 EAST 88 STREET, NY 10128 | 5501 15 AVENUE, NY 11219 | 87-60 113 STREET, NY 11418</x:v>
      </x:c>
      <x:c r="P276" t="n">
        <x:v>5</x:v>
      </x:c>
      <x:c r="Q276" s="15" t="n">
        <x:v>1</x:v>
      </x:c>
      <x:c r="R276" t="n">
        <x:v>4</x:v>
      </x:c>
      <x:c r="S276" t="str">
        <x:v>Strong DOS address corroboration</x:v>
      </x:c>
      <x:c r="T276" t="str">
        <x:v>No</x:v>
      </x:c>
      <x:c r="U276" t="n">
        <x:v>100</x:v>
      </x:c>
      <x:c r="V276" t="str">
        <x:v>https://data.ny.gov/Economic-Development/Active-Corporations-Beginning-1800/n9v6-gdp6</x:v>
      </x:c>
    </x:row>
    <x:row r="277">
      <x:c r="A277" t="str">
        <x:v>DOS-5-076</x:v>
      </x:c>
      <x:c r="B277" t="str">
        <x:v>Not Mailed</x:v>
      </x:c>
      <x:c r="C277" s="55"/>
      <x:c r="D277" t="str">
        <x:v>No Response</x:v>
      </x:c>
      <x:c r="E277" t="str"/>
      <x:c r="F277" t="n">
        <x:v>5</x:v>
      </x:c>
      <x:c r="G277" t="str">
        <x:v>PROPERTY OWNER</x:v>
      </x:c>
      <x:c r="H277" t="str"/>
      <x:c r="I277" t="n">
        <x:v>0</x:v>
      </x:c>
      <x:c r="J277" t="str">
        <x:v>335  EAST 10TH STREET, NEW YORK, NY, 10009, US</x:v>
      </x:c>
      <x:c r="K277" t="str">
        <x:v>ACRIS deed-party address</x:v>
      </x:c>
      <x:c r="L277" t="n">
        <x:v>5</x:v>
      </x:c>
      <x:c r="M277" t="n">
        <x:v>7</x:v>
      </x:c>
      <x:c r="N277" t="str">
        <x:v>200 BC LLC | 324 6 E 13 LLC | MARGIT REALTY LLC | PARK EAST TENTH LLC | SIX AB LLC</x:v>
      </x:c>
      <x:c r="O277" t="str">
        <x:v>174 AVENUE B, NY 10009 | 200 EAST 7 STREET, NY 10009 | 312 EAST 93 STREET, NY 10128 | 324 EAST 13 STREET, NY 10003 | 326 EAST 13 STREET, NY 10003 | 343 EAST 10 STREET, NY 10009 | 539-541 EAST 6 STREET, NY 10009</x:v>
      </x:c>
      <x:c r="P277" t="n">
        <x:v>5</x:v>
      </x:c>
      <x:c r="Q277" s="15" t="n">
        <x:v>1</x:v>
      </x:c>
      <x:c r="R277" t="n">
        <x:v>1</x:v>
      </x:c>
      <x:c r="S277" t="str">
        <x:v>Active-name matches only</x:v>
      </x:c>
      <x:c r="T277" t="str">
        <x:v>No</x:v>
      </x:c>
      <x:c r="U277" t="n">
        <x:v>100</x:v>
      </x:c>
      <x:c r="V277" t="str">
        <x:v>https://data.ny.gov/Economic-Development/Active-Corporations-Beginning-1800/n9v6-gdp6</x:v>
      </x:c>
    </x:row>
    <x:row r="278">
      <x:c r="A278" t="str">
        <x:v>DOS-5-077</x:v>
      </x:c>
      <x:c r="B278" t="str">
        <x:v>Not Mailed</x:v>
      </x:c>
      <x:c r="C278" s="55"/>
      <x:c r="D278" t="str">
        <x:v>No Response</x:v>
      </x:c>
      <x:c r="E278" t="str"/>
      <x:c r="F278" t="n">
        <x:v>5</x:v>
      </x:c>
      <x:c r="G278" t="str">
        <x:v>PROPERTY OWNER</x:v>
      </x:c>
      <x:c r="H278" t="str">
        <x:v>C/O KARABELAS &amp; PAPAGIANOPOULOS LLP</x:v>
      </x:c>
      <x:c r="I278" t="n">
        <x:v>1</x:v>
      </x:c>
      <x:c r="J278" t="str">
        <x:v>36-14 11th Street, Long Island City, NY, 11106</x:v>
      </x:c>
      <x:c r="K278" t="str">
        <x:v>DOS address corroborated by ACRIS</x:v>
      </x:c>
      <x:c r="L278" t="n">
        <x:v>5</x:v>
      </x:c>
      <x:c r="M278" t="n">
        <x:v>7</x:v>
      </x:c>
      <x:c r="N278" t="str">
        <x:v>1228 WHITESTONE LLC | 30 79 C HOLDINGS LLC | 36 10 11TH ST REALTY LLC | DCT LLC | PANOS C REALTY LLC</x:v>
      </x:c>
      <x:c r="O278" t="str">
        <x:v>12-28 150 STREET, NY 11357 | 30-79 31 STREET, NY 11102 | 36-10 11 STREET, NY 11106 | 36-12 11 STREET, NY 11106 | 36-14 11 STREET, NY 11106 | 36-25 34 STREET, NY 11106 | 36-27 34 STREET, NY 11106</x:v>
      </x:c>
      <x:c r="P278" t="n">
        <x:v>5</x:v>
      </x:c>
      <x:c r="Q278" s="15" t="n">
        <x:v>1</x:v>
      </x:c>
      <x:c r="R278" t="n">
        <x:v>4</x:v>
      </x:c>
      <x:c r="S278" t="str">
        <x:v>Strong DOS address corroboration</x:v>
      </x:c>
      <x:c r="T278" t="str">
        <x:v>No</x:v>
      </x:c>
      <x:c r="U278" t="n">
        <x:v>100</x:v>
      </x:c>
      <x:c r="V278" t="str">
        <x:v>https://data.ny.gov/Economic-Development/Active-Corporations-Beginning-1800/n9v6-gdp6</x:v>
      </x:c>
    </x:row>
    <x:row r="279">
      <x:c r="A279" t="str">
        <x:v>DOS-5-078</x:v>
      </x:c>
      <x:c r="B279" t="str">
        <x:v>Not Mailed</x:v>
      </x:c>
      <x:c r="C279" s="55"/>
      <x:c r="D279" t="str">
        <x:v>No Response</x:v>
      </x:c>
      <x:c r="E279" t="str"/>
      <x:c r="F279" t="n">
        <x:v>5</x:v>
      </x:c>
      <x:c r="G279" t="str">
        <x:v>PROPERTY OWNER</x:v>
      </x:c>
      <x:c r="H279" t="str"/>
      <x:c r="I279" t="n">
        <x:v>0</x:v>
      </x:c>
      <x:c r="J279" t="str">
        <x:v>381 PARK AVENUE SOUTH, SUITE 621, NEW YORK, NY, 10016, US</x:v>
      </x:c>
      <x:c r="K279" t="str">
        <x:v>ACRIS deed-party address</x:v>
      </x:c>
      <x:c r="L279" t="n">
        <x:v>5</x:v>
      </x:c>
      <x:c r="M279" t="n">
        <x:v>7</x:v>
      </x:c>
      <x:c r="N279" t="str">
        <x:v>EAST SIDE VENTURES LLC | GRAMERCY FIRST AVENUE LLC | LIVINGSTON EQUITY LLC | LIVINGSTON I LLC | MULBERRY EQUITIES LLC</x:v>
      </x:c>
      <x:c r="O279" t="str">
        <x:v>139 MULBERRY STREET, NY 10013 | 377 1 AVENUE, NY 10010 | 383 1 AVENUE, NY 10010 | 54-62 LIVINGSTON STREET APT 32, NY 11201 | 80 LIVINGSTON STREET, NY 11201 | 86-88 LIVINGSTON STREET, NY 11201 | 90 LIVINGSTON STREET, NY 11201</x:v>
      </x:c>
      <x:c r="P279" t="n">
        <x:v>5</x:v>
      </x:c>
      <x:c r="Q279" s="15" t="n">
        <x:v>1</x:v>
      </x:c>
      <x:c r="R279" t="n">
        <x:v>0</x:v>
      </x:c>
      <x:c r="S279" t="str">
        <x:v>Shared DOS address</x:v>
      </x:c>
      <x:c r="T279" t="str">
        <x:v>No</x:v>
      </x:c>
      <x:c r="U279" t="n">
        <x:v>100</x:v>
      </x:c>
      <x:c r="V279" t="str">
        <x:v>https://data.ny.gov/Economic-Development/Active-Corporations-Beginning-1800/n9v6-gdp6</x:v>
      </x:c>
    </x:row>
    <x:row r="280">
      <x:c r="A280" t="str">
        <x:v>DOS-5-079</x:v>
      </x:c>
      <x:c r="B280" t="str">
        <x:v>Not Mailed</x:v>
      </x:c>
      <x:c r="C280" s="55"/>
      <x:c r="D280" t="str">
        <x:v>No Response</x:v>
      </x:c>
      <x:c r="E280" t="str"/>
      <x:c r="F280" t="n">
        <x:v>5</x:v>
      </x:c>
      <x:c r="G280" t="str">
        <x:v>PROPERTY OWNER</x:v>
      </x:c>
      <x:c r="H280" t="str"/>
      <x:c r="I280" t="n">
        <x:v>0</x:v>
      </x:c>
      <x:c r="J280" t="str">
        <x:v>489 SCHENECTADY AVENUE, BROOKLYN, NY, 11203</x:v>
      </x:c>
      <x:c r="K280" t="str">
        <x:v>DOS address corroborated by ACRIS</x:v>
      </x:c>
      <x:c r="L280" t="n">
        <x:v>5</x:v>
      </x:c>
      <x:c r="M280" t="n">
        <x:v>7</x:v>
      </x:c>
      <x:c r="N280" t="str">
        <x:v>130 E 91 LLC | 235 BEACH 86 ST LLC | 449 BEACH 45 ST LLC | 508 BEACH 45 ST LLC | 877 RUTLAND LLC</x:v>
      </x:c>
      <x:c r="O280" t="str">
        <x:v>130 EAST 91 STREET, NY 11212 | 322 BEACH 32 STREET, NY 11691 | 445 BEACH 45 STREET, NY 11691 | 877 RUTLAND ROAD APT 5, NY 11203 | BEACH 45 STREET, NY 11691 | ROCKAWAY BEACH BLVD</x:v>
      </x:c>
      <x:c r="P280" t="n">
        <x:v>5</x:v>
      </x:c>
      <x:c r="Q280" s="15" t="n">
        <x:v>1</x:v>
      </x:c>
      <x:c r="R280" t="n">
        <x:v>4</x:v>
      </x:c>
      <x:c r="S280" t="str">
        <x:v>Strong DOS address corroboration</x:v>
      </x:c>
      <x:c r="T280" t="str">
        <x:v>No</x:v>
      </x:c>
      <x:c r="U280" t="n">
        <x:v>100</x:v>
      </x:c>
      <x:c r="V280" t="str">
        <x:v>https://data.ny.gov/Economic-Development/Active-Corporations-Beginning-1800/n9v6-gdp6</x:v>
      </x:c>
    </x:row>
    <x:row r="281">
      <x:c r="A281" t="str">
        <x:v>DOS-5-080</x:v>
      </x:c>
      <x:c r="B281" t="str">
        <x:v>Not Mailed</x:v>
      </x:c>
      <x:c r="C281" s="55"/>
      <x:c r="D281" t="str">
        <x:v>No Response</x:v>
      </x:c>
      <x:c r="E281" t="str"/>
      <x:c r="F281" t="n">
        <x:v>5</x:v>
      </x:c>
      <x:c r="G281" t="str">
        <x:v>PROPERTY OWNER</x:v>
      </x:c>
      <x:c r="H281" t="str"/>
      <x:c r="I281" t="n">
        <x:v>0</x:v>
      </x:c>
      <x:c r="J281" t="str">
        <x:v>52-14 241ST STREET, DOUGLASTON, NY, 11362</x:v>
      </x:c>
      <x:c r="K281" t="str">
        <x:v>DOS address corroborated by ACRIS</x:v>
      </x:c>
      <x:c r="L281" t="n">
        <x:v>5</x:v>
      </x:c>
      <x:c r="M281" t="n">
        <x:v>7</x:v>
      </x:c>
      <x:c r="N281" t="str">
        <x:v>M AND S 2242 LLC | M AND S 2243 LLC | M AND S 2268 LLC | M AND S 2272 LLC | MARIA S WAY 2124 LLC</x:v>
      </x:c>
      <x:c r="O281" t="str">
        <x:v>21-24 30 DRIVE, NY 11102 | 22-40 27 STREET, NY 11105 | 22-42 27 STREET, NY 11105 | 22-43 27 STREET, NY 11105 | 22-68 28 STREET, NY 11105 | 22-72 28 STREET, NY 11105 | 27 STREET</x:v>
      </x:c>
      <x:c r="P281" t="n">
        <x:v>5</x:v>
      </x:c>
      <x:c r="Q281" s="15" t="n">
        <x:v>1</x:v>
      </x:c>
      <x:c r="R281" t="n">
        <x:v>5</x:v>
      </x:c>
      <x:c r="S281" t="str">
        <x:v>Strong DOS address corroboration</x:v>
      </x:c>
      <x:c r="T281" t="str">
        <x:v>No</x:v>
      </x:c>
      <x:c r="U281" t="n">
        <x:v>100</x:v>
      </x:c>
      <x:c r="V281" t="str">
        <x:v>https://data.ny.gov/Economic-Development/Active-Corporations-Beginning-1800/n9v6-gdp6</x:v>
      </x:c>
    </x:row>
    <x:row r="282">
      <x:c r="A282" t="str">
        <x:v>DOS-5-081</x:v>
      </x:c>
      <x:c r="B282" t="str">
        <x:v>Not Mailed</x:v>
      </x:c>
      <x:c r="C282" s="55"/>
      <x:c r="D282" t="str">
        <x:v>No Response</x:v>
      </x:c>
      <x:c r="E282" t="str"/>
      <x:c r="F282" t="n">
        <x:v>5</x:v>
      </x:c>
      <x:c r="G282" t="str">
        <x:v>PROPERTY OWNER</x:v>
      </x:c>
      <x:c r="H282" t="str"/>
      <x:c r="I282" t="n">
        <x:v>0</x:v>
      </x:c>
      <x:c r="J282" t="str">
        <x:v>539 EASTERN PARKWAY, 3RD FLOOR, BROOKLYN, NY, 11216</x:v>
      </x:c>
      <x:c r="K282" t="str">
        <x:v>DOS address corroborated by ACRIS</x:v>
      </x:c>
      <x:c r="L282" t="n">
        <x:v>5</x:v>
      </x:c>
      <x:c r="M282" t="n">
        <x:v>7</x:v>
      </x:c>
      <x:c r="N282" t="str">
        <x:v>1931 OCEAN PARKWAY LLC | 2441 OCEAN PARKWAY LLC | 37 HERKIMER LLC | THOMBOY FACILITIES LLC | URBAN SCAPE LLC</x:v>
      </x:c>
      <x:c r="O282" t="str">
        <x:v>136 DELANCEY STREET, NY 10002 | 2441 OCEAN PARKWAY, NY 11235 | 2443 OCEAN PARKWAY, NY 11235 | 482 THOMAS S BOYLAND STREET, NY 11212 | 482 THOMAS S BOYLAND, NY 11212 | 818 AVENUE V, NY 11223 | HERKIMER STREET</x:v>
      </x:c>
      <x:c r="P282" t="n">
        <x:v>4</x:v>
      </x:c>
      <x:c r="Q282" s="15" t="n">
        <x:v>0.8</x:v>
      </x:c>
      <x:c r="R282" t="n">
        <x:v>2</x:v>
      </x:c>
      <x:c r="S282" t="str">
        <x:v>Strong DOS address corroboration</x:v>
      </x:c>
      <x:c r="T282" t="str">
        <x:v>No</x:v>
      </x:c>
      <x:c r="U282" t="n">
        <x:v>100</x:v>
      </x:c>
      <x:c r="V282" t="str">
        <x:v>https://data.ny.gov/Economic-Development/Active-Corporations-Beginning-1800/n9v6-gdp6</x:v>
      </x:c>
    </x:row>
    <x:row r="283">
      <x:c r="A283" t="str">
        <x:v>DOS-5-082</x:v>
      </x:c>
      <x:c r="B283" t="str">
        <x:v>Not Mailed</x:v>
      </x:c>
      <x:c r="C283" s="55"/>
      <x:c r="D283" t="str">
        <x:v>No Response</x:v>
      </x:c>
      <x:c r="E283" t="str"/>
      <x:c r="F283" t="n">
        <x:v>5</x:v>
      </x:c>
      <x:c r="G283" t="str">
        <x:v>PROPERTY OWNER</x:v>
      </x:c>
      <x:c r="H283" t="str">
        <x:v>C/O GOLDSTEIN</x:v>
      </x:c>
      <x:c r="I283" t="n">
        <x:v>1</x:v>
      </x:c>
      <x:c r="J283" t="str">
        <x:v>543  BEDFORD AVE, BKLYN, NY, US</x:v>
      </x:c>
      <x:c r="K283" t="str">
        <x:v>ACRIS deed-party address</x:v>
      </x:c>
      <x:c r="L283" t="n">
        <x:v>5</x:v>
      </x:c>
      <x:c r="M283" t="n">
        <x:v>7</x:v>
      </x:c>
      <x:c r="N283" t="str">
        <x:v>171 173 REALTY LLC | GOLDSTOV LLC | LINDEN ST LLC | READE REALTY LLC | SKMF ENTERPRISES LLC</x:v>
      </x:c>
      <x:c r="O283" t="str">
        <x:v>1085-1089 WILLOUGHBY AVENUE, NY 11221 | 171-173 SOUTH 4 STREET APT 23, NY 11211 | 212 PENN STREET, NY 11211 | 44 MALCOLM X BOULEVARD, NY 11221 | 79 LINDEN STREET, NY 11221 | 81 LINDEN STREET, NY 11221 | 86 GROVE STREET, NY 11221</x:v>
      </x:c>
      <x:c r="P283" t="n">
        <x:v>3</x:v>
      </x:c>
      <x:c r="Q283" s="15" t="n">
        <x:v>0.6</x:v>
      </x:c>
      <x:c r="R283" t="n">
        <x:v>0</x:v>
      </x:c>
      <x:c r="S283" t="str">
        <x:v>Active-name matches only</x:v>
      </x:c>
      <x:c r="T283" t="str">
        <x:v>No</x:v>
      </x:c>
      <x:c r="U283" t="n">
        <x:v>100</x:v>
      </x:c>
      <x:c r="V283" t="str">
        <x:v>https://data.ny.gov/Economic-Development/Active-Corporations-Beginning-1800/n9v6-gdp6</x:v>
      </x:c>
    </x:row>
    <x:row r="284">
      <x:c r="A284" t="str">
        <x:v>DOS-5-083</x:v>
      </x:c>
      <x:c r="B284" t="str">
        <x:v>Not Mailed</x:v>
      </x:c>
      <x:c r="C284" s="55"/>
      <x:c r="D284" t="str">
        <x:v>No Response</x:v>
      </x:c>
      <x:c r="E284" t="str"/>
      <x:c r="F284" t="n">
        <x:v>5</x:v>
      </x:c>
      <x:c r="G284" t="str">
        <x:v>JOSEPH MUSSO</x:v>
      </x:c>
      <x:c r="H284" t="str">
        <x:v>JOSEPH MUSSO</x:v>
      </x:c>
      <x:c r="I284" t="n">
        <x:v>4</x:v>
      </x:c>
      <x:c r="J284" t="str">
        <x:v>58-71 57TH RD, MASPETH, NY, 11378</x:v>
      </x:c>
      <x:c r="K284" t="str">
        <x:v>DOS address corroborated by ACRIS</x:v>
      </x:c>
      <x:c r="L284" t="n">
        <x:v>5</x:v>
      </x:c>
      <x:c r="M284" t="n">
        <x:v>7</x:v>
      </x:c>
      <x:c r="N284" t="str">
        <x:v>15 17 126TH STREET LLC | 5871 REALTY LLC | 5875 REALTY LLC | AMBRO PROPERTIES LLC | MELVINA PROPERTIES LLC</x:v>
      </x:c>
      <x:c r="O284" t="str">
        <x:v>126 STREET | 15-17 126 STREET, NY 11356 | 18-13 128 STREET, NY 11356 | 56-68 MELVINA PLACE, NY 11378 | 58-75 57 ROAD, NY 11378 | 58-79 57 ROAD, NY 11378</x:v>
      </x:c>
      <x:c r="P284" t="n">
        <x:v>5</x:v>
      </x:c>
      <x:c r="Q284" s="15" t="n">
        <x:v>1</x:v>
      </x:c>
      <x:c r="R284" t="n">
        <x:v>1</x:v>
      </x:c>
      <x:c r="S284" t="str">
        <x:v>Shared DOS address</x:v>
      </x:c>
      <x:c r="T284" t="str">
        <x:v>No</x:v>
      </x:c>
      <x:c r="U284" t="n">
        <x:v>100</x:v>
      </x:c>
      <x:c r="V284" t="str">
        <x:v>https://data.ny.gov/Economic-Development/Active-Corporations-Beginning-1800/n9v6-gdp6</x:v>
      </x:c>
    </x:row>
    <x:row r="285">
      <x:c r="A285" t="str">
        <x:v>DOS-5-084</x:v>
      </x:c>
      <x:c r="B285" t="str">
        <x:v>Not Mailed</x:v>
      </x:c>
      <x:c r="C285" s="55"/>
      <x:c r="D285" t="str">
        <x:v>No Response</x:v>
      </x:c>
      <x:c r="E285" t="str"/>
      <x:c r="F285" t="n">
        <x:v>5</x:v>
      </x:c>
      <x:c r="G285" t="str">
        <x:v>PROPERTY OWNER</x:v>
      </x:c>
      <x:c r="H285" t="str">
        <x:v>C/O BRAUNER</x:v>
      </x:c>
      <x:c r="I285" t="n">
        <x:v>1</x:v>
      </x:c>
      <x:c r="J285" t="str">
        <x:v>2044 57th Street, BROOKLYN, NY, 11204</x:v>
      </x:c>
      <x:c r="K285" t="str">
        <x:v>DOS address corroborated by ACRIS</x:v>
      </x:c>
      <x:c r="L285" t="n">
        <x:v>5</x:v>
      </x:c>
      <x:c r="M285" t="n">
        <x:v>7</x:v>
      </x:c>
      <x:c r="N285" t="str">
        <x:v>B H FLATBUSH LLC | B H JEFFERSON LLC | B H THIRD LLC | B L COVERT LLC | B L GATES LLC</x:v>
      </x:c>
      <x:c r="O285" t="str">
        <x:v>1118 JEFFERSON AVENUE, NY 11221 | 1185 GATES AVENUE, NY 11221 | 165 COVERT STREET, NY 11207 | 34 3 PLACE, NY 11231 | 3814 AVENUE L, NY 11210 | 3816 AVENUE L, NY 11210 | 3820 AVENUE L, NY 11210</x:v>
      </x:c>
      <x:c r="P285" t="n">
        <x:v>5</x:v>
      </x:c>
      <x:c r="Q285" s="15" t="n">
        <x:v>1</x:v>
      </x:c>
      <x:c r="R285" t="n">
        <x:v>1</x:v>
      </x:c>
      <x:c r="S285" t="str">
        <x:v>Shared DOS address</x:v>
      </x:c>
      <x:c r="T285" t="str">
        <x:v>No</x:v>
      </x:c>
      <x:c r="U285" t="n">
        <x:v>100</x:v>
      </x:c>
      <x:c r="V285" t="str">
        <x:v>https://data.ny.gov/Economic-Development/Active-Corporations-Beginning-1800/n9v6-gdp6</x:v>
      </x:c>
    </x:row>
    <x:row r="286">
      <x:c r="A286" t="str">
        <x:v>DOS-5-085</x:v>
      </x:c>
      <x:c r="B286" t="str">
        <x:v>Not Mailed</x:v>
      </x:c>
      <x:c r="C286" s="55"/>
      <x:c r="D286" t="str">
        <x:v>No Response</x:v>
      </x:c>
      <x:c r="E286" t="str"/>
      <x:c r="F286" t="n">
        <x:v>5</x:v>
      </x:c>
      <x:c r="G286" t="str">
        <x:v>PROPERTY OWNER</x:v>
      </x:c>
      <x:c r="H286" t="str"/>
      <x:c r="I286" t="n">
        <x:v>0</x:v>
      </x:c>
      <x:c r="J286" t="str">
        <x:v>59-28 70th Street, Maspeth, NY, 11378</x:v>
      </x:c>
      <x:c r="K286" t="str">
        <x:v>DOS address corroborated by ACRIS</x:v>
      </x:c>
      <x:c r="L286" t="n">
        <x:v>5</x:v>
      </x:c>
      <x:c r="M286" t="n">
        <x:v>7</x:v>
      </x:c>
      <x:c r="N286" t="str">
        <x:v>60 AVE LLC | 7037 GLENDALE LLC | CINQUE TERRE LLC | FSGG HOLDINGS LLC | PIRRONE GRAND LLC</x:v>
      </x:c>
      <x:c r="O286" t="str">
        <x:v>59-27 69 PLACE, NY 11378 | 69-16 60 AVENUE, NY 11378 | 69-20 60 AVENUE, NY 11378 | 69-21 CENTRAL AVENUE, NY 11385 | 69-21 GRAND AVENUE, NY 11378 | 69-23 GRAND AVENUE, NY 11378 | 70-37 69 PLACE, NY 11385</x:v>
      </x:c>
      <x:c r="P286" t="n">
        <x:v>5</x:v>
      </x:c>
      <x:c r="Q286" s="15" t="n">
        <x:v>1</x:v>
      </x:c>
      <x:c r="R286" t="n">
        <x:v>5</x:v>
      </x:c>
      <x:c r="S286" t="str">
        <x:v>Strong DOS address corroboration</x:v>
      </x:c>
      <x:c r="T286" t="str">
        <x:v>No</x:v>
      </x:c>
      <x:c r="U286" t="n">
        <x:v>100</x:v>
      </x:c>
      <x:c r="V286" t="str">
        <x:v>https://data.ny.gov/Economic-Development/Active-Corporations-Beginning-1800/n9v6-gdp6</x:v>
      </x:c>
    </x:row>
    <x:row r="287">
      <x:c r="A287" t="str">
        <x:v>DOS-5-086</x:v>
      </x:c>
      <x:c r="B287" t="str">
        <x:v>Not Mailed</x:v>
      </x:c>
      <x:c r="C287" s="55"/>
      <x:c r="D287" t="str">
        <x:v>No Response</x:v>
      </x:c>
      <x:c r="E287" t="str"/>
      <x:c r="F287" t="n">
        <x:v>5</x:v>
      </x:c>
      <x:c r="G287" t="str">
        <x:v>PROPERTY OWNER</x:v>
      </x:c>
      <x:c r="H287" t="str">
        <x:v>DA DIAN YANG</x:v>
      </x:c>
      <x:c r="I287" t="n">
        <x:v>1</x:v>
      </x:c>
      <x:c r="J287" t="str">
        <x:v>772 44TH  STREET, BROOKLYN, NY, 11220, US</x:v>
      </x:c>
      <x:c r="K287" t="str">
        <x:v>ACRIS deed-party address</x:v>
      </x:c>
      <x:c r="L287" t="n">
        <x:v>5</x:v>
      </x:c>
      <x:c r="M287" t="n">
        <x:v>7</x:v>
      </x:c>
      <x:c r="N287" t="str">
        <x:v>469 45 STREET LLC | 472 SUNSET PARK LLC | 838 SUNSET PARK LLC | X D YANG AND DAUGHTER LLC | X D YANG AND FRIENDS II LLC</x:v>
      </x:c>
      <x:c r="O287" t="str">
        <x:v>4414 8 AVENUE, NY 11220 | 4623 6 AVENUE, NY 11220 | 469 45 STREET, NY 11220 | 472 42 STREET, NY 11232 | 8 AVENUE | 854 44 STREET, NY 11220</x:v>
      </x:c>
      <x:c r="P287" t="n">
        <x:v>5</x:v>
      </x:c>
      <x:c r="Q287" s="15" t="n">
        <x:v>1</x:v>
      </x:c>
      <x:c r="R287" t="n">
        <x:v>0</x:v>
      </x:c>
      <x:c r="S287" t="str">
        <x:v>Active-name matches only</x:v>
      </x:c>
      <x:c r="T287" t="str">
        <x:v>No</x:v>
      </x:c>
      <x:c r="U287" t="n">
        <x:v>100</x:v>
      </x:c>
      <x:c r="V287" t="str">
        <x:v>https://data.ny.gov/Economic-Development/Active-Corporations-Beginning-1800/n9v6-gdp6</x:v>
      </x:c>
    </x:row>
    <x:row r="288">
      <x:c r="A288" t="str">
        <x:v>DOS-5-087</x:v>
      </x:c>
      <x:c r="B288" t="str">
        <x:v>Not Mailed</x:v>
      </x:c>
      <x:c r="C288" s="55"/>
      <x:c r="D288" t="str">
        <x:v>No Response</x:v>
      </x:c>
      <x:c r="E288" t="str"/>
      <x:c r="F288" t="n">
        <x:v>5</x:v>
      </x:c>
      <x:c r="G288" t="str">
        <x:v>C/O LINA ALAIMO</x:v>
      </x:c>
      <x:c r="H288" t="str">
        <x:v>C/O LINA ALAIMO</x:v>
      </x:c>
      <x:c r="I288" t="n">
        <x:v>3</x:v>
      </x:c>
      <x:c r="J288" t="str">
        <x:v>8220 11TH AVE, BROOKLYN, NY, 11228</x:v>
      </x:c>
      <x:c r="K288" t="str">
        <x:v>DOS address corroborated by ACRIS</x:v>
      </x:c>
      <x:c r="L288" t="n">
        <x:v>5</x:v>
      </x:c>
      <x:c r="M288" t="n">
        <x:v>7</x:v>
      </x:c>
      <x:c r="N288" t="str">
        <x:v>2276 2278 86TH STREET LLC | 2615 SHORE PKWY LLC | 6420 18TH AVENUE LLC | 6903 NEW UTRECHT LLC | 7001 7003 18TH AVENUE LLC</x:v>
      </x:c>
      <x:c r="O288" t="str">
        <x:v>2276 86 STREET, NY 11214 | 2278 86 STREET, NY 11214 | 2615 SHORE PARKWAY, NY 11223 | 6420 18 AVENUE, NY 11204 | 6905 NEW UTRECHT AVENUE, NY 11228 | 7001 18 AVENUE, NY 11204 | 7003 18 AVENUE, NY 11204</x:v>
      </x:c>
      <x:c r="P288" t="n">
        <x:v>5</x:v>
      </x:c>
      <x:c r="Q288" s="15" t="n">
        <x:v>1</x:v>
      </x:c>
      <x:c r="R288" t="n">
        <x:v>3</x:v>
      </x:c>
      <x:c r="S288" t="str">
        <x:v>Strong DOS address corroboration</x:v>
      </x:c>
      <x:c r="T288" t="str">
        <x:v>No</x:v>
      </x:c>
      <x:c r="U288" t="n">
        <x:v>100</x:v>
      </x:c>
      <x:c r="V288" t="str">
        <x:v>https://data.ny.gov/Economic-Development/Active-Corporations-Beginning-1800/n9v6-gdp6</x:v>
      </x:c>
    </x:row>
    <x:row r="289">
      <x:c r="A289" t="str">
        <x:v>DOS-5-088</x:v>
      </x:c>
      <x:c r="B289" t="str">
        <x:v>Not Mailed</x:v>
      </x:c>
      <x:c r="C289" s="55"/>
      <x:c r="D289" t="str">
        <x:v>No Response</x:v>
      </x:c>
      <x:c r="E289" t="str"/>
      <x:c r="F289" t="n">
        <x:v>5</x:v>
      </x:c>
      <x:c r="G289" t="str">
        <x:v>PROPERTY OWNER</x:v>
      </x:c>
      <x:c r="H289" t="str"/>
      <x:c r="I289" t="n">
        <x:v>0</x:v>
      </x:c>
      <x:c r="J289" t="str">
        <x:v>825  EAST 233RD STREET, BRONX, NY, 10466, US</x:v>
      </x:c>
      <x:c r="K289" t="str">
        <x:v>ACRIS deed-party address</x:v>
      </x:c>
      <x:c r="L289" t="n">
        <x:v>5</x:v>
      </x:c>
      <x:c r="M289" t="n">
        <x:v>7</x:v>
      </x:c>
      <x:c r="N289" t="str">
        <x:v>188TH STREET HOLDING CO LLC | G AND L REALTY DELAWARE LLC | HEIGHTS HOLDING CO LLC | JONAH ASSOCIATES LLC | MGA MGMT II LLC</x:v>
      </x:c>
      <x:c r="O289" t="str">
        <x:v>1-15 BENNETT AVENUE, NY 10033 | 198 KEARNEY AVENUE, NY 10465 | 261-267 AMSTERDAM AVENUE, NY 10023 | 269-275 AMSTERDAM AVENUE, NY 10023 | 2769 UNIVERSITY AVENUE, NY 10468 | 2819 LA SALLE AVENUE, NY 10461 | 308 EAST 72 STREET APT PHB, NY 10021</x:v>
      </x:c>
      <x:c r="P289" t="n">
        <x:v>3</x:v>
      </x:c>
      <x:c r="Q289" s="15" t="n">
        <x:v>0.6</x:v>
      </x:c>
      <x:c r="R289" t="n">
        <x:v>0</x:v>
      </x:c>
      <x:c r="S289" t="str">
        <x:v>Shared DOS address</x:v>
      </x:c>
      <x:c r="T289" t="str">
        <x:v>No</x:v>
      </x:c>
      <x:c r="U289" t="n">
        <x:v>100</x:v>
      </x:c>
      <x:c r="V289" t="str">
        <x:v>https://data.ny.gov/Economic-Development/Active-Corporations-Beginning-1800/n9v6-gdp6</x:v>
      </x:c>
    </x:row>
    <x:row r="290">
      <x:c r="A290" t="str">
        <x:v>DOS-5-089</x:v>
      </x:c>
      <x:c r="B290" t="str">
        <x:v>Not Mailed</x:v>
      </x:c>
      <x:c r="C290" s="55"/>
      <x:c r="D290" t="str">
        <x:v>No Response</x:v>
      </x:c>
      <x:c r="E290" t="str"/>
      <x:c r="F290" t="n">
        <x:v>5</x:v>
      </x:c>
      <x:c r="G290" t="str">
        <x:v>PROPERTY OWNER</x:v>
      </x:c>
      <x:c r="H290" t="str"/>
      <x:c r="I290" t="n">
        <x:v>0</x:v>
      </x:c>
      <x:c r="J290" t="str">
        <x:v>84 EAST 2ND ST, NEW YORK, NY, 10003</x:v>
      </x:c>
      <x:c r="K290" t="str">
        <x:v>DOS address corroborated by ACRIS</x:v>
      </x:c>
      <x:c r="L290" t="n">
        <x:v>5</x:v>
      </x:c>
      <x:c r="M290" t="n">
        <x:v>7</x:v>
      </x:c>
      <x:c r="N290" t="str">
        <x:v>134 GEM LLC | 17 ASSETS LLC | 375 E 10TH ST REALTY LLC | RASH LLC | RMH ASSETS LLC</x:v>
      </x:c>
      <x:c r="O290" t="str">
        <x:v>17 ESSEX STREET, NY 10002 | 26 CLINTON STREET, NY 10002 | 375 EAST 10 STREET, NY 10009 | 53 AVENUE D, NY 10009 | 84 EAST 2 STREET, NY 10003 | EAST 5 STREET, NY 10009</x:v>
      </x:c>
      <x:c r="P290" t="n">
        <x:v>5</x:v>
      </x:c>
      <x:c r="Q290" s="15" t="n">
        <x:v>1</x:v>
      </x:c>
      <x:c r="R290" t="n">
        <x:v>2</x:v>
      </x:c>
      <x:c r="S290" t="str">
        <x:v>Strong DOS address corroboration</x:v>
      </x:c>
      <x:c r="T290" t="str">
        <x:v>No</x:v>
      </x:c>
      <x:c r="U290" t="n">
        <x:v>100</x:v>
      </x:c>
      <x:c r="V290" t="str">
        <x:v>https://data.ny.gov/Economic-Development/Active-Corporations-Beginning-1800/n9v6-gdp6</x:v>
      </x:c>
    </x:row>
    <x:row r="291">
      <x:c r="A291" t="str">
        <x:v>DOS-5-090</x:v>
      </x:c>
      <x:c r="B291" t="str">
        <x:v>Not Mailed</x:v>
      </x:c>
      <x:c r="C291" s="55"/>
      <x:c r="D291" t="str">
        <x:v>No Response</x:v>
      </x:c>
      <x:c r="E291" t="str"/>
      <x:c r="F291" t="n">
        <x:v>5</x:v>
      </x:c>
      <x:c r="G291" t="str">
        <x:v>PROPERTY OWNER</x:v>
      </x:c>
      <x:c r="H291" t="str"/>
      <x:c r="I291" t="n">
        <x:v>0</x:v>
      </x:c>
      <x:c r="J291" t="str">
        <x:v>888 SEVENTH AVENUE, NEW YORK, NY, 10019, US</x:v>
      </x:c>
      <x:c r="K291" t="str">
        <x:v>ACRIS deed-party address</x:v>
      </x:c>
      <x:c r="L291" t="n">
        <x:v>5</x:v>
      </x:c>
      <x:c r="M291" t="n">
        <x:v>7</x:v>
      </x:c>
      <x:c r="N291" t="str">
        <x:v>770 BROADWAY RETAIL UNIT OWNER LLC | HURON 2014 LLC | VNO 966 THIRD AVENUE LLC | VORNADO GUN HILL ROAD LLC | VORNADO TWO PENN PROPERTY LLC</x:v>
      </x:c>
      <x:c r="O291" t="str">
        <x:v>145 HUDSON STREET APT 300, NY 10013 | 145 HUDSON STREET APT 301, NY 10013 | 1770-1778 EAST GUN HILL ROAD, NY 10469 | 2 PENN PLAZA, NY 10121 | 770 BROADWAY APT RET1, NY 10003 | 770 BROADWAY APT RET2, NY 10003 | 966 3 AVENUE, NY 10022</x:v>
      </x:c>
      <x:c r="P291" t="n">
        <x:v>3</x:v>
      </x:c>
      <x:c r="Q291" s="15" t="n">
        <x:v>0.6</x:v>
      </x:c>
      <x:c r="R291" t="n">
        <x:v>0</x:v>
      </x:c>
      <x:c r="S291" t="str">
        <x:v>Active-name matches only</x:v>
      </x:c>
      <x:c r="T291" t="str">
        <x:v>No</x:v>
      </x:c>
      <x:c r="U291" t="n">
        <x:v>100</x:v>
      </x:c>
      <x:c r="V291" t="str">
        <x:v>https://data.ny.gov/Economic-Development/Active-Corporations-Beginning-1800/n9v6-gdp6</x:v>
      </x:c>
    </x:row>
    <x:row r="292">
      <x:c r="A292" t="str">
        <x:v>DOS-5-091</x:v>
      </x:c>
      <x:c r="B292" t="str">
        <x:v>Not Mailed</x:v>
      </x:c>
      <x:c r="C292" s="55"/>
      <x:c r="D292" t="str">
        <x:v>No Response</x:v>
      </x:c>
      <x:c r="E292" t="str"/>
      <x:c r="F292" t="n">
        <x:v>5</x:v>
      </x:c>
      <x:c r="G292" t="str">
        <x:v>PROPERTY OWNER</x:v>
      </x:c>
      <x:c r="H292" t="str"/>
      <x:c r="I292" t="n">
        <x:v>0</x:v>
      </x:c>
      <x:c r="J292" t="str">
        <x:v>91-10 METROPOLITAN AVENUE, 2ND FL, REGO PARK, NY, 11374</x:v>
      </x:c>
      <x:c r="K292" t="str">
        <x:v>DOS address corroborated by ACRIS</x:v>
      </x:c>
      <x:c r="L292" t="n">
        <x:v>5</x:v>
      </x:c>
      <x:c r="M292" t="n">
        <x:v>7</x:v>
      </x:c>
      <x:c r="N292" t="str">
        <x:v>232 04 NORTHERN REALTY LLC | 31 68 47 STREET LLC | 40 17 28 AVENUE LLC | 46 11 BROADWAY LLC | 60 13 WOODSIDE LLC</x:v>
      </x:c>
      <x:c r="O292" t="str">
        <x:v>232-20 NORTHERN BOULEVARD, NY 11363 | 28 AVENUE | 31-68 47 STREET, NY 11103 | 40-17-40-25 28 AVENUE, NY 11103 | 46-11 BROADWAY, NY 11103 | 47 STREET | 60-13-60-17 NORTHERN BOULEVARD, NY 11377</x:v>
      </x:c>
      <x:c r="P292" t="n">
        <x:v>5</x:v>
      </x:c>
      <x:c r="Q292" s="15" t="n">
        <x:v>1</x:v>
      </x:c>
      <x:c r="R292" t="n">
        <x:v>5</x:v>
      </x:c>
      <x:c r="S292" t="str">
        <x:v>Strong DOS address corroboration</x:v>
      </x:c>
      <x:c r="T292" t="str">
        <x:v>No</x:v>
      </x:c>
      <x:c r="U292" t="n">
        <x:v>100</x:v>
      </x:c>
      <x:c r="V292" t="str">
        <x:v>https://data.ny.gov/Economic-Development/Active-Corporations-Beginning-1800/n9v6-gdp6</x:v>
      </x:c>
    </x:row>
    <x:row r="293">
      <x:c r="A293" t="str">
        <x:v>DOS-5-092</x:v>
      </x:c>
      <x:c r="B293" t="str">
        <x:v>Not Mailed</x:v>
      </x:c>
      <x:c r="C293" s="55"/>
      <x:c r="D293" t="str">
        <x:v>No Response</x:v>
      </x:c>
      <x:c r="E293" t="str"/>
      <x:c r="F293" t="n">
        <x:v>5</x:v>
      </x:c>
      <x:c r="G293" t="str">
        <x:v>PROPERTY OWNER</x:v>
      </x:c>
      <x:c r="H293" t="str">
        <x:v>Warren Friedman</x:v>
      </x:c>
      <x:c r="I293" t="n">
        <x:v>1</x:v>
      </x:c>
      <x:c r="J293" t="str">
        <x:v>942 LAFAYETTE AVENUE, BROOKLYN, NY, 11221</x:v>
      </x:c>
      <x:c r="K293" t="str">
        <x:v>DOS address corroborated by ACRIS</x:v>
      </x:c>
      <x:c r="L293" t="n">
        <x:v>5</x:v>
      </x:c>
      <x:c r="M293" t="n">
        <x:v>7</x:v>
      </x:c>
      <x:c r="N293" t="str">
        <x:v>200 RECTOR 4A LLC | 8208 17TH AVE LLC | A 510 KENT LLC | F2 LAFAYETTE 953 LLC | PAIDGE GROUP LLC</x:v>
      </x:c>
      <x:c r="O293" t="str">
        <x:v>184 KENT AVENUE APT A510, NY 11249 | 200 RECTOR PLACE APT 4A, NY 10280 | 56-03 COOPER AVENUE, NY 11385 | 56-23 COOPER AVENUE, NY 11385 | 8208 17 AVENUE, NY 11214 | 953 LAFAYETTE AVENUE, NY 11221 | COOPER AVENUE</x:v>
      </x:c>
      <x:c r="P293" t="n">
        <x:v>5</x:v>
      </x:c>
      <x:c r="Q293" s="15" t="n">
        <x:v>1</x:v>
      </x:c>
      <x:c r="R293" t="n">
        <x:v>5</x:v>
      </x:c>
      <x:c r="S293" t="str">
        <x:v>Strong DOS address corroboration</x:v>
      </x:c>
      <x:c r="T293" t="str">
        <x:v>No</x:v>
      </x:c>
      <x:c r="U293" t="n">
        <x:v>100</x:v>
      </x:c>
      <x:c r="V293" t="str">
        <x:v>https://data.ny.gov/Economic-Development/Active-Corporations-Beginning-1800/n9v6-gdp6</x:v>
      </x:c>
    </x:row>
    <x:row r="294">
      <x:c r="A294" t="str">
        <x:v>DOS-5-093</x:v>
      </x:c>
      <x:c r="B294" t="str">
        <x:v>Not Mailed</x:v>
      </x:c>
      <x:c r="C294" s="55"/>
      <x:c r="D294" t="str">
        <x:v>No Response</x:v>
      </x:c>
      <x:c r="E294" t="str"/>
      <x:c r="F294" t="n">
        <x:v>5</x:v>
      </x:c>
      <x:c r="G294" t="str">
        <x:v>PROPERTY OWNER</x:v>
      </x:c>
      <x:c r="H294" t="str"/>
      <x:c r="I294" t="n">
        <x:v>0</x:v>
      </x:c>
      <x:c r="J294" t="str">
        <x:v>PO BOX 659, SPRING VALLEY, NY, 10977, US</x:v>
      </x:c>
      <x:c r="K294" t="str">
        <x:v>ACRIS deed-party address</x:v>
      </x:c>
      <x:c r="L294" t="n">
        <x:v>5</x:v>
      </x:c>
      <x:c r="M294" t="n">
        <x:v>7</x:v>
      </x:c>
      <x:c r="N294" t="str">
        <x:v>539 W 156 LLC | 570 WEST 156 STREET LLC | 571 W 159 LLC | FIFTH AVENUE 2254 LLC | WE AUDUBON 100 LLC</x:v>
      </x:c>
      <x:c r="O294" t="str">
        <x:v>100 AUDUBON AVENUE, NY 10032 | 2254 5 AVENUE, NY 10037 | 539 WEST 156 STREET, NY 10032 | 541 WEST 156 STREET, NY 10032 | 570 WEST 156 STREET, NY 10032 | 571 WEST 159 STREET, NY 10032 | 573 WEST 159 STREET, NY 10032</x:v>
      </x:c>
      <x:c r="P294" t="n">
        <x:v>5</x:v>
      </x:c>
      <x:c r="Q294" s="15" t="n">
        <x:v>1</x:v>
      </x:c>
      <x:c r="R294" t="n">
        <x:v>0</x:v>
      </x:c>
      <x:c r="S294" t="str">
        <x:v>Shared DOS address</x:v>
      </x:c>
      <x:c r="T294" t="str">
        <x:v>No</x:v>
      </x:c>
      <x:c r="U294" t="n">
        <x:v>100</x:v>
      </x:c>
      <x:c r="V294" t="str">
        <x:v>https://data.ny.gov/Economic-Development/Active-Corporations-Beginning-1800/n9v6-gdp6</x:v>
      </x:c>
    </x:row>
    <x:row r="295">
      <x:c r="A295" t="str">
        <x:v>DOS-5-094</x:v>
      </x:c>
      <x:c r="B295" t="str">
        <x:v>Not Mailed</x:v>
      </x:c>
      <x:c r="C295" s="55"/>
      <x:c r="D295" t="str">
        <x:v>No Response</x:v>
      </x:c>
      <x:c r="E295" t="str"/>
      <x:c r="F295" t="n">
        <x:v>5</x:v>
      </x:c>
      <x:c r="G295" t="str">
        <x:v>PROPERTY OWNER</x:v>
      </x:c>
      <x:c r="H295" t="str">
        <x:v>C/O HUTCH MANAGEMENT</x:v>
      </x:c>
      <x:c r="I295" t="n">
        <x:v>1</x:v>
      </x:c>
      <x:c r="J295" t="str">
        <x:v>1000 MAIN STREET, NEW ROCHELLE, NY, 10801, US</x:v>
      </x:c>
      <x:c r="K295" t="str">
        <x:v>ACRIS deed-party address</x:v>
      </x:c>
      <x:c r="L295" t="n">
        <x:v>5</x:v>
      </x:c>
      <x:c r="M295" t="n">
        <x:v>6</x:v>
      </x:c>
      <x:c r="N295" t="str">
        <x:v>2510 WESTCHESTER AVENUE ASSOCIATES LLC | 2826 REALTY ASSOCIATES LLC | BLVD PLAZA REALTY LLC | BORDEN EAST RIVER REALTY LLC | EAST 141ST STREET ASSOCIATES LLC</x:v>
      </x:c>
      <x:c r="O295" t="str">
        <x:v>2510 WESTCHESTER AVENUE, NY 10461 | 2826 WESTCHESTER AVENUE, NY 10461 | 4256-4260 BRONX BOULEVARD, NY 10466 | 5-43 BORDEN AVENUE, NY 11101 | 881 EAST 141 STREET, NY 10454 | 901 EAST 141 STREET, NY 10454</x:v>
      </x:c>
      <x:c r="P295" t="n">
        <x:v>5</x:v>
      </x:c>
      <x:c r="Q295" s="15" t="n">
        <x:v>1</x:v>
      </x:c>
      <x:c r="R295" t="n">
        <x:v>0</x:v>
      </x:c>
      <x:c r="S295" t="str">
        <x:v>Active-name matches only</x:v>
      </x:c>
      <x:c r="T295" t="str">
        <x:v>No</x:v>
      </x:c>
      <x:c r="U295" t="n">
        <x:v>100</x:v>
      </x:c>
      <x:c r="V295" t="str">
        <x:v>https://data.ny.gov/Economic-Development/Active-Corporations-Beginning-1800/n9v6-gdp6</x:v>
      </x:c>
    </x:row>
    <x:row r="296">
      <x:c r="A296" t="str">
        <x:v>DOS-5-095</x:v>
      </x:c>
      <x:c r="B296" t="str">
        <x:v>Not Mailed</x:v>
      </x:c>
      <x:c r="C296" s="55"/>
      <x:c r="D296" t="str">
        <x:v>No Response</x:v>
      </x:c>
      <x:c r="E296" t="str"/>
      <x:c r="F296" t="n">
        <x:v>5</x:v>
      </x:c>
      <x:c r="G296" t="str">
        <x:v>NOAH SOHNE</x:v>
      </x:c>
      <x:c r="H296" t="str">
        <x:v>NOAH SOHNE</x:v>
      </x:c>
      <x:c r="I296" t="n">
        <x:v>2</x:v>
      </x:c>
      <x:c r="J296" t="str">
        <x:v>102 Sackett Street, Brooklyn, NY, 11231</x:v>
      </x:c>
      <x:c r="K296" t="str">
        <x:v>DOS address corroborated by ACRIS</x:v>
      </x:c>
      <x:c r="L296" t="n">
        <x:v>5</x:v>
      </x:c>
      <x:c r="M296" t="n">
        <x:v>6</x:v>
      </x:c>
      <x:c r="N296" t="str">
        <x:v>25 GREAT JONES LLC | BKLYN11201 LLC | COLUMBIA MEWS OWNER LLC | HEART OF THE COBBLE LLC | PROSPECT PARK ROWHOUSE LLC</x:v>
      </x:c>
      <x:c r="O296" t="str">
        <x:v>11 WOODHULL STREET, NY 11231 | 213 COLUMBIA STREET, NY 11231 | 25 GREAT JONES APT COMM, NY 10012 | 278 CLINTON STREET, NY 11201 | 33 CARROLL STREET, NY 11231 | 35 CARROLL STREET, NY 11231</x:v>
      </x:c>
      <x:c r="P296" t="n">
        <x:v>5</x:v>
      </x:c>
      <x:c r="Q296" s="15" t="n">
        <x:v>1</x:v>
      </x:c>
      <x:c r="R296" t="n">
        <x:v>4</x:v>
      </x:c>
      <x:c r="S296" t="str">
        <x:v>Strong DOS address corroboration</x:v>
      </x:c>
      <x:c r="T296" t="str">
        <x:v>No</x:v>
      </x:c>
      <x:c r="U296" t="n">
        <x:v>100</x:v>
      </x:c>
      <x:c r="V296" t="str">
        <x:v>https://data.ny.gov/Economic-Development/Active-Corporations-Beginning-1800/n9v6-gdp6</x:v>
      </x:c>
    </x:row>
    <x:row r="297">
      <x:c r="A297" t="str">
        <x:v>DOS-5-096</x:v>
      </x:c>
      <x:c r="B297" t="str">
        <x:v>Not Mailed</x:v>
      </x:c>
      <x:c r="C297" s="55"/>
      <x:c r="D297" t="str">
        <x:v>No Response</x:v>
      </x:c>
      <x:c r="E297" t="str"/>
      <x:c r="F297" t="n">
        <x:v>5</x:v>
      </x:c>
      <x:c r="G297" t="str">
        <x:v>PROPERTY OWNER</x:v>
      </x:c>
      <x:c r="H297" t="str"/>
      <x:c r="I297" t="n">
        <x:v>0</x:v>
      </x:c>
      <x:c r="J297" t="str">
        <x:v>1026 BROADWAY #12, BROOKLYN, NY, 11221</x:v>
      </x:c>
      <x:c r="K297" t="str">
        <x:v>DOS address corroborated by ACRIS</x:v>
      </x:c>
      <x:c r="L297" t="n">
        <x:v>5</x:v>
      </x:c>
      <x:c r="M297" t="n">
        <x:v>6</x:v>
      </x:c>
      <x:c r="N297" t="str">
        <x:v>1406 CROTONA PARK LLC | 1870 HOUSING LLC | 325 E18 LLC | W2910 LLC | YOUNG BX 996 LLC</x:v>
      </x:c>
      <x:c r="O297" t="str">
        <x:v>1406 CROTONA PARK EAST, NY 10460 | 1870 ANDREWS AVENUE SOUTH, NY 10453 | 2910 WICKHAM AVENUE, NY 10469 | 2912 WICKHAM AVENUE, NY 10469 | 325 EAST 18 STREET, NY 10003 | 996 FINDLAY AVENUE, NY 10456</x:v>
      </x:c>
      <x:c r="P297" t="n">
        <x:v>5</x:v>
      </x:c>
      <x:c r="Q297" s="15" t="n">
        <x:v>1</x:v>
      </x:c>
      <x:c r="R297" t="n">
        <x:v>4</x:v>
      </x:c>
      <x:c r="S297" t="str">
        <x:v>Strong DOS address corroboration</x:v>
      </x:c>
      <x:c r="T297" t="str">
        <x:v>No</x:v>
      </x:c>
      <x:c r="U297" t="n">
        <x:v>100</x:v>
      </x:c>
      <x:c r="V297" t="str">
        <x:v>https://data.ny.gov/Economic-Development/Active-Corporations-Beginning-1800/n9v6-gdp6</x:v>
      </x:c>
    </x:row>
    <x:row r="298">
      <x:c r="A298" t="str">
        <x:v>DOS-5-097</x:v>
      </x:c>
      <x:c r="B298" t="str">
        <x:v>Not Mailed</x:v>
      </x:c>
      <x:c r="C298" s="55"/>
      <x:c r="D298" t="str">
        <x:v>No Response</x:v>
      </x:c>
      <x:c r="E298" t="str"/>
      <x:c r="F298" t="n">
        <x:v>5</x:v>
      </x:c>
      <x:c r="G298" t="str">
        <x:v>PROPERTY OWNER</x:v>
      </x:c>
      <x:c r="H298" t="str"/>
      <x:c r="I298" t="n">
        <x:v>0</x:v>
      </x:c>
      <x:c r="J298" t="str">
        <x:v>1087  LIBERTY AVENUE, BROOKLYN, NY, 11208, US</x:v>
      </x:c>
      <x:c r="K298" t="str">
        <x:v>ACRIS deed-party address</x:v>
      </x:c>
      <x:c r="L298" t="n">
        <x:v>5</x:v>
      </x:c>
      <x:c r="M298" t="n">
        <x:v>6</x:v>
      </x:c>
      <x:c r="N298" t="str">
        <x:v>1148 BELMONT AVE LLC | 508 CLEVELAND STREET REALTY LLC | 953 SUTTER AVENUE LLC | 957 SUTTER AVENUE LLC | 963 SUTTER AVENUE LLC</x:v>
      </x:c>
      <x:c r="O298" t="str">
        <x:v>1148 BELMONT AVENUE, NY 11208 | 508 CLEVELAND STREET, NY 11208 | 953 SUTTER AVENUE, NY 11208 | 955 SUTTER AVENUE, NY 11208 | 963 SUTTER AVENUE, NY 11208 | BELMONT AVENUE</x:v>
      </x:c>
      <x:c r="P298" t="n">
        <x:v>4</x:v>
      </x:c>
      <x:c r="Q298" s="15" t="n">
        <x:v>0.8</x:v>
      </x:c>
      <x:c r="R298" t="n">
        <x:v>0</x:v>
      </x:c>
      <x:c r="S298" t="str">
        <x:v>Shared DOS address</x:v>
      </x:c>
      <x:c r="T298" t="str">
        <x:v>No</x:v>
      </x:c>
      <x:c r="U298" t="n">
        <x:v>100</x:v>
      </x:c>
      <x:c r="V298" t="str">
        <x:v>https://data.ny.gov/Economic-Development/Active-Corporations-Beginning-1800/n9v6-gdp6</x:v>
      </x:c>
    </x:row>
    <x:row r="299">
      <x:c r="A299" t="str">
        <x:v>DOS-5-098</x:v>
      </x:c>
      <x:c r="B299" t="str">
        <x:v>Not Mailed</x:v>
      </x:c>
      <x:c r="C299" s="55"/>
      <x:c r="D299" t="str">
        <x:v>No Response</x:v>
      </x:c>
      <x:c r="E299" t="str"/>
      <x:c r="F299" t="n">
        <x:v>5</x:v>
      </x:c>
      <x:c r="G299" t="str">
        <x:v>ANTHONY FRANCIS</x:v>
      </x:c>
      <x:c r="H299" t="str">
        <x:v>ANTHONY FRANCIS</x:v>
      </x:c>
      <x:c r="I299" t="n">
        <x:v>5</x:v>
      </x:c>
      <x:c r="J299" t="str">
        <x:v>120-18 115TH AVE, SOUTH OZONE PARK, NY, 11420, US</x:v>
      </x:c>
      <x:c r="K299" t="str">
        <x:v>ACRIS deed-party address</x:v>
      </x:c>
      <x:c r="L299" t="n">
        <x:v>5</x:v>
      </x:c>
      <x:c r="M299" t="n">
        <x:v>6</x:v>
      </x:c>
      <x:c r="N299" t="str">
        <x:v>11 13 115TH STREET LLC | 126 128 MONTAUK AVE LLC | 134 MONTAUK AVE LLC | 14 18 115TH AVENUE LLC | 220 MILFORD STREET LLC</x:v>
      </x:c>
      <x:c r="O299" t="str">
        <x:v>111-11 115 STREET, NY 11420 | 120-14 115 AVENUE, NY 11420 | 126 MONTAUK AVENUE, NY 11208 | 128 MONTAUK AVENUE, NY 11208 | 134 MONTAUK AVENUE, NY 11208 | 220 MILFORD STREET, NY 11208</x:v>
      </x:c>
      <x:c r="P299" t="n">
        <x:v>5</x:v>
      </x:c>
      <x:c r="Q299" s="15" t="n">
        <x:v>1</x:v>
      </x:c>
      <x:c r="R299" t="n">
        <x:v>0</x:v>
      </x:c>
      <x:c r="S299" t="str">
        <x:v>Shared DOS address</x:v>
      </x:c>
      <x:c r="T299" t="str">
        <x:v>No</x:v>
      </x:c>
      <x:c r="U299" t="n">
        <x:v>100</x:v>
      </x:c>
      <x:c r="V299" t="str">
        <x:v>https://data.ny.gov/Economic-Development/Active-Corporations-Beginning-1800/n9v6-gdp6</x:v>
      </x:c>
    </x:row>
    <x:row r="300">
      <x:c r="A300" t="str">
        <x:v>DOS-5-099</x:v>
      </x:c>
      <x:c r="B300" t="str">
        <x:v>Not Mailed</x:v>
      </x:c>
      <x:c r="C300" s="55"/>
      <x:c r="D300" t="str">
        <x:v>No Response</x:v>
      </x:c>
      <x:c r="E300" t="str"/>
      <x:c r="F300" t="n">
        <x:v>5</x:v>
      </x:c>
      <x:c r="G300" t="str">
        <x:v>PROPERTY OWNER</x:v>
      </x:c>
      <x:c r="H300" t="str"/>
      <x:c r="I300" t="n">
        <x:v>0</x:v>
      </x:c>
      <x:c r="J300" t="str">
        <x:v>131 HEYWARD STREET, BROOKLYN, NY, 11206, US</x:v>
      </x:c>
      <x:c r="K300" t="str">
        <x:v>ACRIS deed-party address</x:v>
      </x:c>
      <x:c r="L300" t="n">
        <x:v>5</x:v>
      </x:c>
      <x:c r="M300" t="n">
        <x:v>6</x:v>
      </x:c>
      <x:c r="N300" t="str">
        <x:v>239 FRANKLIN AVE LLC | 242 LYNCH HOLDINGS LLC | 577 MARCY LLC | 836 838 BEDFORD AVE LLC | 836 838 BEDFORD AVENUE LLC</x:v>
      </x:c>
      <x:c r="O300" t="str">
        <x:v>239 FRANKLIN AVENUE, NY 11205 | 246 LYNCH STREET, NY 11206 | 585 MARCY AVENUE APT C1, NY 11206 | 585 MARCY AVENUE APT R1, NY 11206 | 836 BEDFORD AVENUE, NY 11205 | 838 BEDFORD AVENUE, NY 11205</x:v>
      </x:c>
      <x:c r="P300" t="n">
        <x:v>4</x:v>
      </x:c>
      <x:c r="Q300" s="15" t="n">
        <x:v>0.8</x:v>
      </x:c>
      <x:c r="R300" t="n">
        <x:v>0</x:v>
      </x:c>
      <x:c r="S300" t="str">
        <x:v>Shared DOS address</x:v>
      </x:c>
      <x:c r="T300" t="str">
        <x:v>No</x:v>
      </x:c>
      <x:c r="U300" t="n">
        <x:v>100</x:v>
      </x:c>
      <x:c r="V300" t="str">
        <x:v>https://data.ny.gov/Economic-Development/Active-Corporations-Beginning-1800/n9v6-gdp6</x:v>
      </x:c>
    </x:row>
    <x:row r="301">
      <x:c r="A301" t="str">
        <x:v>DOS-5-100</x:v>
      </x:c>
      <x:c r="B301" t="str">
        <x:v>Not Mailed</x:v>
      </x:c>
      <x:c r="C301" s="55"/>
      <x:c r="D301" t="str">
        <x:v>No Response</x:v>
      </x:c>
      <x:c r="E301" t="str"/>
      <x:c r="F301" t="n">
        <x:v>5</x:v>
      </x:c>
      <x:c r="G301" t="str">
        <x:v>PROPERTY OWNER</x:v>
      </x:c>
      <x:c r="H301" t="str">
        <x:v>Mikhail Leviev</x:v>
      </x:c>
      <x:c r="I301" t="n">
        <x:v>1</x:v>
      </x:c>
      <x:c r="J301" t="str">
        <x:v>132 parkville ave, BROOKLYN, NY, 11230</x:v>
      </x:c>
      <x:c r="K301" t="str">
        <x:v>DOS address corroborated by ACRIS</x:v>
      </x:c>
      <x:c r="L301" t="n">
        <x:v>5</x:v>
      </x:c>
      <x:c r="M301" t="n">
        <x:v>6</x:v>
      </x:c>
      <x:c r="N301" t="str">
        <x:v>2474 BRAGG LLC | 2503 E 19 ST 66 LLC | 2752 REALTY LLC | 2803 WEST 20TH LLC | 2869 WEST 17 PARTHNERS REALTY LLC</x:v>
      </x:c>
      <x:c r="O301" t="str">
        <x:v>2474 BRAGG STREET, NY 11235 | 2503 EAST 19 STREET, NY 11235 | 2752 EAST 27 STREET APT 2B, NY 11235 | 2752 EAST 27 STREET APT P2, NY 11235 | 2803 WEST 20 STREET, NY 11224 | 2869 WEST 17 STREET, NY 11224</x:v>
      </x:c>
      <x:c r="P301" t="n">
        <x:v>5</x:v>
      </x:c>
      <x:c r="Q301" s="15" t="n">
        <x:v>1</x:v>
      </x:c>
      <x:c r="R301" t="n">
        <x:v>5</x:v>
      </x:c>
      <x:c r="S301" t="str">
        <x:v>Strong DOS address corroboration</x:v>
      </x:c>
      <x:c r="T301" t="str">
        <x:v>No</x:v>
      </x:c>
      <x:c r="U301" t="n">
        <x:v>100</x:v>
      </x:c>
      <x:c r="V301" t="str">
        <x:v>https://data.ny.gov/Economic-Development/Active-Corporations-Beginning-1800/n9v6-gdp6</x:v>
      </x:c>
    </x:row>
    <x:row r="302">
      <x:c r="A302" t="str">
        <x:v>DOS-6-001</x:v>
      </x:c>
      <x:c r="B302" t="str">
        <x:v>Not Mailed</x:v>
      </x:c>
      <x:c r="C302" s="55"/>
      <x:c r="D302" t="str">
        <x:v>No Response</x:v>
      </x:c>
      <x:c r="E302" t="str"/>
      <x:c r="F302" t="n">
        <x:v>6</x:v>
      </x:c>
      <x:c r="G302" t="str">
        <x:v>PROPERTY OWNER</x:v>
      </x:c>
      <x:c r="H302" t="str"/>
      <x:c r="I302" t="n">
        <x:v>0</x:v>
      </x:c>
      <x:c r="J302" t="str">
        <x:v>PO BOX 040308, PARKVILLE STATION, BROOKLYN, NY, 11204</x:v>
      </x:c>
      <x:c r="K302" t="str">
        <x:v>DOS address corroborated by ACRIS</x:v>
      </x:c>
      <x:c r="L302" t="n">
        <x:v>6</x:v>
      </x:c>
      <x:c r="M302" t="n">
        <x:v>236</x:v>
      </x:c>
      <x:c r="N302" t="str">
        <x:v>1528 45TH 2ND FLOOR LLC | DS CAPITAL ASSOCIATES LLC | MEADOWWOOD TOWERS II LLC | MEADOWWOOD TOWERS LLC | SOUNDVIEW EMPIRE LLC | SPIGRO LLC</x:v>
      </x:c>
      <x:c r="O302" t="str">
        <x:v>1010 ELTON STREET APT 18 AA, NY 11208 | 1019 VAN SICLEN AVENUE APT 9 3J, NY 11207 | 1019 VAN SICLEN AVENUE APT 9 4E, NY 11207 | 1019 VAN SICLEN AVENUE APT 9 5F, NY 11207 | 1019 VAN SICLEN AVENUE APT 9 5J, NY 11207 | 1019 VAN SICLEN AVENUE APT 9 6E, NY 11207 | 1019 VAN SICLEN AVENUE APT 9 6G, NY 11207 | 1019 VAN SICLEN AVENUE APT 9 7A, NY 11207 | 1019 VAN SICLEN AVENUE APT 9 8C, NY 11207 | 1019 VAN SICLEN AVENUE APT 9 8E, NY 11207 | 1019 VAN SICLEN AVENUE APT 9 8J, NY 11207 | 1019 VAN SICLEN AVENUE APT 9 8K, NY 11207 | 1030 ELTON STREET APT 18 CA, NY 11208 | 1064 VERMONT STREET APT 4-D D, NY 11207 | 1065 VERMONT STREET APT 5 1J, NY 11207 | 1065 VERMONT STREET APT 5 1L, NY 11207 | 1065 VERMONT STREET APT 5 2G, NY 11207 | 1065 VERMONT STREET APT 5 2K, NY 11207 | 1065 VERMONT STREET APT 5 3E, NY 11207 | 1065 VERMONT STREET APT 5 3G, NY 11207 | 1065 VERMONT STREET APT 5 3L, NY 11207 | 1065 VERMONT STREET APT 5 4C, NY 11207 | 1065 VERMONT STREET APT 5 4E, NY 11207 | 1065 VERMONT STREET APT 5 4J, NY 11207 | 1065 VERMONT STREET APT 5 5D, NY 11207 | 1065 VERMONT STREET APT 5 5J, NY 11207 | 1065 VERMONT STREET APT 5 6C, NY 11207 | 1065 VERMONT STREET APT 5 7H, NY 11207 | 1065 VERMONT STREET APT 5 8B, NY 11207 | 1069 NEW JERSEY AVENUE APT 2-B D, NY 11207 | 12205 FLATLANDS AVENUE APT 7 1B, NY 11207 | 12205 FLATLANDS AVENUE APT 7 1D, NY 11207 | 12205 FLATLANDS AVENUE APT 7 1G, NY 11207 | 12205 FLATLANDS AVENUE APT 7 1K, NY 11207 | 12205 FLATLANDS AVENUE APT 7 1L, NY 11207 | 12205 FLATLANDS AVENUE APT 7 2A, NY 11207 | 12205 FLATLANDS AVENUE APT 7 2C, NY 11207 | 12205 FLATLANDS AVENUE APT 7 2D, NY 11207 | 12205 FLATLANDS AVENUE APT 7 2E, NY 11207 | 12205 FLATLANDS AVENUE APT 7 2J, NY 11207 | 12205 FLATLANDS AVENUE APT 7 2L, NY 11207 | 12205 FLATLANDS AVENUE APT 7 3C, NY 11207 | 12205 FLATLANDS AVENUE APT 7 3E, NY 11207 | 12205 FLATLANDS AVENUE APT 7 3F, NY 11207 | 12205 FLATLANDS AVENUE APT 7 3G, NY 11207 | 12205 FLATLANDS AVENUE APT 7 3L, NY 11207 | 12205 FLATLANDS AVENUE APT 7 4H, NY 11207 | 12205 FLATLANDS AVENUE APT 7 4J, NY 11207 | 12205 FLATLANDS AVENUE APT 7 5C, NY 11207 | 12205 FLATLANDS AVENUE APT 7 5K, NY 11207 | 12205 FLATLANDS AVENUE APT 7 5L, NY 11207 | 12205 FLATLANDS AVENUE APT 7 6B, NY 11207 | 12205 FLATLANDS AVENUE APT 7 6D, NY 11207 | 12205 FLATLANDS AVENUE APT 7 6G, NY 11207 | 12205 FLATLANDS AVENUE APT 7 6L, NY 11207 | 12205 FLATLANDS AVENUE APT 7 7B, NY 11207 | 12205 FLATLANDS AVENUE APT 7 7C, NY 11207 | 12205 FLATLANDS AVENUE APT 7 7G, NY 11207 | 12205 FLATLANDS AVENUE APT 7 7J, NY 11207 | 12205 FLATLANDS AVENUE APT 7 8J, NY 11207 | 12205 FLATLANDS AVENUE APT 7 8L, NY 11207 | 12205 FLATLANDS AVENUE APT 7 9E, NY 11207 | 12321 FLATLANDS AVENUE APT 15 2C, NY 11207 | 12321 FLATLANDS AVENUE APT 15 3B, NY 11207 | 12321 FLATLANDS AVENUE APT 15 3C, NY 11207 | 12321 FLATLANDS AVENUE APT 15 3J, NY 11207 | 12321 FLATLANDS AVENUE APT 15 5L, NY 11207 | 12321 FLATLANDS AVENUE APT 15 6K, NY 11207 | 12321 FLATLANDS AVENUE APT 15 7J, NY 11207 | 12399 FLATLANDS AVENUE APT 13 1B, NY 11207 | 12399 FLATLANDS AVENUE APT 13 1F, NY 11207 | 12399 FLATLANDS AVENUE APT 13 1G, NY 11207 | 12399 FLATLANDS AVENUE APT 13 1H, NY 11207 | 12399 FLATLANDS AVENUE APT 13 2J, NY 11207 | 12399 FLATLANDS AVENUE APT 13 3G, NY 11207 | 12399 FLATLANDS AVENUE APT 13 3L, NY 11207 | 12399 FLATLANDS AVENUE APT 13 5E, NY 11207 | 12399 FLATLANDS AVENUE APT 13 5H, NY 11207 | 12399 FLATLANDS AVENUE APT 13 5J, NY 11207 | 12399 FLATLANDS AVENUE APT 13 5L, NY 11207 | 12399 FLATLANDS AVENUE APT 13 6C, NY 11207 | 12399 FLATLANDS AVENUE APT 13 6G, NY 11207 | 12399 FLATLANDS AVENUE APT 13 6H, NY 11207 | 12399 FLATLANDS AVENUE APT 13 6J, NY 11207 | 12399 FLATLANDS AVENUE APT 13 7K, NY 11207 | 12399 FLATLANDS AVENUE APT 13 8E, NY 11207 | 12399 FLATLANDS AVENUE APT 13 8H, NY 11207 | 12399 FLATLANDS AVENUE APT 13 9F, NY 11207 | 12421 FLATLANDS AVENUE APT 1A, NY 11208 | 12421 FLATLANDS AVENUE APT 2F, NY 11208 | 12421 FLATLANDS AVENUE APT 2G, NY 11208 | 12421 FLATLANDS AVENUE APT 2H, NY 11208 | 12421 FLATLANDS AVENUE APT 3G, NY 11208 | 12421 FLATLANDS AVENUE APT 3H, NY 11208 | 12421 FLATLANDS AVENUE APT 4H, NY 11208 | 12421 FLATLANDS AVENUE APT 8D, NY 11208 | 12421 FLATLANDS AVENUE APT 8H, NY 11208 | 12425 FLATLANDS AVENUE APT 16 AB, NY 11208 | 12429 FLATLANDS AVENUE APT 16 CA, NY 11208 | 12431 FLATLANDS AVENUE APT 16 DB, NY 11208 | 12435 FLATLANDS AVENUE APT AC, NY 11208 | 148 COZINE AVENUE APT 1-A B, NY 11207 | 1528 45TH STREET APT 2, NY 11219 | 156 COZINE AVENUE APT 1-B A, NY 11207 | 156 COZINE AVENUE APT 1-B C, NY 11207 | 1595 LEXINGTON AVENUE APT 7C, NY 10029 | 1595 LEXINGTON AVENUE APT S19, NY 10029 | 162 COZINE AVENUE APT 1-C C, NY 11207 | 190 COZINE AVENUE APT 6 2C, NY 11207 | 190 COZINE AVENUE APT 6 3G, NY 11207 | 190 COZINE AVENUE APT 6 4B, NY 11207 | 190 COZINE AVENUE APT 6 4C, NY 11207 | 190 COZINE AVENUE APT 6 4D, NY 11207 | 190 COZINE AVENUE APT 6 5A, NY 11207 | 190 COZINE AVENUE APT 6 5F, NY 11207 | 190 COZINE AVENUE APT 6 5G, NY 11207 | 190 COZINE AVENUE APT 6 8K, NY 11207 | 200 COZINE AVENUE APT 8 0E, NY 11207 | 200 COZINE AVENUE APT 8 1B, NY 11207 | 200 COZINE AVENUE APT 8 1D, NY 11207 | 200 COZINE AVENUE APT 8 1G, NY 11207 | 200 COZINE AVENUE APT 8 1H, NY 11207 | 200 COZINE AVENUE APT 8 2D, NY 11207 | 200 COZINE AVENUE APT 8 2F, NY 11207 | 200 COZINE AVENUE APT 8 2L, NY 11207 | 200 COZINE AVENUE APT 8 3H, NY 11207 | 200 COZINE AVENUE APT 8 3K, NY 11207 | 200 COZINE AVENUE APT 8 4B, NY 11207 | 200 COZINE AVENUE APT 8 4D, NY 11207 | 200 COZINE AVENUE APT 8 5E, NY 11207 | 200 COZINE AVENUE APT 8 5F, NY 11207 | 200 COZINE AVENUE APT 8 5H, NY 11207 | 200 COZINE AVENUE APT 8 5K, NY 11207 | 200 COZINE AVENUE APT 8 6G, NY 11207 | 200 COZINE AVENUE APT 8 6L, NY 11207 | 200 COZINE AVENUE APT 8 7B, NY 11207 | 200 COZINE AVENUE APT 8 7D, NY 11207 | 200 COZINE AVENUE APT 8 7H, NY 11207 | 200 COZINE AVENUE APT 8 7K, NY 11207 | 200 COZINE AVENUE APT 8 8D, NY 11207 | 200 COZINE AVENUE APT 8 8E, NY 11207 | 200 COZINE AVENUE APT 8 8L, NY 11207 | 200 COZINE AVENUE APT 8 9A, NY 11207 | 240 COZINE AVENUE APT 10 1G, NY 11207 | 240 COZINE AVENUE APT 10 1J, NY 11207 | 240 COZINE AVENUE APT 10 2A, NY 11207 | 240 COZINE AVENUE APT 10 2F, NY 11207 | 240 COZINE AVENUE APT 10 2G, NY 11207 | 240 COZINE AVENUE APT 10 2H, NY 11207 | 240 COZINE AVENUE APT 10 2J, NY 11207 | 240 COZINE AVENUE APT 10 3B, NY 11207 | 240 COZINE AVENUE APT 10 3D, NY 11207 | 240 COZINE AVENUE APT 10 4B, NY 11207 | 240 COZINE AVENUE APT 10 4C, NY 11207 | 240 COZINE AVENUE APT 10 4D, NY 11207 | 240 COZINE AVENUE APT 10 5G, NY 11207 | 240 COZINE AVENUE APT 10 5H, NY 11207 | 240 COZINE AVENUE APT 10 5J, NY 11207 | 240 COZINE AVENUE APT 10 5L, NY 11207 | 240 COZINE AVENUE APT 10 6D, NY 11207 | 240 COZINE AVENUE APT 10 6K, NY 11207 | 240 COZINE AVENUE APT 10 7D, NY 11207 | 240 COZINE AVENUE APT 10 7H, NY 11207 | 240 COZINE AVENUE APT 10 8D, NY 11207 | 240 COZINE AVENUE APT 10 8J, NY 11207 | 240 COZINE AVENUE APT PROF, NY 11207 | 380 COZINE AVENUE APT 1J, NY 11207 | 380 COZINE AVENUE APT 1L, NY 11207 | 380 COZINE AVENUE APT 2H, NY 11207 | 380 COZINE AVENUE APT 2J, NY 11207 | 380 COZINE AVENUE APT 3A, NY 11207 | 380 COZINE AVENUE APT 3C, NY 11207 | 380 COZINE AVENUE APT 3G, NY 11207 | 380 COZINE AVENUE APT 3J, NY 11207 | 380 COZINE AVENUE APT 4C, NY 11207 | 380 COZINE AVENUE APT 4G, NY 11207 | 380 COZINE AVENUE APT 4H, NY 11207 | 380 COZINE AVENUE APT 5G, NY 11207 | 380 COZINE AVENUE APT 5H, NY 11207 | 380 COZINE AVENUE APT 6B, NY 11207 | 380 COZINE AVENUE APT 6D, NY 11207 | 380 COZINE AVENUE APT 6F, NY 11207 | 380 COZINE AVENUE APT 7C, NY 11207 | 380 COZINE AVENUE APT 7D, NY 11207 | 380 COZINE AVENUE APT 7J, NY 11207 | 380 COZINE AVENUE APT 8G, NY 11207 | 380 COZINE AVENUE APT 8J, NY 11207 | 380 COZINE AVENUE APT 9F, NY 11207 | 380 COZINE AVENUE APT PROF, NY 11207 | 400 COZINE AVENUE APT 14 1B, NY 11207 | 400 COZINE AVENUE APT 14 1D, NY 11207 | 400 COZINE AVENUE APT 14 2C, NY 11207 | 400 COZINE AVENUE APT 14 2E, NY 11207 | 400 COZINE AVENUE APT 14 3B, NY 11207 | 400 COZINE AVENUE APT 14 3E, NY 11207 | 400 COZINE AVENUE APT 14 3J, NY 11207 | 400 COZINE AVENUE APT 14 4L, NY 11207 | 400 COZINE AVENUE APT 14 5J, NY 11207 | 400 COZINE AVENUE APT 14 5K, NY 11207 | 400 COZINE AVENUE APT 14 6E, NY 11207 | 400 COZINE AVENUE APT 14 6K, NY 11207 | 400 COZINE AVENUE APT 14 8C, NY 11207 | 400 COZINE AVENUE APT 14 8E, NY 11207 | 400 COZINE AVENUE APT 14 8J, NY 11207 | 400 COZINE AVENUE APT 14 9B, NY 11207 | 400 COZINE AVENUE APT 14 9D, NY 11207 | 400 COZINE AVENUE APT 14 OE, NY 11207 | 436 COZINE AVENUE APT 17 AD, NY 11208 | 971 JEROME STREET APT 1D, NY 11207 | 971 JEROME STREET APT 1K, NY 11207 | 971 JEROME STREET APT 2L, NY 11207 | 971 JEROME STREET APT 3G, NY 11207 | 971 JEROME STREET APT 3H, NY 11207 | 971 JEROME STREET APT 3J, NY 11207 | 971 JEROME STREET APT 3K, NY 11207 | 971 JEROME STREET APT 4B, NY 11207 | 971 JEROME STREET APT 4E, NY 11207 | 971 JEROME STREET APT 4G, NY 11207 | 971 JEROME STREET APT 4K, NY 11207 | 971 JEROME STREET APT 5C, NY 11207 | 971 JEROME STREET APT 5D, NY 11207 | 971 JEROME STREET APT 5H, NY 11207 | 971 JEROME STREET APT 6J, NY 11207 | 971 JEROME STREET APT 8D, NY 11207 | 971 JEROME STREET APT 8E, NY 11207 | 971 JEROME STREET APT 8J, NY 11207 | 971 JEROME STREET APT 9D, NY 11207 | 971 JEROME STREET APT 9F, NY 11207 | 971 JEROME STREET APT 9H, NY 11207 | 971 JEROME STREET APT 9K, NY 11207 | 971 JEROME STREET APT PROF, NY 11207 | 971 JEROME STREET, NY 11207 | LAFAYETTE AVENUE, NY 10473 | STORY AVENUE, NY 10473</x:v>
      </x:c>
      <x:c r="P302" t="n">
        <x:v>6</x:v>
      </x:c>
      <x:c r="Q302" s="15" t="n">
        <x:v>1</x:v>
      </x:c>
      <x:c r="R302" t="n">
        <x:v>1</x:v>
      </x:c>
      <x:c r="S302" t="str">
        <x:v>Shared DOS address</x:v>
      </x:c>
      <x:c r="T302" t="str">
        <x:v>No</x:v>
      </x:c>
      <x:c r="U302" t="n">
        <x:v>100</x:v>
      </x:c>
      <x:c r="V302" t="str">
        <x:v>https://data.ny.gov/Economic-Development/Active-Corporations-Beginning-1800/n9v6-gdp6</x:v>
      </x:c>
    </x:row>
    <x:row r="303">
      <x:c r="A303" t="str">
        <x:v>DOS-6-002</x:v>
      </x:c>
      <x:c r="B303" t="str">
        <x:v>Not Mailed</x:v>
      </x:c>
      <x:c r="C303" s="55"/>
      <x:c r="D303" t="str">
        <x:v>No Response</x:v>
      </x:c>
      <x:c r="E303" t="str"/>
      <x:c r="F303" t="n">
        <x:v>6</x:v>
      </x:c>
      <x:c r="G303" t="str">
        <x:v>S Gluck</x:v>
      </x:c>
      <x:c r="H303" t="str">
        <x:v>S Gluck</x:v>
      </x:c>
      <x:c r="I303" t="n">
        <x:v>2</x:v>
      </x:c>
      <x:c r="J303" t="str">
        <x:v>92 Emerson Pl, Brooklyn, NY, 11205</x:v>
      </x:c>
      <x:c r="K303" t="str">
        <x:v>DOS address corroborated by ACRIS</x:v>
      </x:c>
      <x:c r="L303" t="n">
        <x:v>6</x:v>
      </x:c>
      <x:c r="M303" t="n">
        <x:v>28</x:v>
      </x:c>
      <x:c r="N303" t="str">
        <x:v>33 WALTON HOLDINGS LLC | 58 3A LLC | MARCY EE LLC | SIG 305 LLC | SIG CF LLC | THE CASCADE MALL LLC</x:v>
      </x:c>
      <x:c r="O303" t="str">
        <x:v>305 2 AVENUE APT C-13, NY 10003 | 305 2 AVENUE APT C-14, NY 10003 | 305 2 AVENUE APT C-15, NY 10003 | 305 2 AVENUE APT C-16, NY 10003 | 305 2 AVENUE APT C-17, NY 10003 | 305 2 AVENUE APT C-20, NY 10003 | 305 2 AVENUE APT C-21, NY 10003 | 305 2 AVENUE APT C-23, NY 10003 | 305 2 AVENUE APT C-24, NY 10003 | 305 2 AVENUE APT C-25, NY 10003 | 305 2 AVENUE APT C-26, NY 10003 | 305 2 AVENUE APT C-27, NY 10003 | 305 2 AVENUE APT C-28, NY 10003 | 305 2 AVENUE APT C-29, NY 10003 | 305 2 AVENUE APT C-30, NY 10003 | 305 2 AVENUE APT C-31, NY 10003 | 305 2 AVENUE APT C-34, NY 10003 | 305 2 AVENUE APT C-35, NY 10003 | 305 2 AVENUE APT C-7, NY 10003 | 305 2 AVENUE APT C-8, NY 10003 | 415 MARCY AVENUE, NY 11206 | 567 MARCY AVENUE APT 1, NY 11206 | 569 MARCY AVENUE APT 7E, NY 11206 | 58 GERRY STREET APT 3A, NY 11206 | 843 MYRTLE AVENUE APT 2, NY 11206 | 859 MYRTLE AVENUE APT 1, NY 11206 | 88 STOCKTON STREET APT 1, NY 11206 | 96 STOCKTON STREET APT 2, NY 11206</x:v>
      </x:c>
      <x:c r="P303" t="n">
        <x:v>6</x:v>
      </x:c>
      <x:c r="Q303" s="15" t="n">
        <x:v>1</x:v>
      </x:c>
      <x:c r="R303" t="n">
        <x:v>6</x:v>
      </x:c>
      <x:c r="S303" t="str">
        <x:v>Strong DOS address corroboration</x:v>
      </x:c>
      <x:c r="T303" t="str">
        <x:v>No</x:v>
      </x:c>
      <x:c r="U303" t="n">
        <x:v>100</x:v>
      </x:c>
      <x:c r="V303" t="str">
        <x:v>https://data.ny.gov/Economic-Development/Active-Corporations-Beginning-1800/n9v6-gdp6</x:v>
      </x:c>
    </x:row>
    <x:row r="304">
      <x:c r="A304" t="str">
        <x:v>DOS-6-003</x:v>
      </x:c>
      <x:c r="B304" t="str">
        <x:v>Not Mailed</x:v>
      </x:c>
      <x:c r="C304" s="55"/>
      <x:c r="D304" t="str">
        <x:v>No Response</x:v>
      </x:c>
      <x:c r="E304" t="str"/>
      <x:c r="F304" t="n">
        <x:v>6</x:v>
      </x:c>
      <x:c r="G304" t="str">
        <x:v>PROPERTY OWNER</x:v>
      </x:c>
      <x:c r="H304" t="str"/>
      <x:c r="I304" t="n">
        <x:v>0</x:v>
      </x:c>
      <x:c r="J304" t="str">
        <x:v>5312 New Utrecht Avenue, Brooklyn, NY, 11219</x:v>
      </x:c>
      <x:c r="K304" t="str">
        <x:v>DOS address corroborated by ACRIS</x:v>
      </x:c>
      <x:c r="L304" t="n">
        <x:v>6</x:v>
      </x:c>
      <x:c r="M304" t="n">
        <x:v>25</x:v>
      </x:c>
      <x:c r="N304" t="str">
        <x:v>2151 55 LLC | 716 REALTY LLC | 8415 REALTY LLC | BAY STREET PROPERTIES LLC | CENTURY 19 HOLDINGS LLC | KINGS 2626 HOLDINGS LLC</x:v>
      </x:c>
      <x:c r="O304" t="str">
        <x:v>2151-2155 OCEAN AVENUE, NY 11229 | 2155 OCEAN AVENUE APT 1A, NY 11229 | 2155 OCEAN AVENUE APT 1B, NY 11229 | 2155 OCEAN AVENUE APT 2A, NY 11229 | 2155 OCEAN AVENUE APT 2B, NY 11229 | 2155 OCEAN AVENUE APT 3A, NY 11229 | 2155 OCEAN AVENUE APT 3B, NY 11229 | 2155 OCEAN AVENUE APT 4A, NY 11229 | 2155 OCEAN AVENUE APT 4B, NY 11229 | 2155 OCEAN AVENUE APT 5A, NY 11229 | 2155 OCEAN AVENUE APT 5B, NY 11229 | 2155 OCEAN AVENUE APT 6A, NY 11229 | 2155 OCEAN AVENUE APT 6B, NY 11229 | 2155 OCEAN AVENUE APT B1, NY 11229 | 2155 OCEAN AVENUE APT PS1, NY 11229 | 2155 OCEAN AVENUE APT PS2, NY 11229 | 2155 OCEAN AVENUE APT PS3, NY 11229 | 2155 OCEAN AVENUE APT PS4, NY 11229 | 2155 OCEAN AVENUE APT PS5, NY 11229 | 2155 OCEAN AVENUE APT PS6, NY 11229 | 2626 KINGS HIGHWAY APT 48, NY 11229 | 45 BAY 19 STREET APT 80, NY 11214 | 65 BAY 19 STREET APT 80, NY 11214 | 716 OCEAN PARKWAY APT 47, NY 11230 | 8415 4 AVENUE, NY 11209</x:v>
      </x:c>
      <x:c r="P304" t="n">
        <x:v>6</x:v>
      </x:c>
      <x:c r="Q304" s="15" t="n">
        <x:v>1</x:v>
      </x:c>
      <x:c r="R304" t="n">
        <x:v>6</x:v>
      </x:c>
      <x:c r="S304" t="str">
        <x:v>Strong DOS address corroboration</x:v>
      </x:c>
      <x:c r="T304" t="str">
        <x:v>No</x:v>
      </x:c>
      <x:c r="U304" t="n">
        <x:v>100</x:v>
      </x:c>
      <x:c r="V304" t="str">
        <x:v>https://data.ny.gov/Economic-Development/Active-Corporations-Beginning-1800/n9v6-gdp6</x:v>
      </x:c>
    </x:row>
    <x:row r="305">
      <x:c r="A305" t="str">
        <x:v>DOS-6-004</x:v>
      </x:c>
      <x:c r="B305" t="str">
        <x:v>Not Mailed</x:v>
      </x:c>
      <x:c r="C305" s="55"/>
      <x:c r="D305" t="str">
        <x:v>No Response</x:v>
      </x:c>
      <x:c r="E305" t="str"/>
      <x:c r="F305" t="n">
        <x:v>6</x:v>
      </x:c>
      <x:c r="G305" t="str">
        <x:v>PROPERTY OWNER</x:v>
      </x:c>
      <x:c r="H305" t="str"/>
      <x:c r="I305" t="n">
        <x:v>0</x:v>
      </x:c>
      <x:c r="J305" t="str">
        <x:v>12-40 CLINTONVILLE STREET, WHITESTONE, NY, 11357</x:v>
      </x:c>
      <x:c r="K305" t="str">
        <x:v>DOS address corroborated by ACRIS</x:v>
      </x:c>
      <x:c r="L305" t="n">
        <x:v>6</x:v>
      </x:c>
      <x:c r="M305" t="n">
        <x:v>19</x:v>
      </x:c>
      <x:c r="N305" t="str">
        <x:v>162ND STREET HOLDINGS LLC | 178 28 WEXFORD TERRACE LLC | 47TH AVENUE HOLDING LLC | 61 25 56TH AVENUE LLC | GRAND AVENUE REALTY LLC | WHITESTONE COMMONS REALTY LLC</x:v>
      </x:c>
      <x:c r="O305" t="str">
        <x:v>120TH STREET, NY 11356 | 150-43 14 AVENUE, NY 11357 | 150-47 14 AVENUE, NY 11357 | 150-51 14 AVENUE, NY 11357 | 150-55 14 AVENUE, NY 11357 | 178-26-178-28 WEXFORD TERRACE, NY 11432 | 178-28 WEXFORD TERRACE, NY 11432 | 45-68 162 STREET, NY 11358 | 45-70 162 STREET, NY 11358 | 45-72 162 STREET, NY 11358 | 45-74 162 STREET, NY 11358 | 45-76 162 STREET, NY 11358 | 45-78 162 STREET, NY 11358 | 45-80 162 STREET, NY 11358 | 47 AVENUE | 73-33 GRAND AVENUE APT COMM1, NY 11378 | 73-33 GRAND AVENUE APT RESD1, NY 11378 | 73-35 GRAND AVENUE APT COMM2, NY 11378 | 73-35 GRAND AVENUE APT RESD2, NY 11378</x:v>
      </x:c>
      <x:c r="P305" t="n">
        <x:v>4</x:v>
      </x:c>
      <x:c r="Q305" s="15" t="n">
        <x:v>0.6666666666666666</x:v>
      </x:c>
      <x:c r="R305" t="n">
        <x:v>4</x:v>
      </x:c>
      <x:c r="S305" t="str">
        <x:v>Strong DOS address corroboration</x:v>
      </x:c>
      <x:c r="T305" t="str">
        <x:v>No</x:v>
      </x:c>
      <x:c r="U305" t="n">
        <x:v>100</x:v>
      </x:c>
      <x:c r="V305" t="str">
        <x:v>https://data.ny.gov/Economic-Development/Active-Corporations-Beginning-1800/n9v6-gdp6</x:v>
      </x:c>
    </x:row>
    <x:row r="306">
      <x:c r="A306" t="str">
        <x:v>DOS-6-005</x:v>
      </x:c>
      <x:c r="B306" t="str">
        <x:v>Not Mailed</x:v>
      </x:c>
      <x:c r="C306" s="55"/>
      <x:c r="D306" t="str">
        <x:v>No Response</x:v>
      </x:c>
      <x:c r="E306" t="str"/>
      <x:c r="F306" t="n">
        <x:v>6</x:v>
      </x:c>
      <x:c r="G306" t="str">
        <x:v>JENNA BITTMAN</x:v>
      </x:c>
      <x:c r="H306" t="str">
        <x:v>JENNA BITTMAN</x:v>
      </x:c>
      <x:c r="I306" t="n">
        <x:v>6</x:v>
      </x:c>
      <x:c r="J306" t="str">
        <x:v>150 PROSPECT PARK WEST, SUITE 1A, BROOKLYN, NY, 11215, US</x:v>
      </x:c>
      <x:c r="K306" t="str">
        <x:v>ACRIS deed-party address</x:v>
      </x:c>
      <x:c r="L306" t="n">
        <x:v>6</x:v>
      </x:c>
      <x:c r="M306" t="n">
        <x:v>16</x:v>
      </x:c>
      <x:c r="N306" t="str">
        <x:v>OR 107 EAST SECOND LLC | OR 196 ELIZABETH LLC | OR 240 MULBERRY LLC | OR 274 HENRY LLC | OR 90 STATE LLC | OR PATCHIN PLACE LLC</x:v>
      </x:c>
      <x:c r="O306" t="str">
        <x:v>1 PATCHIN PLACE, NY 10011 | 10 PATCHIN PLACE, NY 10011 | 107 EAST 2 STREET, NY 10009 | 109 EAST 2 STREET, NY 10009 | 113 WEST 10 STREET, NY 10011 | 196 ELIZABETH STREET, NY 10012 | 2 PATCHIN PLACE, NY 10011 | 240 MULBERRY STREET, NY 10012 | 274 HENRY STREET, NY 11201 | 3 PATCHIN PLACE, NY 10011 | 5 PATCHIN PLACE, NY 10011 | 6 PATCHIN PLACE, NY 10011 | 7 PATCHIN PLACE, NY 10011 | 8 PATCHIN PLACE, NY 10011 | 88 STATE STREET APT 14, NY 11201 | 9 PATCHIN PLACE, NY 10011</x:v>
      </x:c>
      <x:c r="P306" t="n">
        <x:v>6</x:v>
      </x:c>
      <x:c r="Q306" s="15" t="n">
        <x:v>1</x:v>
      </x:c>
      <x:c r="R306" t="n">
        <x:v>0</x:v>
      </x:c>
      <x:c r="S306" t="str">
        <x:v>Shared DOS address</x:v>
      </x:c>
      <x:c r="T306" t="str">
        <x:v>No</x:v>
      </x:c>
      <x:c r="U306" t="n">
        <x:v>100</x:v>
      </x:c>
      <x:c r="V306" t="str">
        <x:v>https://data.ny.gov/Economic-Development/Active-Corporations-Beginning-1800/n9v6-gdp6</x:v>
      </x:c>
    </x:row>
    <x:row r="307">
      <x:c r="A307" t="str">
        <x:v>DOS-6-006</x:v>
      </x:c>
      <x:c r="B307" t="str">
        <x:v>Not Mailed</x:v>
      </x:c>
      <x:c r="C307" s="55"/>
      <x:c r="D307" t="str">
        <x:v>No Response</x:v>
      </x:c>
      <x:c r="E307" t="str"/>
      <x:c r="F307" t="n">
        <x:v>6</x:v>
      </x:c>
      <x:c r="G307" t="str">
        <x:v>PROPERTY OWNER</x:v>
      </x:c>
      <x:c r="H307" t="str"/>
      <x:c r="I307" t="n">
        <x:v>0</x:v>
      </x:c>
      <x:c r="J307" t="str">
        <x:v>28 LIBERTY ST., NEW YORK, NY, 10005</x:v>
      </x:c>
      <x:c r="K307" t="str">
        <x:v>DOS address corroborated by ACRIS</x:v>
      </x:c>
      <x:c r="L307" t="n">
        <x:v>6</x:v>
      </x:c>
      <x:c r="M307" t="n">
        <x:v>16</x:v>
      </x:c>
      <x:c r="N307" t="str">
        <x:v>3505 BWAY OWNER LLC | 919 LLC | A IRIS NEW YORK LLC | COB 3351 BROADWAY LLC | COB 3420 BROADWAY LLC | CPW TOWERS LLC</x:v>
      </x:c>
      <x:c r="O307" t="str">
        <x:v>209 SULLIVAN STREET APT 6-D, NY 10012 | 3351-3359 BROADWAY, NY 10031 | 3420-3428 BROADWAY, NY 10031 | 3501-3509 BROADWAY, NY 10031 | 372 CENTRAL PARK WEST APT 12R, NY 10025 | 382 CENTRAL PARK WEST APT 1M, NY 10025 | 382 CENTRAL PARK WEST APT 1N, NY 10025 | 382 CENTRAL PARK WEST APT 1P, NY 10025 | 382 CENTRAL PARK WEST APT 1R, NY 10025 | 382 CENTRAL PARK WEST APT 2C, NY 10025 | 382 CENTRAL PARK WEST APT 2D, NY 10025 | 382 CENTRAL PARK WEST APT 9U, NY 10025 | 392 CENTRAL PARK WEST APT 12H, NY 10025 | 392 CENTRAL PARK WEST APT 3L, NY 10025 | 400 CENTRAL PARK WEST APT 17W, NY 10025 | 54-56 ELDRIDGE STREET, NY 10002</x:v>
      </x:c>
      <x:c r="P307" t="n">
        <x:v>6</x:v>
      </x:c>
      <x:c r="Q307" s="15" t="n">
        <x:v>1</x:v>
      </x:c>
      <x:c r="R307" t="n">
        <x:v>1</x:v>
      </x:c>
      <x:c r="S307" t="str">
        <x:v>Shared DOS address</x:v>
      </x:c>
      <x:c r="T307" t="str">
        <x:v>No</x:v>
      </x:c>
      <x:c r="U307" t="n">
        <x:v>100</x:v>
      </x:c>
      <x:c r="V307" t="str">
        <x:v>https://data.ny.gov/Economic-Development/Active-Corporations-Beginning-1800/n9v6-gdp6</x:v>
      </x:c>
    </x:row>
    <x:row r="308">
      <x:c r="A308" t="str">
        <x:v>DOS-6-007</x:v>
      </x:c>
      <x:c r="B308" t="str">
        <x:v>Not Mailed</x:v>
      </x:c>
      <x:c r="C308" s="55"/>
      <x:c r="D308" t="str">
        <x:v>No Response</x:v>
      </x:c>
      <x:c r="E308" t="str"/>
      <x:c r="F308" t="n">
        <x:v>6</x:v>
      </x:c>
      <x:c r="G308" t="str">
        <x:v>PROPERTY OWNER</x:v>
      </x:c>
      <x:c r="H308" t="str">
        <x:v>LUKE K LIANG</x:v>
      </x:c>
      <x:c r="I308" t="n">
        <x:v>1</x:v>
      </x:c>
      <x:c r="J308" t="str">
        <x:v>131-05 40TH ROAD, FLUSHING, NY, 11354, US</x:v>
      </x:c>
      <x:c r="K308" t="str">
        <x:v>ACRIS deed-party address</x:v>
      </x:c>
      <x:c r="L308" t="n">
        <x:v>6</x:v>
      </x:c>
      <x:c r="M308" t="n">
        <x:v>15</x:v>
      </x:c>
      <x:c r="N308" t="str">
        <x:v>FLUSHING PROPERTY SKY16 HOLDINGS LLC | J2K LLC | MJ GROUP HOLDINGS LLC | QIAOSHANG INTERNATIONAL LLC | STJ GRAND 2 LLC | STJ REALTY HOLDINGS LLC</x:v>
      </x:c>
      <x:c r="O308" t="str">
        <x:v>131-05 40 ROAD APT 10D, NY 11354 | 131-05 40 ROAD APT 10E, NY 11354 | 131-05 40 ROAD APT 10G, NY 11354 | 131-05 40 ROAD APT 11C, NY 11354 | 131-05 40 ROAD APT 15E, NY 11354 | 131-05 40 ROAD APT 15I, NY 11354 | 131-05 40 ROAD APT 15J, NY 11354 | 131-05 40 ROAD APT 16A, NY 11354 | 131-05 40 ROAD APT 8C, NY 11354 | 131-05 40 ROAD APT 9E, NY 11354 | 131-05 40 ROAD APT 9G, NY 11354 | 131-05 40 ROAD APT 9H, NY 11354 | 131-05 40 ROAD APT 9I, NY 11354 | 131-05 40 ROAD APT 9M, NY 11354 | 173-175 HESTER STREET, NY 10013</x:v>
      </x:c>
      <x:c r="P308" t="n">
        <x:v>6</x:v>
      </x:c>
      <x:c r="Q308" s="15" t="n">
        <x:v>1</x:v>
      </x:c>
      <x:c r="R308" t="n">
        <x:v>0</x:v>
      </x:c>
      <x:c r="S308" t="str">
        <x:v>Shared DOS address</x:v>
      </x:c>
      <x:c r="T308" t="str">
        <x:v>No</x:v>
      </x:c>
      <x:c r="U308" t="n">
        <x:v>100</x:v>
      </x:c>
      <x:c r="V308" t="str">
        <x:v>https://data.ny.gov/Economic-Development/Active-Corporations-Beginning-1800/n9v6-gdp6</x:v>
      </x:c>
    </x:row>
    <x:row r="309">
      <x:c r="A309" t="str">
        <x:v>DOS-6-008</x:v>
      </x:c>
      <x:c r="B309" t="str">
        <x:v>Not Mailed</x:v>
      </x:c>
      <x:c r="C309" s="55"/>
      <x:c r="D309" t="str">
        <x:v>No Response</x:v>
      </x:c>
      <x:c r="E309" t="str"/>
      <x:c r="F309" t="n">
        <x:v>6</x:v>
      </x:c>
      <x:c r="G309" t="str">
        <x:v>PROPERTY OWNER</x:v>
      </x:c>
      <x:c r="H309" t="str"/>
      <x:c r="I309" t="n">
        <x:v>0</x:v>
      </x:c>
      <x:c r="J309" t="str">
        <x:v>45 North Station Plaza, Great Neck, NY, 11021</x:v>
      </x:c>
      <x:c r="K309" t="str">
        <x:v>DOS address corroborated by ACRIS</x:v>
      </x:c>
      <x:c r="L309" t="n">
        <x:v>6</x:v>
      </x:c>
      <x:c r="M309" t="n">
        <x:v>15</x:v>
      </x:c>
      <x:c r="N309" t="str">
        <x:v>140NY LLC | 1985J LLC | 3916NY LLC | 7BE LLC | MAZAL OF ADAR LLC | NOSRAT LLC</x:v>
      </x:c>
      <x:c r="O309" t="str">
        <x:v>114 STREET | 140 WADSWORTH AVENUE, NY 10033 | 166-36 JAMAICA AVENUE, NY 11432 | 1985-1991 JEROME AVENUE, NY 10453 | 32 FAYETTE STREET, NY 11206 | 343 NOSTRAND AVENUE APT COMM1, NY 11216 | 343 NOSTRAND AVENUE APT RESD1, NY 11216 | 345 NOSTRAND AVENUE APT COMM2, NY 11216 | 345 NOSTRAND AVENUE APT RESD2, NY 11216 | 347 NOSTRAND AVENUE APT COMM4, NY 11216 | 347 NOSTRAND AVENUE APT RESD4, NY 11216 | 415 GATES AVENUE, NY 11216 | 417 GATES AVENUE, NY 11216 | 419 GATES AVENUE, NY 11216</x:v>
      </x:c>
      <x:c r="P309" t="n">
        <x:v>6</x:v>
      </x:c>
      <x:c r="Q309" s="15" t="n">
        <x:v>1</x:v>
      </x:c>
      <x:c r="R309" t="n">
        <x:v>5</x:v>
      </x:c>
      <x:c r="S309" t="str">
        <x:v>Strong DOS address corroboration</x:v>
      </x:c>
      <x:c r="T309" t="str">
        <x:v>No</x:v>
      </x:c>
      <x:c r="U309" t="n">
        <x:v>100</x:v>
      </x:c>
      <x:c r="V309" t="str">
        <x:v>https://data.ny.gov/Economic-Development/Active-Corporations-Beginning-1800/n9v6-gdp6</x:v>
      </x:c>
    </x:row>
    <x:row r="310">
      <x:c r="A310" t="str">
        <x:v>DOS-6-009</x:v>
      </x:c>
      <x:c r="B310" t="str">
        <x:v>Not Mailed</x:v>
      </x:c>
      <x:c r="C310" s="55"/>
      <x:c r="D310" t="str">
        <x:v>No Response</x:v>
      </x:c>
      <x:c r="E310" t="str"/>
      <x:c r="F310" t="n">
        <x:v>6</x:v>
      </x:c>
      <x:c r="G310" t="str">
        <x:v>PROPERTY OWNER</x:v>
      </x:c>
      <x:c r="H310" t="str"/>
      <x:c r="I310" t="n">
        <x:v>0</x:v>
      </x:c>
      <x:c r="J310" t="str">
        <x:v>135 13TH STREET, BROOKLYN, NY, 11215</x:v>
      </x:c>
      <x:c r="K310" t="str">
        <x:v>DOS address corroborated by ACRIS</x:v>
      </x:c>
      <x:c r="L310" t="n">
        <x:v>6</x:v>
      </x:c>
      <x:c r="M310" t="n">
        <x:v>14</x:v>
      </x:c>
      <x:c r="N310" t="str">
        <x:v>26 27TH STREET LLC | MPPB REALTY LLC | PAB 13TH STREET REALTY LLC | PAB HOLDINGS LLC | PAB LAND HOLDING LLC | SB 35 36 REALTY LLC</x:v>
      </x:c>
      <x:c r="O310" t="str">
        <x:v>112-130 26 STREET, NY 11232 | 125 13 STREET, NY 11215 | 138 35 STREET, NY 11232 | 140 35 STREET, NY 11232 | 151 2 AVENUE, NY 11215 | 155 2 AVENUE, NY 11215 | 157 2 AVENUE, NY 11215 | 319 37 STREET, NY 11232 | 335 36 STREET, NY 11232 | 549-555 3 AVENUE, NY 11215 | 553 3 AVENUE, NY 11215 | 756-758 3 AVENUE, NY 11232 | 85-87 14 STREET, NY 11215 | 98 12 STREET, NY 11215</x:v>
      </x:c>
      <x:c r="P310" t="n">
        <x:v>5</x:v>
      </x:c>
      <x:c r="Q310" s="15" t="n">
        <x:v>0.8333333333333334</x:v>
      </x:c>
      <x:c r="R310" t="n">
        <x:v>1</x:v>
      </x:c>
      <x:c r="S310" t="str">
        <x:v>Shared DOS address</x:v>
      </x:c>
      <x:c r="T310" t="str">
        <x:v>No</x:v>
      </x:c>
      <x:c r="U310" t="n">
        <x:v>100</x:v>
      </x:c>
      <x:c r="V310" t="str">
        <x:v>https://data.ny.gov/Economic-Development/Active-Corporations-Beginning-1800/n9v6-gdp6</x:v>
      </x:c>
    </x:row>
    <x:row r="311">
      <x:c r="A311" t="str">
        <x:v>DOS-6-010</x:v>
      </x:c>
      <x:c r="B311" t="str">
        <x:v>Not Mailed</x:v>
      </x:c>
      <x:c r="C311" s="55"/>
      <x:c r="D311" t="str">
        <x:v>No Response</x:v>
      </x:c>
      <x:c r="E311" t="str"/>
      <x:c r="F311" t="n">
        <x:v>6</x:v>
      </x:c>
      <x:c r="G311" t="str">
        <x:v>PROPERTY OWNER</x:v>
      </x:c>
      <x:c r="H311" t="str"/>
      <x:c r="I311" t="n">
        <x:v>0</x:v>
      </x:c>
      <x:c r="J311" t="str">
        <x:v>136-20 38TH AVENUE, 12TH FLOOR, FLUSHING, NY, 11354, US</x:v>
      </x:c>
      <x:c r="K311" t="str">
        <x:v>ACRIS deed-party address</x:v>
      </x:c>
      <x:c r="L311" t="n">
        <x:v>6</x:v>
      </x:c>
      <x:c r="M311" t="n">
        <x:v>13</x:v>
      </x:c>
      <x:c r="N311" t="str">
        <x:v>2FS SCG GARAGE LLC | 2FS SCG RETAIL LLC | 3532 CPB LLC | 39 PRINCE REALTY LLC | OFS HP LLC | THREE FULTON SQUARE LLC</x:v>
      </x:c>
      <x:c r="O311" t="str">
        <x:v>133-27 39TH AVENUE APT PO1, NY 11351 | 133-42 39 AVENUE APT G04, NY 11354 | 133-42 39 AVENUE APT G05, NY 11354 | 133-42 39 AVENUE APT H01, NY 11354 | 133-42 39 AVENUE APT H02, NY 11354 | 133-42 39 AVENUE APT H03, NY 11354 | 133-42 39 AVENUE APT H04, NY 11354 | 133-42 39 AVENUE APT SC01, NY 11354 | 35-32 COLLEGE POINT BLVD, NY 11355 | 35-50I COLLEGE POINT BLVD | 37-02 COLLEGE POINT BLVD, NY 11355 | 37-12 PRINCE STREET APT F5, NY 11354 | 39-16 PRINCE STREET APT 11B, NY 11354</x:v>
      </x:c>
      <x:c r="P311" t="n">
        <x:v>6</x:v>
      </x:c>
      <x:c r="Q311" s="15" t="n">
        <x:v>1</x:v>
      </x:c>
      <x:c r="R311" t="n">
        <x:v>0</x:v>
      </x:c>
      <x:c r="S311" t="str">
        <x:v>Shared DOS address</x:v>
      </x:c>
      <x:c r="T311" t="str">
        <x:v>No</x:v>
      </x:c>
      <x:c r="U311" t="n">
        <x:v>100</x:v>
      </x:c>
      <x:c r="V311" t="str">
        <x:v>https://data.ny.gov/Economic-Development/Active-Corporations-Beginning-1800/n9v6-gdp6</x:v>
      </x:c>
    </x:row>
    <x:row r="312">
      <x:c r="A312" t="str">
        <x:v>DOS-6-011</x:v>
      </x:c>
      <x:c r="B312" t="str">
        <x:v>Not Mailed</x:v>
      </x:c>
      <x:c r="C312" s="55"/>
      <x:c r="D312" t="str">
        <x:v>No Response</x:v>
      </x:c>
      <x:c r="E312" t="str"/>
      <x:c r="F312" t="n">
        <x:v>6</x:v>
      </x:c>
      <x:c r="G312" t="str">
        <x:v>PROPERTY OWNER</x:v>
      </x:c>
      <x:c r="H312" t="str"/>
      <x:c r="I312" t="n">
        <x:v>0</x:v>
      </x:c>
      <x:c r="J312" t="str">
        <x:v>162 SOUTH 8TH STREET, BROOKLYN, NY, 11211</x:v>
      </x:c>
      <x:c r="K312" t="str">
        <x:v>DOS address corroborated by ACRIS</x:v>
      </x:c>
      <x:c r="L312" t="n">
        <x:v>6</x:v>
      </x:c>
      <x:c r="M312" t="n">
        <x:v>13</x:v>
      </x:c>
      <x:c r="N312" t="str">
        <x:v>153 DIVISION LLC | EMPIRE ESTATES HOLDING LLC | HERKIMER I ESTATES LLC | HERKIMER II ESTATES LLC | MADISON PARK ESTATES LLC | PULASKI PARK ESTATES LLC</x:v>
      </x:c>
      <x:c r="O312" t="str">
        <x:v>100 SPENCER STREET APT 2C, NY 11205 | 115 SKILLMAN STREET APT 2, NY 11205 | 153 DIVISION AVENUE, NY 11211 | 185 PULASKI STREET, NY 11206 | 186 HERKIMER STREET, NY 11216 | 194 HERKIMER STREET, NY 11216 | 222 SKILLMAN STREET APT 5D, NY 11205 | 260 SKILLMAN STREET APT 1B, NY 11205 | 260-262 SKILLMAN STREET APT 8A, NY 11205 | 34 BROADWAY APT 1B, NY 11249 | 36 BROADWAY APT 2A, NY 11249 | 53-59 FRANKLIN AVENUE APT 9B, NY 11205 | 643 MADISON STREET, NY 11221</x:v>
      </x:c>
      <x:c r="P312" t="n">
        <x:v>6</x:v>
      </x:c>
      <x:c r="Q312" s="15" t="n">
        <x:v>1</x:v>
      </x:c>
      <x:c r="R312" t="n">
        <x:v>5</x:v>
      </x:c>
      <x:c r="S312" t="str">
        <x:v>Strong DOS address corroboration</x:v>
      </x:c>
      <x:c r="T312" t="str">
        <x:v>No</x:v>
      </x:c>
      <x:c r="U312" t="n">
        <x:v>100</x:v>
      </x:c>
      <x:c r="V312" t="str">
        <x:v>https://data.ny.gov/Economic-Development/Active-Corporations-Beginning-1800/n9v6-gdp6</x:v>
      </x:c>
    </x:row>
    <x:row r="313">
      <x:c r="A313" t="str">
        <x:v>DOS-6-012</x:v>
      </x:c>
      <x:c r="B313" t="str">
        <x:v>Not Mailed</x:v>
      </x:c>
      <x:c r="C313" s="55"/>
      <x:c r="D313" t="str">
        <x:v>No Response</x:v>
      </x:c>
      <x:c r="E313" t="str"/>
      <x:c r="F313" t="n">
        <x:v>6</x:v>
      </x:c>
      <x:c r="G313" t="str">
        <x:v>PROPERTY OWNER</x:v>
      </x:c>
      <x:c r="H313" t="str"/>
      <x:c r="I313" t="n">
        <x:v>0</x:v>
      </x:c>
      <x:c r="J313" t="str">
        <x:v>PO BOX 3545, NEW HYDE PARK, NY, 11040, US</x:v>
      </x:c>
      <x:c r="K313" t="str">
        <x:v>ACRIS deed-party address</x:v>
      </x:c>
      <x:c r="L313" t="n">
        <x:v>6</x:v>
      </x:c>
      <x:c r="M313" t="n">
        <x:v>13</x:v>
      </x:c>
      <x:c r="N313" t="str">
        <x:v>15TH ASSOCIATES LLC | BRUNO ILIBASSI LLC | FONTANA REALTY LLC | NETHERWORLD GROUP LLC | RAKOBE GROUP LLC | TOM SULLIVAN LLC</x:v>
      </x:c>
      <x:c r="O313" t="str">
        <x:v>158A DUPONT STREET, NY 11222 | 160 DUPONT STREET, NY 11222 | 183-185 SULLIVAN STREET, NY 10012 | 183-185 THOMPSON STREET, NY 10012 | 300 FT WASHINGTON AVENUE, NY 10032 | 328 EAST 15 STREET, NY 10003 | 330 EAST 15 STREET, NY 10003 | 332-334 EAST 15 STREET, NY 10003 | 338-340 EAST 15 STREET, NY 10003 | 342-344 EAST 15 STREET, NY 10003 | 421 EAST 77 STREET, NY 10075 | 446 EAST 87 STREET, NY 10128 | 88-90 2 AVENUE, NY 10003</x:v>
      </x:c>
      <x:c r="P313" t="n">
        <x:v>5</x:v>
      </x:c>
      <x:c r="Q313" s="15" t="n">
        <x:v>0.8333333333333334</x:v>
      </x:c>
      <x:c r="R313" t="n">
        <x:v>0</x:v>
      </x:c>
      <x:c r="S313" t="str">
        <x:v>Shared DOS address</x:v>
      </x:c>
      <x:c r="T313" t="str">
        <x:v>No</x:v>
      </x:c>
      <x:c r="U313" t="n">
        <x:v>100</x:v>
      </x:c>
      <x:c r="V313" t="str">
        <x:v>https://data.ny.gov/Economic-Development/Active-Corporations-Beginning-1800/n9v6-gdp6</x:v>
      </x:c>
    </x:row>
    <x:row r="314">
      <x:c r="A314" t="str">
        <x:v>DOS-6-013</x:v>
      </x:c>
      <x:c r="B314" t="str">
        <x:v>Not Mailed</x:v>
      </x:c>
      <x:c r="C314" s="55"/>
      <x:c r="D314" t="str">
        <x:v>No Response</x:v>
      </x:c>
      <x:c r="E314" t="str"/>
      <x:c r="F314" t="n">
        <x:v>6</x:v>
      </x:c>
      <x:c r="G314" t="str">
        <x:v>PROPERTY OWNER</x:v>
      </x:c>
      <x:c r="H314" t="str">
        <x:v>HARRY OTTERMAN</x:v>
      </x:c>
      <x:c r="I314" t="n">
        <x:v>1</x:v>
      </x:c>
      <x:c r="J314" t="str">
        <x:v>P.O. BOX 720247, JACKSON HEIGHTS, NY, 11372</x:v>
      </x:c>
      <x:c r="K314" t="str">
        <x:v>DOS address corroborated by ACRIS</x:v>
      </x:c>
      <x:c r="L314" t="n">
        <x:v>6</x:v>
      </x:c>
      <x:c r="M314" t="n">
        <x:v>12</x:v>
      </x:c>
      <x:c r="N314" t="str">
        <x:v>ALBION GROVE LLC | BH VILLAGE LLC | GROVE HEIGHTS LLC | JACKSON SENATE LLC | SKILLMAN GROVE LLC | SUN JACK HOLDINGS LLC</x:v>
      </x:c>
      <x:c r="O314" t="str">
        <x:v>10 AVENUE P APT 1-J, NY 11204 | 40-14 72 STREET, NY 11377 | 41-12 45 STREET, NY 11104 | 41-22 45 STREET, NY 11104 | 41-24 45 STREET, NY 11104 | 41-29 41 STREET, NY 11104 | 41-40 UNION STREET APT 11-M, NY 11355 | 41-40 UNION STREET APT 18-A, NY 11355 | 41-40 UNION STREET APT 2G, NY 11355 | 41-40 UNION STREET APT 2P, NY 11355 | 41-40 UNION STREET APT 3-N, NY 11355 | 41-40 UNION STREET APT 7-Y, NY 11355</x:v>
      </x:c>
      <x:c r="P314" t="n">
        <x:v>5</x:v>
      </x:c>
      <x:c r="Q314" s="15" t="n">
        <x:v>0.8333333333333334</x:v>
      </x:c>
      <x:c r="R314" t="n">
        <x:v>2</x:v>
      </x:c>
      <x:c r="S314" t="str">
        <x:v>Strong DOS address corroboration</x:v>
      </x:c>
      <x:c r="T314" t="str">
        <x:v>No</x:v>
      </x:c>
      <x:c r="U314" t="n">
        <x:v>100</x:v>
      </x:c>
      <x:c r="V314" t="str">
        <x:v>https://data.ny.gov/Economic-Development/Active-Corporations-Beginning-1800/n9v6-gdp6</x:v>
      </x:c>
    </x:row>
    <x:row r="315">
      <x:c r="A315" t="str">
        <x:v>DOS-6-014</x:v>
      </x:c>
      <x:c r="B315" t="str">
        <x:v>Not Mailed</x:v>
      </x:c>
      <x:c r="C315" s="55"/>
      <x:c r="D315" t="str">
        <x:v>No Response</x:v>
      </x:c>
      <x:c r="E315" t="str"/>
      <x:c r="F315" t="n">
        <x:v>6</x:v>
      </x:c>
      <x:c r="G315" t="str">
        <x:v>PROPERTY OWNER</x:v>
      </x:c>
      <x:c r="H315" t="str">
        <x:v>CHANIE SPITZER</x:v>
      </x:c>
      <x:c r="I315" t="n">
        <x:v>1</x:v>
      </x:c>
      <x:c r="J315" t="str">
        <x:v>4309 13TH AVENUE, BROOKLYN, NY, 11219, US</x:v>
      </x:c>
      <x:c r="K315" t="str">
        <x:v>ACRIS deed-party address</x:v>
      </x:c>
      <x:c r="L315" t="n">
        <x:v>6</x:v>
      </x:c>
      <x:c r="M315" t="n">
        <x:v>12</x:v>
      </x:c>
      <x:c r="N315" t="str">
        <x:v>161 HAVEMEYER HOLDINGS LLC | 4307 11 13TH AVENUE REALTY LLC | BEECH 114 HOLDINGS LLC | BROOKLYN YARDS DEVELOPMENT LLC | SJ NOSTRAND LLC | SUTTER HOLDINGS LLC</x:v>
      </x:c>
      <x:c r="O315" t="str">
        <x:v>1315 SUTTER AVENUE, NY 11208 | 15 AVENUE | 16 AVENUE | 161 HAVEMEYER STREET, NY 11211 | 175 BEACH 114 STREET, NY 11694 | 1798 NOSTRAND AVENUE APT 6, NY 11226 | 4307 13 AVENUE, NY 11219 | 4309 13 AVENUE, NY 11219 | 4311 13 AVENUE, NY 11219 | 60 STREET | NEW UTRECHT AVENUE</x:v>
      </x:c>
      <x:c r="P315" t="n">
        <x:v>6</x:v>
      </x:c>
      <x:c r="Q315" s="15" t="n">
        <x:v>1</x:v>
      </x:c>
      <x:c r="R315" t="n">
        <x:v>0</x:v>
      </x:c>
      <x:c r="S315" t="str">
        <x:v>Shared DOS address</x:v>
      </x:c>
      <x:c r="T315" t="str">
        <x:v>No</x:v>
      </x:c>
      <x:c r="U315" t="n">
        <x:v>100</x:v>
      </x:c>
      <x:c r="V315" t="str">
        <x:v>https://data.ny.gov/Economic-Development/Active-Corporations-Beginning-1800/n9v6-gdp6</x:v>
      </x:c>
    </x:row>
    <x:row r="316">
      <x:c r="A316" t="str">
        <x:v>DOS-6-015</x:v>
      </x:c>
      <x:c r="B316" t="str">
        <x:v>Not Mailed</x:v>
      </x:c>
      <x:c r="C316" s="55"/>
      <x:c r="D316" t="str">
        <x:v>No Response</x:v>
      </x:c>
      <x:c r="E316" t="str"/>
      <x:c r="F316" t="n">
        <x:v>6</x:v>
      </x:c>
      <x:c r="G316" t="str">
        <x:v>MEYER CHETRIT</x:v>
      </x:c>
      <x:c r="H316" t="str">
        <x:v>MEYER CHETRIT</x:v>
      </x:c>
      <x:c r="I316" t="n">
        <x:v>2</x:v>
      </x:c>
      <x:c r="J316" t="str">
        <x:v>512 SEVENTH AVENUE - 16TH FLOOR, NEW YORK, NY, 10018, US</x:v>
      </x:c>
      <x:c r="K316" t="str">
        <x:v>ACRIS deed-party address</x:v>
      </x:c>
      <x:c r="L316" t="n">
        <x:v>6</x:v>
      </x:c>
      <x:c r="M316" t="n">
        <x:v>12</x:v>
      </x:c>
      <x:c r="N316" t="str">
        <x:v>110 EAST 64TH OWNER LLC | 88TH AVENUE OWNER LLC | 89TH AVENUE OWNER LLC | AINSLIE VENTURE LLC | CF PWV LLC | MASPETH 5718 LLC</x:v>
      </x:c>
      <x:c r="O316" t="str">
        <x:v>107 WEST 97 STREET, NY 10025 | 110 EAST 64 STREET, NY 10065 | 120 WEST 100 STREET, NY 10025 | 152-09 88 AVENUE, NY 11432 | 152-13 88 AVENUE, NY 11432 | 31 METROPOLITAN AVENUE, NY 11249 | 57-46 56 STREET, NY 11385 | 59 PLACE | 790 COLUMBUS AVENUE, NY 10025 | 88 AVENUE, NY 11432</x:v>
      </x:c>
      <x:c r="P316" t="n">
        <x:v>6</x:v>
      </x:c>
      <x:c r="Q316" s="15" t="n">
        <x:v>1</x:v>
      </x:c>
      <x:c r="R316" t="n">
        <x:v>1</x:v>
      </x:c>
      <x:c r="S316" t="str">
        <x:v>Active-name matches only</x:v>
      </x:c>
      <x:c r="T316" t="str">
        <x:v>No</x:v>
      </x:c>
      <x:c r="U316" t="n">
        <x:v>100</x:v>
      </x:c>
      <x:c r="V316" t="str">
        <x:v>https://data.ny.gov/Economic-Development/Active-Corporations-Beginning-1800/n9v6-gdp6</x:v>
      </x:c>
    </x:row>
    <x:row r="317">
      <x:c r="A317" t="str">
        <x:v>DOS-6-016</x:v>
      </x:c>
      <x:c r="B317" t="str">
        <x:v>Not Mailed</x:v>
      </x:c>
      <x:c r="C317" s="55"/>
      <x:c r="D317" t="str">
        <x:v>No Response</x:v>
      </x:c>
      <x:c r="E317" t="str"/>
      <x:c r="F317" t="n">
        <x:v>6</x:v>
      </x:c>
      <x:c r="G317" t="str">
        <x:v>PROPERTY OWNER</x:v>
      </x:c>
      <x:c r="H317" t="str"/>
      <x:c r="I317" t="n">
        <x:v>0</x:v>
      </x:c>
      <x:c r="J317" t="str">
        <x:v>11 BRIARWOOD LANE, SUFFERN, NY, 10901</x:v>
      </x:c>
      <x:c r="K317" t="str">
        <x:v>DOS address corroborated by ACRIS</x:v>
      </x:c>
      <x:c r="L317" t="n">
        <x:v>6</x:v>
      </x:c>
      <x:c r="M317" t="n">
        <x:v>11</x:v>
      </x:c>
      <x:c r="N317" t="str">
        <x:v>164 PROPERTY GROUP LLC | BRIARWOOD PROPERTIES GROUP LLC | BROOKE PROPERTY GROUP LLC | CENTURION PROPERTY GROUP LLC | GERARD PROPERTY GROUP LLC | THE RAND PROPERTIES GROUP LLC</x:v>
      </x:c>
      <x:c r="O317" t="str">
        <x:v>1216-1220 BROOK AVENUE, NY 10456 | 1217 BROOK AVENUE, NY 10456 | 1290 GERARD AVENUE, NY 10452 | 1306-1312 JEROME AVENUE, NY 10452 | 1500 INWOOD AVENUE, NY 10452 | 1504-1506 INWOOD AVENUE, NY 10452 | 283 EAST 164 STREET, NY 10456 | 422 EAST 168 STREET, NY 10456 | 424 EAST 168 STREET, NY 10456 | 428 EAST 168 STREET, NY 10456 | WEST 172 STREET</x:v>
      </x:c>
      <x:c r="P317" t="n">
        <x:v>6</x:v>
      </x:c>
      <x:c r="Q317" s="15" t="n">
        <x:v>1</x:v>
      </x:c>
      <x:c r="R317" t="n">
        <x:v>6</x:v>
      </x:c>
      <x:c r="S317" t="str">
        <x:v>Strong DOS address corroboration</x:v>
      </x:c>
      <x:c r="T317" t="str">
        <x:v>No</x:v>
      </x:c>
      <x:c r="U317" t="n">
        <x:v>100</x:v>
      </x:c>
      <x:c r="V317" t="str">
        <x:v>https://data.ny.gov/Economic-Development/Active-Corporations-Beginning-1800/n9v6-gdp6</x:v>
      </x:c>
    </x:row>
    <x:row r="318">
      <x:c r="A318" t="str">
        <x:v>DOS-6-017</x:v>
      </x:c>
      <x:c r="B318" t="str">
        <x:v>Not Mailed</x:v>
      </x:c>
      <x:c r="C318" s="55"/>
      <x:c r="D318" t="str">
        <x:v>No Response</x:v>
      </x:c>
      <x:c r="E318" t="str"/>
      <x:c r="F318" t="n">
        <x:v>6</x:v>
      </x:c>
      <x:c r="G318" t="str">
        <x:v>PROPERTY OWNER</x:v>
      </x:c>
      <x:c r="H318" t="str"/>
      <x:c r="I318" t="n">
        <x:v>0</x:v>
      </x:c>
      <x:c r="J318" t="str">
        <x:v>197 COLUMBIA STREET, BROOKLYN, NY, 11231, US</x:v>
      </x:c>
      <x:c r="K318" t="str">
        <x:v>ACRIS deed-party address</x:v>
      </x:c>
      <x:c r="L318" t="n">
        <x:v>6</x:v>
      </x:c>
      <x:c r="M318" t="n">
        <x:v>11</x:v>
      </x:c>
      <x:c r="N318" t="str">
        <x:v>446 SENATOR REALTY LLC | 750 4TH AVENUE LLC | BAY SET 1869 REALTY CO LLC | BAY SET REALTY CO LLC | HL INVESTOR GROUP LLC | M H L LLC</x:v>
      </x:c>
      <x:c r="O318" t="str">
        <x:v>1871 CROPSEY AVENUE APT 8, NY 11214 | 2062 73 STREET, NY 11204 | 240 24 STREET, NY 11232 | 246 24 STREET, NY 11232 | 260 67 STREET, NY 11220 | 446 SENATOR STREET, NY 11220 | 508 SMITH STREET, NY 11231 | 59 GARNET STREET, NY 11231 | 750-752 4 AVENUE, NY 11232 | 754-756 4 AVENUE, NY 11232 | 758 4 AVENUE, NY 11232</x:v>
      </x:c>
      <x:c r="P318" t="n">
        <x:v>6</x:v>
      </x:c>
      <x:c r="Q318" s="15" t="n">
        <x:v>1</x:v>
      </x:c>
      <x:c r="R318" t="n">
        <x:v>0</x:v>
      </x:c>
      <x:c r="S318" t="str">
        <x:v>Shared DOS address</x:v>
      </x:c>
      <x:c r="T318" t="str">
        <x:v>No</x:v>
      </x:c>
      <x:c r="U318" t="n">
        <x:v>100</x:v>
      </x:c>
      <x:c r="V318" t="str">
        <x:v>https://data.ny.gov/Economic-Development/Active-Corporations-Beginning-1800/n9v6-gdp6</x:v>
      </x:c>
    </x:row>
    <x:row r="319">
      <x:c r="A319" t="str">
        <x:v>DOS-6-018</x:v>
      </x:c>
      <x:c r="B319" t="str">
        <x:v>Not Mailed</x:v>
      </x:c>
      <x:c r="C319" s="55"/>
      <x:c r="D319" t="str">
        <x:v>No Response</x:v>
      </x:c>
      <x:c r="E319" t="str"/>
      <x:c r="F319" t="n">
        <x:v>6</x:v>
      </x:c>
      <x:c r="G319" t="str">
        <x:v>PROPERTY OWNER</x:v>
      </x:c>
      <x:c r="H319" t="str">
        <x:v>Mendel Berkowitz</x:v>
      </x:c>
      <x:c r="I319" t="n">
        <x:v>1</x:v>
      </x:c>
      <x:c r="J319" t="str">
        <x:v>199 lee ave ste 471, BROOKLYN, NY, 11211</x:v>
      </x:c>
      <x:c r="K319" t="str">
        <x:v>DOS address corroborated by ACRIS</x:v>
      </x:c>
      <x:c r="L319" t="n">
        <x:v>6</x:v>
      </x:c>
      <x:c r="M319" t="n">
        <x:v>11</x:v>
      </x:c>
      <x:c r="N319" t="str">
        <x:v>101 MOORE LLC | 1282 DECATUR LLC | 1873 MENAHAN LLC | 227 STANHOPE REALTY LLC | ONE FIVE FIVE LLC | SIXTY SEVEN FOURTH LLC</x:v>
      </x:c>
      <x:c r="O319" t="str">
        <x:v>101 MOORE STREET, NY 11206 | 1282 DECATUR STREET, NY 11207 | 18-73 MENAHAN STREET, NY 11385 | 227 STANHOPE STREET, NY 11237 | 67 4 AVENUE APT 3, NY 11217 | 69 4 AVENUE APT 3, NY 11217 | 71 4 AVENUE APT 3, NY 11217 | 73 4 AVENUE APT 3, NY 11217 | 75 4 AVENUE APT 3, NY 11217 | 77 ST MARKS PLACE, NY 11217 | SOUTH ELLIOT STREET, NY 11217</x:v>
      </x:c>
      <x:c r="P319" t="n">
        <x:v>6</x:v>
      </x:c>
      <x:c r="Q319" s="15" t="n">
        <x:v>1</x:v>
      </x:c>
      <x:c r="R319" t="n">
        <x:v>2</x:v>
      </x:c>
      <x:c r="S319" t="str">
        <x:v>Strong DOS address corroboration</x:v>
      </x:c>
      <x:c r="T319" t="str">
        <x:v>No</x:v>
      </x:c>
      <x:c r="U319" t="n">
        <x:v>100</x:v>
      </x:c>
      <x:c r="V319" t="str">
        <x:v>https://data.ny.gov/Economic-Development/Active-Corporations-Beginning-1800/n9v6-gdp6</x:v>
      </x:c>
    </x:row>
    <x:row r="320">
      <x:c r="A320" t="str">
        <x:v>DOS-6-019</x:v>
      </x:c>
      <x:c r="B320" t="str">
        <x:v>Not Mailed</x:v>
      </x:c>
      <x:c r="C320" s="55"/>
      <x:c r="D320" t="str">
        <x:v>No Response</x:v>
      </x:c>
      <x:c r="E320" t="str"/>
      <x:c r="F320" t="n">
        <x:v>6</x:v>
      </x:c>
      <x:c r="G320" t="str">
        <x:v>PROPERTY OWNER</x:v>
      </x:c>
      <x:c r="H320" t="str"/>
      <x:c r="I320" t="n">
        <x:v>0</x:v>
      </x:c>
      <x:c r="J320" t="str">
        <x:v>199 LEE AVENUE, SUITE #487, BROOKLYN, NY, 11211, US</x:v>
      </x:c>
      <x:c r="K320" t="str">
        <x:v>ACRIS deed-party address</x:v>
      </x:c>
      <x:c r="L320" t="n">
        <x:v>6</x:v>
      </x:c>
      <x:c r="M320" t="n">
        <x:v>11</x:v>
      </x:c>
      <x:c r="N320" t="str">
        <x:v>114 AUTUMN LLC | 268 LINWOOD LLC | 2683 ATLANTIC LLC | 2741 FULTON LLC | 3233 FULTON LLC | 8608 10 LLC</x:v>
      </x:c>
      <x:c r="O320" t="str">
        <x:v>154 VERMONT STREET, NY 11207 | 2669 ATLANTIC AVENUE, NY 11207 | 2673 ATLANTIC AVENUE, NY 11207 | 2675 ATLANTIC AVENUE, NY 11207 | 2677 ATLANTIC AVENUE, NY 11207 | 268 LINWOOD STREET, NY 11208 | 2685 ATLANTIC AVENUE APT 4, NY 11207 | 2741 FULTON STREET, NY 11207 | 3233 FULTON STREET, NY 11208 | 339 ETNA STREET, NY 11208 | 86-08 ATLANTIC AVENUE, NY 11416</x:v>
      </x:c>
      <x:c r="P320" t="n">
        <x:v>6</x:v>
      </x:c>
      <x:c r="Q320" s="15" t="n">
        <x:v>1</x:v>
      </x:c>
      <x:c r="R320" t="n">
        <x:v>0</x:v>
      </x:c>
      <x:c r="S320" t="str">
        <x:v>Shared DOS address</x:v>
      </x:c>
      <x:c r="T320" t="str">
        <x:v>No</x:v>
      </x:c>
      <x:c r="U320" t="n">
        <x:v>100</x:v>
      </x:c>
      <x:c r="V320" t="str">
        <x:v>https://data.ny.gov/Economic-Development/Active-Corporations-Beginning-1800/n9v6-gdp6</x:v>
      </x:c>
    </x:row>
    <x:row r="321">
      <x:c r="A321" t="str">
        <x:v>DOS-6-020</x:v>
      </x:c>
      <x:c r="B321" t="str">
        <x:v>Not Mailed</x:v>
      </x:c>
      <x:c r="C321" s="55"/>
      <x:c r="D321" t="str">
        <x:v>No Response</x:v>
      </x:c>
      <x:c r="E321" t="str"/>
      <x:c r="F321" t="n">
        <x:v>6</x:v>
      </x:c>
      <x:c r="G321" t="str">
        <x:v>PROPERTY OWNER</x:v>
      </x:c>
      <x:c r="H321" t="str">
        <x:v>PAYKIN, RICHLAND &amp; FALKOWSKI, PC</x:v>
      </x:c>
      <x:c r="I321" t="n">
        <x:v>1</x:v>
      </x:c>
      <x:c r="J321" t="str">
        <x:v>225 JERICHO TURNPIKE, FLORAL PARK, NY, 11001, US</x:v>
      </x:c>
      <x:c r="K321" t="str">
        <x:v>ACRIS deed-party address</x:v>
      </x:c>
      <x:c r="L321" t="n">
        <x:v>6</x:v>
      </x:c>
      <x:c r="M321" t="n">
        <x:v>11</x:v>
      </x:c>
      <x:c r="N321" t="str">
        <x:v>1 WEST POND ASSETS LLC | BAYSIDE NY GROUP LLC | HILL PLAZA ENTERPRISE NY LLC | KINGSBRIDGE UNITED LLC | UNITED BROADWAY LLC | UNITED PLAZA OF BRONX LLC</x:v>
      </x:c>
      <x:c r="O321" t="str">
        <x:v>1028 GROTE STREET, NY 10460 | 2005 PROSPECT AVENUE, NY 10457 | 2091 NEREID AVENUE, NY 10466 | 2261 BASSFORD AVENUE, NY 10457 | 2410 BUTLER PLACE, NY 10461 | 3552 CARLISLE PLACE, NY 10467 | 599 EAST 164 STREET, NY 10456 | 662 HALSEY STREET APT 6, NY 11233 | 758 EAST 225 STREET, NY 10466 | 810 EAST 169 STREET, NY 10459 | 949 EAST 231 STREET, NY 10466</x:v>
      </x:c>
      <x:c r="P321" t="n">
        <x:v>5</x:v>
      </x:c>
      <x:c r="Q321" s="15" t="n">
        <x:v>0.8333333333333334</x:v>
      </x:c>
      <x:c r="R321" t="n">
        <x:v>2</x:v>
      </x:c>
      <x:c r="S321" t="str">
        <x:v>Strong DOS address corroboration</x:v>
      </x:c>
      <x:c r="T321" t="str">
        <x:v>No</x:v>
      </x:c>
      <x:c r="U321" t="n">
        <x:v>100</x:v>
      </x:c>
      <x:c r="V321" t="str">
        <x:v>https://data.ny.gov/Economic-Development/Active-Corporations-Beginning-1800/n9v6-gdp6</x:v>
      </x:c>
    </x:row>
    <x:row r="322">
      <x:c r="A322" t="str">
        <x:v>DOS-6-021</x:v>
      </x:c>
      <x:c r="B322" t="str">
        <x:v>Not Mailed</x:v>
      </x:c>
      <x:c r="C322" s="55"/>
      <x:c r="D322" t="str">
        <x:v>No Response</x:v>
      </x:c>
      <x:c r="E322" t="str"/>
      <x:c r="F322" t="n">
        <x:v>6</x:v>
      </x:c>
      <x:c r="G322" t="str">
        <x:v>PROPERTY OWNER</x:v>
      </x:c>
      <x:c r="H322" t="str"/>
      <x:c r="I322" t="n">
        <x:v>0</x:v>
      </x:c>
      <x:c r="J322" t="str">
        <x:v>280 NORTH CENTRAL PARK AVENUE, SUITE 210, HARTSDALE, NY, 10530, US</x:v>
      </x:c>
      <x:c r="K322" t="str">
        <x:v>ACRIS deed-party address</x:v>
      </x:c>
      <x:c r="L322" t="n">
        <x:v>6</x:v>
      </x:c>
      <x:c r="M322" t="n">
        <x:v>11</x:v>
      </x:c>
      <x:c r="N322" t="str">
        <x:v>106 AND 108 CHARLES LLC | 226 228 EAST 26TH STREET LLC | 256 EAST 10TH STREET NY LLC | 338 340 EAST 22ND LLC | 506 EAST 88TH STREET LLC | WARREN LLC</x:v>
      </x:c>
      <x:c r="O322" t="str">
        <x:v>106 CHARLES STREET, NY 10014 | 108 CHARLES STREET, NY 10014 | 226 EAST 26 STREET, NY 10010 | 228 EAST 26 STREET, NY 10010 | 256-258 EAST 10 STREET, NY 10009 | 338 EAST 22 STREET, NY 10010 | 340 EAST 22 STREET, NY 10010 | 37-03 95 STREET, NY 11372 | 37-06 WARREN STREET, NY 11372 | 506-508 EAST 88 STREET, NY 10128 | 95-08 37 AVENUE, NY 11372</x:v>
      </x:c>
      <x:c r="P322" t="n">
        <x:v>6</x:v>
      </x:c>
      <x:c r="Q322" s="15" t="n">
        <x:v>1</x:v>
      </x:c>
      <x:c r="R322" t="n">
        <x:v>0</x:v>
      </x:c>
      <x:c r="S322" t="str">
        <x:v>Shared DOS address</x:v>
      </x:c>
      <x:c r="T322" t="str">
        <x:v>No</x:v>
      </x:c>
      <x:c r="U322" t="n">
        <x:v>100</x:v>
      </x:c>
      <x:c r="V322" t="str">
        <x:v>https://data.ny.gov/Economic-Development/Active-Corporations-Beginning-1800/n9v6-gdp6</x:v>
      </x:c>
    </x:row>
    <x:row r="323">
      <x:c r="A323" t="str">
        <x:v>DOS-6-022</x:v>
      </x:c>
      <x:c r="B323" t="str">
        <x:v>Not Mailed</x:v>
      </x:c>
      <x:c r="C323" s="55"/>
      <x:c r="D323" t="str">
        <x:v>No Response</x:v>
      </x:c>
      <x:c r="E323" t="str"/>
      <x:c r="F323" t="n">
        <x:v>6</x:v>
      </x:c>
      <x:c r="G323" t="str">
        <x:v>PROPERTY OWNER</x:v>
      </x:c>
      <x:c r="H323" t="str"/>
      <x:c r="I323" t="n">
        <x:v>0</x:v>
      </x:c>
      <x:c r="J323" t="str">
        <x:v>2802 Brighton 8th St, Brooklyn, NY, 11235</x:v>
      </x:c>
      <x:c r="K323" t="str">
        <x:v>DOS address corroborated by ACRIS</x:v>
      </x:c>
      <x:c r="L323" t="n">
        <x:v>6</x:v>
      </x:c>
      <x:c r="M323" t="n">
        <x:v>11</x:v>
      </x:c>
      <x:c r="N323" t="str">
        <x:v>150 OCEANA DRIVE LLC | 1688 MCDONALD AVE LLC | 2700 STILLWELL AVE LLC | 2702 STILLWELL AVE LLC | 2802 BRIGHTON 8TH ST LLC | BRIGHTON 8TH ST LLC</x:v>
      </x:c>
      <x:c r="O323" t="str">
        <x:v>150 OCEANA DRIVE WEST APT 1, NY 11235 | 150 OCEANA DRIVE WEST APT PH6, NY 11235 | 1688 MCDONALD AVENUE, NY 11230 | 2700 STILLWELL AVENUE, NY 11224 | 2702-2708 STILLWELL AVENUE, NY 11224 | 2798 BRIGHTON 8 STREET, NY 11235 | 2802 BRIGHTON 8 STREET, NY 11235 | 2804 BRIGHTON 8 STREET, NY 11235 | 2808 BRIGHTON 8 STREET, NY 11235 | 2810 BRIGHTON 8 STREET, NY 11235 | 2814 BRIGHTON 8 STREET, NY 11235</x:v>
      </x:c>
      <x:c r="P323" t="n">
        <x:v>6</x:v>
      </x:c>
      <x:c r="Q323" s="15" t="n">
        <x:v>1</x:v>
      </x:c>
      <x:c r="R323" t="n">
        <x:v>5</x:v>
      </x:c>
      <x:c r="S323" t="str">
        <x:v>Strong DOS address corroboration</x:v>
      </x:c>
      <x:c r="T323" t="str">
        <x:v>No</x:v>
      </x:c>
      <x:c r="U323" t="n">
        <x:v>100</x:v>
      </x:c>
      <x:c r="V323" t="str">
        <x:v>https://data.ny.gov/Economic-Development/Active-Corporations-Beginning-1800/n9v6-gdp6</x:v>
      </x:c>
    </x:row>
    <x:row r="324">
      <x:c r="A324" t="str">
        <x:v>DOS-6-023</x:v>
      </x:c>
      <x:c r="B324" t="str">
        <x:v>Not Mailed</x:v>
      </x:c>
      <x:c r="C324" s="55"/>
      <x:c r="D324" t="str">
        <x:v>No Response</x:v>
      </x:c>
      <x:c r="E324" t="str"/>
      <x:c r="F324" t="n">
        <x:v>6</x:v>
      </x:c>
      <x:c r="G324" t="str">
        <x:v>PROPERTY OWNER</x:v>
      </x:c>
      <x:c r="H324" t="str">
        <x:v>HARTSTEIN &amp; HARTSTEIN</x:v>
      </x:c>
      <x:c r="I324" t="n">
        <x:v>1</x:v>
      </x:c>
      <x:c r="J324" t="str">
        <x:v>340 FIFTH AVE, SUITE 204, PELHAM, NY, 10803</x:v>
      </x:c>
      <x:c r="K324" t="str">
        <x:v>DOS address corroborated by ACRIS</x:v>
      </x:c>
      <x:c r="L324" t="n">
        <x:v>6</x:v>
      </x:c>
      <x:c r="M324" t="n">
        <x:v>11</x:v>
      </x:c>
      <x:c r="N324" t="str">
        <x:v>1776 E TREMONT REALTY LLC | 178TH STREET LOT LLC | 3870 JPC REALTY LLC | 441 AMANDA LOTS LLC | 441 E 178TH STREET BARN HOUSE LLC | R AND R TREMONT AVENUE LLC</x:v>
      </x:c>
      <x:c r="O324" t="str">
        <x:v>1515 LURTING AVENUE, NY 10461 | 1774 EAST TREMONT AVENUE, NY 10460 | 2504 EAST TREMONT AVENUE, NY 10461 | 3870 AMUNDSON AVENUE, NY 10466 | 441 EAST 178 STREET, NY 10457 | 443 EAST 178 STREET, NY 10457 | 448 EAST 178 STREET, NY 10457 | 449 EAST 178 STREET, NY 10457 | EAST 178 STREET | EAST 178 STREET, NY 10457</x:v>
      </x:c>
      <x:c r="P324" t="n">
        <x:v>6</x:v>
      </x:c>
      <x:c r="Q324" s="15" t="n">
        <x:v>1</x:v>
      </x:c>
      <x:c r="R324" t="n">
        <x:v>4</x:v>
      </x:c>
      <x:c r="S324" t="str">
        <x:v>Strong DOS address corroboration</x:v>
      </x:c>
      <x:c r="T324" t="str">
        <x:v>No</x:v>
      </x:c>
      <x:c r="U324" t="n">
        <x:v>100</x:v>
      </x:c>
      <x:c r="V324" t="str">
        <x:v>https://data.ny.gov/Economic-Development/Active-Corporations-Beginning-1800/n9v6-gdp6</x:v>
      </x:c>
    </x:row>
    <x:row r="325">
      <x:c r="A325" t="str">
        <x:v>DOS-6-024</x:v>
      </x:c>
      <x:c r="B325" t="str">
        <x:v>Not Mailed</x:v>
      </x:c>
      <x:c r="C325" s="55"/>
      <x:c r="D325" t="str">
        <x:v>No Response</x:v>
      </x:c>
      <x:c r="E325" t="str"/>
      <x:c r="F325" t="n">
        <x:v>6</x:v>
      </x:c>
      <x:c r="G325" t="str">
        <x:v>PROPERTY OWNER</x:v>
      </x:c>
      <x:c r="H325" t="str"/>
      <x:c r="I325" t="n">
        <x:v>0</x:v>
      </x:c>
      <x:c r="J325" t="str">
        <x:v>5308 13TH AVE #398, BROOKLYN, NY, 11219</x:v>
      </x:c>
      <x:c r="K325" t="str">
        <x:v>DOS address corroborated by ACRIS</x:v>
      </x:c>
      <x:c r="L325" t="n">
        <x:v>6</x:v>
      </x:c>
      <x:c r="M325" t="n">
        <x:v>11</x:v>
      </x:c>
      <x:c r="N325" t="str">
        <x:v>1105 UNIT 1 LLC | 228 THREESTAR LLC | 2700 CHURCH REALTY LLC | 321 PUTNAM LLC | PCG 2172 LLC | TEHAMA HOUSING 55 LLC</x:v>
      </x:c>
      <x:c r="O325" t="str">
        <x:v>1105 CORTELYOU ROAD APT 1, NY 11218 | 2172 MULINER AVENUE, NY 10462 | 2700 CHURCH AVENUE, NY 11226 | 321 PUTNAM AVENUE, NY 11216 | 55 TEHAMA STREET, NY 11218 | 57 TEHAMA STREET, NY 11218 | 59 TEHAMA STREET, NY 11218 | 61 TEHAMA STREET, NY 11218 | 711 EAST 228 STREET, NY 10466 | 717 EAST 228 STREET, NY 10466 | 721 EAST 228 STREET, NY 10466</x:v>
      </x:c>
      <x:c r="P325" t="n">
        <x:v>6</x:v>
      </x:c>
      <x:c r="Q325" s="15" t="n">
        <x:v>1</x:v>
      </x:c>
      <x:c r="R325" t="n">
        <x:v>1</x:v>
      </x:c>
      <x:c r="S325" t="str">
        <x:v>Shared DOS address</x:v>
      </x:c>
      <x:c r="T325" t="str">
        <x:v>No</x:v>
      </x:c>
      <x:c r="U325" t="n">
        <x:v>100</x:v>
      </x:c>
      <x:c r="V325" t="str">
        <x:v>https://data.ny.gov/Economic-Development/Active-Corporations-Beginning-1800/n9v6-gdp6</x:v>
      </x:c>
    </x:row>
    <x:row r="326">
      <x:c r="A326" t="str">
        <x:v>DOS-6-025</x:v>
      </x:c>
      <x:c r="B326" t="str">
        <x:v>Not Mailed</x:v>
      </x:c>
      <x:c r="C326" s="55"/>
      <x:c r="D326" t="str">
        <x:v>No Response</x:v>
      </x:c>
      <x:c r="E326" t="str"/>
      <x:c r="F326" t="n">
        <x:v>6</x:v>
      </x:c>
      <x:c r="G326" t="str">
        <x:v>PROPERTY OWNER</x:v>
      </x:c>
      <x:c r="H326" t="str"/>
      <x:c r="I326" t="n">
        <x:v>0</x:v>
      </x:c>
      <x:c r="J326" t="str">
        <x:v>5925 Broadway, Bronx, NY, 10463</x:v>
      </x:c>
      <x:c r="K326" t="str">
        <x:v>DOS address corroborated by ACRIS</x:v>
      </x:c>
      <x:c r="L326" t="n">
        <x:v>6</x:v>
      </x:c>
      <x:c r="M326" t="n">
        <x:v>11</x:v>
      </x:c>
      <x:c r="N326" t="str">
        <x:v>1695 TOPPING AVENUE LLC | 510 WEST 188TH STREET ASSOCIATES LLC | 52 ARDEN ASSOCIATES LLC | AUDUBON PROPERTY GROUP LLC | RIVULET ROW ASSOCIATES LLC | WHITE STAR ASSOCIATES LLC</x:v>
      </x:c>
      <x:c r="O326" t="str">
        <x:v>1695 TOPPING AVENUE, NY 10457 | 31-41 SHERMAN AVENUE, NY 10040 | 510-512 WEST 188 STREET, NY 10040 | 520 AUDUBON AVENUE, NY 10040 | 530 AUDUBON AVENUE, NY 10040 | 540 AUDUBON AVENUE, NY 10040 | 541-543 ACADEMY STREET, NY 10034 | 545 ACADEMY STREET, NY 10034 | 553 ACADEMY STREET, NY 10034 | 557-561 ACADEMY STREET, NY 10034 | 565 ACADEMY STREET, NY 10034</x:v>
      </x:c>
      <x:c r="P326" t="n">
        <x:v>5</x:v>
      </x:c>
      <x:c r="Q326" s="15" t="n">
        <x:v>0.8333333333333334</x:v>
      </x:c>
      <x:c r="R326" t="n">
        <x:v>5</x:v>
      </x:c>
      <x:c r="S326" t="str">
        <x:v>Strong DOS address corroboration</x:v>
      </x:c>
      <x:c r="T326" t="str">
        <x:v>No</x:v>
      </x:c>
      <x:c r="U326" t="n">
        <x:v>100</x:v>
      </x:c>
      <x:c r="V326" t="str">
        <x:v>https://data.ny.gov/Economic-Development/Active-Corporations-Beginning-1800/n9v6-gdp6</x:v>
      </x:c>
    </x:row>
    <x:row r="327">
      <x:c r="A327" t="str">
        <x:v>DOS-6-026</x:v>
      </x:c>
      <x:c r="B327" t="str">
        <x:v>Not Mailed</x:v>
      </x:c>
      <x:c r="C327" s="55"/>
      <x:c r="D327" t="str">
        <x:v>No Response</x:v>
      </x:c>
      <x:c r="E327" t="str"/>
      <x:c r="F327" t="n">
        <x:v>6</x:v>
      </x:c>
      <x:c r="G327" t="str">
        <x:v>PROPERTY OWNER</x:v>
      </x:c>
      <x:c r="H327" t="str"/>
      <x:c r="I327" t="n">
        <x:v>0</x:v>
      </x:c>
      <x:c r="J327" t="str">
        <x:v>691 COLUMBIA  STREET, BROOKLYN, NY, 11231, US</x:v>
      </x:c>
      <x:c r="K327" t="str">
        <x:v>ACRIS deed-party address</x:v>
      </x:c>
      <x:c r="L327" t="n">
        <x:v>6</x:v>
      </x:c>
      <x:c r="M327" t="n">
        <x:v>11</x:v>
      </x:c>
      <x:c r="N327" t="str">
        <x:v>B 72ND ST 16070 24 LLC | PROSPECT PARK STABLE LLC | VBX 4 16069 12 LLC | VBX 4 16069 30 LLC | VBX 4 16070 19 LLC | VERNAM BASIN TERMINAL LLC</x:v>
      </x:c>
      <x:c r="O327" t="str">
        <x:v>415 BEACH 72 STREET, NY 11692 | 55 CATON PLACE, NY 11218 | 72-02 AMSTEL BOULEVARD, NY 11692 | 72-07 GOUVERNEUR AVENUE, NY 11692 | 72-14 AMSTEL BOULEVARD, NY 11692 | 72-18 GOUVERNEUR AVENUE, NY 11692 | 73-02 AMSTEL BOULEVARD, NY 11692 | AMSTEL BOULEVARD | GOUVERNEUR AVE, NY 11692 | HESSLER AVENUE, NY 11692</x:v>
      </x:c>
      <x:c r="P327" t="n">
        <x:v>5</x:v>
      </x:c>
      <x:c r="Q327" s="15" t="n">
        <x:v>0.8333333333333334</x:v>
      </x:c>
      <x:c r="R327" t="n">
        <x:v>0</x:v>
      </x:c>
      <x:c r="S327" t="str">
        <x:v>Shared DOS address</x:v>
      </x:c>
      <x:c r="T327" t="str">
        <x:v>No</x:v>
      </x:c>
      <x:c r="U327" t="n">
        <x:v>100</x:v>
      </x:c>
      <x:c r="V327" t="str">
        <x:v>https://data.ny.gov/Economic-Development/Active-Corporations-Beginning-1800/n9v6-gdp6</x:v>
      </x:c>
    </x:row>
    <x:row r="328">
      <x:c r="A328" t="str">
        <x:v>DOS-6-027</x:v>
      </x:c>
      <x:c r="B328" t="str">
        <x:v>Not Mailed</x:v>
      </x:c>
      <x:c r="C328" s="55"/>
      <x:c r="D328" t="str">
        <x:v>No Response</x:v>
      </x:c>
      <x:c r="E328" t="str"/>
      <x:c r="F328" t="n">
        <x:v>6</x:v>
      </x:c>
      <x:c r="G328" t="str">
        <x:v>PROPERTY OWNER</x:v>
      </x:c>
      <x:c r="H328" t="str"/>
      <x:c r="I328" t="n">
        <x:v>0</x:v>
      </x:c>
      <x:c r="J328" t="str">
        <x:v>902 broadway, 13th floor, NEW YORK, NY, 10010</x:v>
      </x:c>
      <x:c r="K328" t="str">
        <x:v>DOS address corroborated by ACRIS</x:v>
      </x:c>
      <x:c r="L328" t="n">
        <x:v>6</x:v>
      </x:c>
      <x:c r="M328" t="n">
        <x:v>11</x:v>
      </x:c>
      <x:c r="N328" t="str">
        <x:v>860 COURTLANDT AVENUE ASSOCIATES LLC | DINSMORE ASSOCIATES LLC | EAST 182 STREET ASSOCIATES LLC | HORNADAY PLACE LLC | LEGUME CG LLC | SUNNYSIDE GARDEN APARTMENTS LLC</x:v>
      </x:c>
      <x:c r="O328" t="str">
        <x:v>111 DINSMORE PLACE, NY 11208 | 19 4 PLACE, NY 11231 | 239-241 RICHMOND STREET, NY 11208 | 248 CHESTNUT STREET, NY 11208 | 50-01 39 AVENUE, NY 11104 | 800-814 EAST 182 STREET, NY 10460 | 820 EAST 182 STREET, NY 10460 | 85 DINSMORE PLACE, NY 11208 | 858 HORNADAY PLACE, NY 10460 | 860-866 COURTLANDT AVENUE, NY 10451 | 99 DINSMORE PLACE, NY 11208</x:v>
      </x:c>
      <x:c r="P328" t="n">
        <x:v>6</x:v>
      </x:c>
      <x:c r="Q328" s="15" t="n">
        <x:v>1</x:v>
      </x:c>
      <x:c r="R328" t="n">
        <x:v>4</x:v>
      </x:c>
      <x:c r="S328" t="str">
        <x:v>Strong DOS address corroboration</x:v>
      </x:c>
      <x:c r="T328" t="str">
        <x:v>No</x:v>
      </x:c>
      <x:c r="U328" t="n">
        <x:v>100</x:v>
      </x:c>
      <x:c r="V328" t="str">
        <x:v>https://data.ny.gov/Economic-Development/Active-Corporations-Beginning-1800/n9v6-gdp6</x:v>
      </x:c>
    </x:row>
    <x:row r="329">
      <x:c r="A329" t="str">
        <x:v>DOS-6-028</x:v>
      </x:c>
      <x:c r="B329" t="str">
        <x:v>Not Mailed</x:v>
      </x:c>
      <x:c r="C329" s="55"/>
      <x:c r="D329" t="str">
        <x:v>No Response</x:v>
      </x:c>
      <x:c r="E329" t="str"/>
      <x:c r="F329" t="n">
        <x:v>6</x:v>
      </x:c>
      <x:c r="G329" t="str">
        <x:v>MAVERICK MANAGEMENT</x:v>
      </x:c>
      <x:c r="H329" t="str">
        <x:v>MAVERICK MANAGEMENT</x:v>
      </x:c>
      <x:c r="I329" t="n">
        <x:v>2</x:v>
      </x:c>
      <x:c r="J329" t="str">
        <x:v>1000 PENNSYLVANIA AVENUE, Brooklyn, NY, 11207</x:v>
      </x:c>
      <x:c r="K329" t="str">
        <x:v>DOS address corroborated by ACRIS</x:v>
      </x:c>
      <x:c r="L329" t="n">
        <x:v>6</x:v>
      </x:c>
      <x:c r="M329" t="n">
        <x:v>10</x:v>
      </x:c>
      <x:c r="N329" t="str">
        <x:v>135 WEST BROADWAY LLC | 311 BROADWAY LLC | PENNSYLVANIA ASSOCIATES LLC | THIRD AVENUE EMERALD LLC | TROPICAL EMERALD LLC | VP NORTH NJ EMERALD LLC</x:v>
      </x:c>
      <x:c r="O329" t="str">
        <x:v>135 WEST BROADWAY, NY 10013 | 1551 PITKIN AVENUE, NY 11212 | 1553 PITKIN AVENUE, NY 11212 | 1557 PITKIN AVENUE, NY 11212 | 1559 PITKIN AVENUE, NY 11212 | 2962-2968 3 AVENUE, NY 10455 | 311 BROADWAY, NY 10007 | 3312-3314 FULTON STREET, NY 11208 | 493-495 FULTON STREET, NY 11201 | STANLEY AVENUE, NY 11207</x:v>
      </x:c>
      <x:c r="P329" t="n">
        <x:v>6</x:v>
      </x:c>
      <x:c r="Q329" s="15" t="n">
        <x:v>1</x:v>
      </x:c>
      <x:c r="R329" t="n">
        <x:v>6</x:v>
      </x:c>
      <x:c r="S329" t="str">
        <x:v>Strong DOS address corroboration</x:v>
      </x:c>
      <x:c r="T329" t="str">
        <x:v>No</x:v>
      </x:c>
      <x:c r="U329" t="n">
        <x:v>100</x:v>
      </x:c>
      <x:c r="V329" t="str">
        <x:v>https://data.ny.gov/Economic-Development/Active-Corporations-Beginning-1800/n9v6-gdp6</x:v>
      </x:c>
    </x:row>
    <x:row r="330">
      <x:c r="A330" t="str">
        <x:v>DOS-6-029</x:v>
      </x:c>
      <x:c r="B330" t="str">
        <x:v>Not Mailed</x:v>
      </x:c>
      <x:c r="C330" s="55"/>
      <x:c r="D330" t="str">
        <x:v>No Response</x:v>
      </x:c>
      <x:c r="E330" t="str"/>
      <x:c r="F330" t="n">
        <x:v>6</x:v>
      </x:c>
      <x:c r="G330" t="str">
        <x:v>PROPERTY OWNER</x:v>
      </x:c>
      <x:c r="H330" t="str">
        <x:v>LAKHWINDER MULTANI</x:v>
      </x:c>
      <x:c r="I330" t="n">
        <x:v>1</x:v>
      </x:c>
      <x:c r="J330" t="str">
        <x:v>138-18 101 AVENUE, JAMAICA, NY, 11435</x:v>
      </x:c>
      <x:c r="K330" t="str">
        <x:v>DOS address corroborated by ACRIS</x:v>
      </x:c>
      <x:c r="L330" t="n">
        <x:v>6</x:v>
      </x:c>
      <x:c r="M330" t="n">
        <x:v>10</x:v>
      </x:c>
      <x:c r="N330" t="str">
        <x:v>104 74 128 ST LLC | 130 11 LLC | 138 18 LLC | 145 02 LIBERTY LLC | 97 15 LLC | J AND K PRINCETON STREET LLC</x:v>
      </x:c>
      <x:c r="O330" t="str">
        <x:v>104-74 128 STREET, NY 11419 | 104-88 128 STREET, NY 11419 | 107-38 PRINCETON STREET, NY 11435 | 130-11 133 AVENUE, NY 11420 | 138-16 101 AVENUE, NY 11435 | 138-24 101 AVENUE, NY 11435 | 138-26 101 AVENUE, NY 11435 | 145-02 LIBERTY AVENUE, NY 11435 | 97-15 LIVERPOOL STREET, NY 11435 | 97-19 LIVERPOOL STREET, NY 11435</x:v>
      </x:c>
      <x:c r="P330" t="n">
        <x:v>6</x:v>
      </x:c>
      <x:c r="Q330" s="15" t="n">
        <x:v>1</x:v>
      </x:c>
      <x:c r="R330" t="n">
        <x:v>4</x:v>
      </x:c>
      <x:c r="S330" t="str">
        <x:v>Strong DOS address corroboration</x:v>
      </x:c>
      <x:c r="T330" t="str">
        <x:v>No</x:v>
      </x:c>
      <x:c r="U330" t="n">
        <x:v>100</x:v>
      </x:c>
      <x:c r="V330" t="str">
        <x:v>https://data.ny.gov/Economic-Development/Active-Corporations-Beginning-1800/n9v6-gdp6</x:v>
      </x:c>
    </x:row>
    <x:row r="331">
      <x:c r="A331" t="str">
        <x:v>DOS-6-030</x:v>
      </x:c>
      <x:c r="B331" t="str">
        <x:v>Not Mailed</x:v>
      </x:c>
      <x:c r="C331" s="55"/>
      <x:c r="D331" t="str">
        <x:v>No Response</x:v>
      </x:c>
      <x:c r="E331" t="str"/>
      <x:c r="F331" t="n">
        <x:v>6</x:v>
      </x:c>
      <x:c r="G331" t="str">
        <x:v>PROPERTY OWNER</x:v>
      </x:c>
      <x:c r="H331" t="str"/>
      <x:c r="I331" t="n">
        <x:v>0</x:v>
      </x:c>
      <x:c r="J331" t="str">
        <x:v>149-58 CROSS ISLAND PKWY, WHITESTONE, NY, 11357</x:v>
      </x:c>
      <x:c r="K331" t="str">
        <x:v>DOS address corroborated by ACRIS</x:v>
      </x:c>
      <x:c r="L331" t="n">
        <x:v>6</x:v>
      </x:c>
      <x:c r="M331" t="n">
        <x:v>10</x:v>
      </x:c>
      <x:c r="N331" t="str">
        <x:v>20 02 UTOPIA PKWY LLC | 27 EQUITIES LLC | 40 4749 67TH STREET LLC | ASTOR 3415 LLC | KRESCENT EQUITIES LLC | LILI EQUITIES LLC</x:v>
      </x:c>
      <x:c r="O331" t="str">
        <x:v>119-58 27 AVENUE, NY 11354 | 119-59 27 AVENUE, NY 11354 | 149-42 CROSS ISLAND PARKWAY, NY 11357 | 168-09 CROCHERON AVENUE, NY 11358 | 168-17 CROCHERON AVENUE, NY 11358 | 28-14 CRESCENT STREET, NY 11102 | 34-15 37 AVENUE, NY 11101 | 35-69 168 STREET, NY 11358 | 40-47 67 STREET, NY 11377 | 40-49 67 STREET, NY 11377</x:v>
      </x:c>
      <x:c r="P331" t="n">
        <x:v>6</x:v>
      </x:c>
      <x:c r="Q331" s="15" t="n">
        <x:v>1</x:v>
      </x:c>
      <x:c r="R331" t="n">
        <x:v>2</x:v>
      </x:c>
      <x:c r="S331" t="str">
        <x:v>Strong DOS address corroboration</x:v>
      </x:c>
      <x:c r="T331" t="str">
        <x:v>No</x:v>
      </x:c>
      <x:c r="U331" t="n">
        <x:v>100</x:v>
      </x:c>
      <x:c r="V331" t="str">
        <x:v>https://data.ny.gov/Economic-Development/Active-Corporations-Beginning-1800/n9v6-gdp6</x:v>
      </x:c>
    </x:row>
    <x:row r="332">
      <x:c r="A332" t="str">
        <x:v>DOS-6-031</x:v>
      </x:c>
      <x:c r="B332" t="str">
        <x:v>Not Mailed</x:v>
      </x:c>
      <x:c r="C332" s="55"/>
      <x:c r="D332" t="str">
        <x:v>No Response</x:v>
      </x:c>
      <x:c r="E332" t="str"/>
      <x:c r="F332" t="n">
        <x:v>6</x:v>
      </x:c>
      <x:c r="G332" t="str">
        <x:v>PROPERTY OWNER</x:v>
      </x:c>
      <x:c r="H332" t="str"/>
      <x:c r="I332" t="n">
        <x:v>0</x:v>
      </x:c>
      <x:c r="J332" t="str">
        <x:v>230 CUBA HILL ROAD, HUNTINGTON, NY, 11743</x:v>
      </x:c>
      <x:c r="K332" t="str">
        <x:v>DOS address corroborated by ACRIS</x:v>
      </x:c>
      <x:c r="L332" t="n">
        <x:v>6</x:v>
      </x:c>
      <x:c r="M332" t="n">
        <x:v>10</x:v>
      </x:c>
      <x:c r="N332" t="str">
        <x:v>1223 EAST 72ND STREET LLC | 1225 EAST 72ND STREET LLC | 2842 BRIGHAM LLC | 2842 BRIGHAM STREET LLC | AVENUE T 7520 LLC | BRAGG E 72ND STREET LLC</x:v>
      </x:c>
      <x:c r="O332" t="str">
        <x:v>1159 EAST 72 STREET, NY 11234 | 1223 EAST 72 STREET, NY 11234 | 1225 EAST 72 STREET, NY 11234 | 2070 EAST 68 STREET, NY 11234 | 2637 BATCHELDER STREET, NY 11235 | 2832 BRAGG STREET, NY 11235 | 2842 BRIGHAM STREET, NY 11235 | 6623 AVENUE M, NY 11234 | 7227 ROYCE PLACE, NY 11234 | 7520 AVENUE T, NY 11234</x:v>
      </x:c>
      <x:c r="P332" t="n">
        <x:v>5</x:v>
      </x:c>
      <x:c r="Q332" s="15" t="n">
        <x:v>0.8333333333333334</x:v>
      </x:c>
      <x:c r="R332" t="n">
        <x:v>5</x:v>
      </x:c>
      <x:c r="S332" t="str">
        <x:v>Strong DOS address corroboration</x:v>
      </x:c>
      <x:c r="T332" t="str">
        <x:v>No</x:v>
      </x:c>
      <x:c r="U332" t="n">
        <x:v>100</x:v>
      </x:c>
      <x:c r="V332" t="str">
        <x:v>https://data.ny.gov/Economic-Development/Active-Corporations-Beginning-1800/n9v6-gdp6</x:v>
      </x:c>
    </x:row>
    <x:row r="333">
      <x:c r="A333" t="str">
        <x:v>DOS-6-032</x:v>
      </x:c>
      <x:c r="B333" t="str">
        <x:v>Not Mailed</x:v>
      </x:c>
      <x:c r="C333" s="55"/>
      <x:c r="D333" t="str">
        <x:v>No Response</x:v>
      </x:c>
      <x:c r="E333" t="str"/>
      <x:c r="F333" t="n">
        <x:v>6</x:v>
      </x:c>
      <x:c r="G333" t="str">
        <x:v>PROPERTY OWNER</x:v>
      </x:c>
      <x:c r="H333" t="str"/>
      <x:c r="I333" t="n">
        <x:v>0</x:v>
      </x:c>
      <x:c r="J333" t="str">
        <x:v>2324 AVENUE R, BROOKLYN, NY, 11229</x:v>
      </x:c>
      <x:c r="K333" t="str">
        <x:v>DOS address corroborated by ACRIS</x:v>
      </x:c>
      <x:c r="L333" t="n">
        <x:v>6</x:v>
      </x:c>
      <x:c r="M333" t="n">
        <x:v>10</x:v>
      </x:c>
      <x:c r="N333" t="str">
        <x:v>1424 AVE J LLC | HAT 18 LLC | O AND W 5 LLC | PAL 18 LLC | PAM 18 LLC | PAN 18 LLC</x:v>
      </x:c>
      <x:c r="O333" t="str">
        <x:v>1424 AVENUE J, NY 11230 | 151 AVENUE O, NY 11204 | 1702 AVENUE M, NY 11230 | 1843 CONEY ISLAND AVENUE, NY 11230 | 201 AVENUE T, NY 11223 | 203 AVENUE T, NY 11223 | 2083 EAST 18 STREET APT 17, NY 11229 | 2096 CONEY ISLAND AVENUE, NY 11223 | 2951 NOSTRAND AVENUE, NY 11229 | 2953 NOSTRAND AVENUE, NY 11229</x:v>
      </x:c>
      <x:c r="P333" t="n">
        <x:v>6</x:v>
      </x:c>
      <x:c r="Q333" s="15" t="n">
        <x:v>1</x:v>
      </x:c>
      <x:c r="R333" t="n">
        <x:v>6</x:v>
      </x:c>
      <x:c r="S333" t="str">
        <x:v>Strong DOS address corroboration</x:v>
      </x:c>
      <x:c r="T333" t="str">
        <x:v>No</x:v>
      </x:c>
      <x:c r="U333" t="n">
        <x:v>100</x:v>
      </x:c>
      <x:c r="V333" t="str">
        <x:v>https://data.ny.gov/Economic-Development/Active-Corporations-Beginning-1800/n9v6-gdp6</x:v>
      </x:c>
    </x:row>
    <x:row r="334">
      <x:c r="A334" t="str">
        <x:v>DOS-6-033</x:v>
      </x:c>
      <x:c r="B334" t="str">
        <x:v>Not Mailed</x:v>
      </x:c>
      <x:c r="C334" s="55"/>
      <x:c r="D334" t="str">
        <x:v>No Response</x:v>
      </x:c>
      <x:c r="E334" t="str"/>
      <x:c r="F334" t="n">
        <x:v>6</x:v>
      </x:c>
      <x:c r="G334" t="str">
        <x:v>PROPERTY OWNER</x:v>
      </x:c>
      <x:c r="H334" t="str"/>
      <x:c r="I334" t="n">
        <x:v>0</x:v>
      </x:c>
      <x:c r="J334" t="str">
        <x:v>40-06  WARREN STREET, ELMHURST, NY, 11373, US</x:v>
      </x:c>
      <x:c r="K334" t="str">
        <x:v>ACRIS deed-party address</x:v>
      </x:c>
      <x:c r="L334" t="n">
        <x:v>6</x:v>
      </x:c>
      <x:c r="M334" t="n">
        <x:v>10</x:v>
      </x:c>
      <x:c r="N334" t="str">
        <x:v>FRANCIACORTA PROPERTIES LLC | PORTIA PROPERTIES II LLC | PORTIA PROPERTIES III LLC | PORTIA PROPERTIES LLC | VINTAGE 82 LLC | VINTAGE FARMERS LLC</x:v>
      </x:c>
      <x:c r="O334" t="str">
        <x:v>102-01 185 STREET, NY 11423 | 102-01-102-21 186 STREET, NY 11423 | 102-02 185 STREET, NY 11423 | 102-02 186TH STREET, NY 11423 | 1069-1085 SOUTHERN BOULEVARD, NY 10459 | 129-32 MERRICK BOULEVARD, NY 11434 | 40-11-40-13 82 STREET, NY 11373 | 40-13 82 STREET, NY 11373 | 602 EAST 187 STREET, NY 10458 | 930 EAST 174 STREET, NY 10460</x:v>
      </x:c>
      <x:c r="P334" t="n">
        <x:v>6</x:v>
      </x:c>
      <x:c r="Q334" s="15" t="n">
        <x:v>1</x:v>
      </x:c>
      <x:c r="R334" t="n">
        <x:v>0</x:v>
      </x:c>
      <x:c r="S334" t="str">
        <x:v>Shared DOS address</x:v>
      </x:c>
      <x:c r="T334" t="str">
        <x:v>No</x:v>
      </x:c>
      <x:c r="U334" t="n">
        <x:v>100</x:v>
      </x:c>
      <x:c r="V334" t="str">
        <x:v>https://data.ny.gov/Economic-Development/Active-Corporations-Beginning-1800/n9v6-gdp6</x:v>
      </x:c>
    </x:row>
    <x:row r="335">
      <x:c r="A335" t="str">
        <x:v>DOS-6-034</x:v>
      </x:c>
      <x:c r="B335" t="str">
        <x:v>Not Mailed</x:v>
      </x:c>
      <x:c r="C335" s="55"/>
      <x:c r="D335" t="str">
        <x:v>No Response</x:v>
      </x:c>
      <x:c r="E335" t="str"/>
      <x:c r="F335" t="n">
        <x:v>6</x:v>
      </x:c>
      <x:c r="G335" t="str">
        <x:v>PROPERTY OWNER</x:v>
      </x:c>
      <x:c r="H335" t="str">
        <x:v>SAM FARKAS</x:v>
      </x:c>
      <x:c r="I335" t="n">
        <x:v>1</x:v>
      </x:c>
      <x:c r="J335" t="str">
        <x:v>5414  NEW UTRECHT AVE, BKLYN, NY, US</x:v>
      </x:c>
      <x:c r="K335" t="str">
        <x:v>ACRIS deed-party address</x:v>
      </x:c>
      <x:c r="L335" t="n">
        <x:v>6</x:v>
      </x:c>
      <x:c r="M335" t="n">
        <x:v>10</x:v>
      </x:c>
      <x:c r="N335" t="str">
        <x:v>163 REALTY LLC | 1705 AND 1715 CATON ASSOCIATES LLC | LENBED REALTIES LLC | PARKBUSH REALTIES LLC | PEREZ REALTIES LLC | SAF ASSOCIATES LLC</x:v>
      </x:c>
      <x:c r="O335" t="str">
        <x:v>1281 EASTERN PARKWAY, NY 11213 | 163-169 EASTERN PARKWAY APT 37, NY 11238 | 1705 CATON AVENUE APT 56, NY 11226 | 171 EASTERN PARKWAY APT 23, NY 11238 | 1715 CATON AVENUE, NY 11226 | 260 PARKSIDE AVENUE APT 36, NY 11226 | 270 PARKSIDE AVENUE APT 36, NY 11226 | 280 PARKSIDE AVENUE APT 36, NY 11226 | 388 19 STREET, NY 11215 | 50 LENOX ROAD APT 54, NY 11226</x:v>
      </x:c>
      <x:c r="P335" t="n">
        <x:v>6</x:v>
      </x:c>
      <x:c r="Q335" s="15" t="n">
        <x:v>1</x:v>
      </x:c>
      <x:c r="R335" t="n">
        <x:v>0</x:v>
      </x:c>
      <x:c r="S335" t="str">
        <x:v>Shared DOS address</x:v>
      </x:c>
      <x:c r="T335" t="str">
        <x:v>No</x:v>
      </x:c>
      <x:c r="U335" t="n">
        <x:v>100</x:v>
      </x:c>
      <x:c r="V335" t="str">
        <x:v>https://data.ny.gov/Economic-Development/Active-Corporations-Beginning-1800/n9v6-gdp6</x:v>
      </x:c>
    </x:row>
    <x:row r="336">
      <x:c r="A336" t="str">
        <x:v>DOS-6-035</x:v>
      </x:c>
      <x:c r="B336" t="str">
        <x:v>Not Mailed</x:v>
      </x:c>
      <x:c r="C336" s="55"/>
      <x:c r="D336" t="str">
        <x:v>No Response</x:v>
      </x:c>
      <x:c r="E336" t="str"/>
      <x:c r="F336" t="n">
        <x:v>6</x:v>
      </x:c>
      <x:c r="G336" t="str">
        <x:v>C/O GOLDFARB &amp; FLEECE LLP</x:v>
      </x:c>
      <x:c r="H336" t="str">
        <x:v>C/O GOLDFARB &amp; FLEECE LLP</x:v>
      </x:c>
      <x:c r="I336" t="n">
        <x:v>2</x:v>
      </x:c>
      <x:c r="J336" t="str">
        <x:v>579 FIFTH AVENUE, 4TH FLOOR, NEW YORK, NY, 10017, US</x:v>
      </x:c>
      <x:c r="K336" t="str">
        <x:v>ACRIS deed-party address</x:v>
      </x:c>
      <x:c r="L336" t="n">
        <x:v>6</x:v>
      </x:c>
      <x:c r="M336" t="n">
        <x:v>10</x:v>
      </x:c>
      <x:c r="N336" t="str">
        <x:v>123 HOPE STREET LLC | 124 SEVENTH AVE LLC | 186 188 FIRST AVE LLC | 202 NINTH AVE LLC | 345 E 64TH ST LLC | 592 598 NINTH AVE LLC</x:v>
      </x:c>
      <x:c r="O336" t="str">
        <x:v>1185-1187 1 AVENUE, NY 10065 | 123 HOPE STREET, NY 11211 | 124 7 AVENUE, NY 10011 | 186 1 AVENUE, NY 10009 | 188 1 AVENUE, NY 10009 | 202 9 AVENUE, NY 10011 | 592 9 AVENUE, NY 10036 | 594 9 AVENUE, NY 10036 | 596 9 AVENUE, NY 10036 | 598 9 AVENUE, NY 10036</x:v>
      </x:c>
      <x:c r="P336" t="n">
        <x:v>6</x:v>
      </x:c>
      <x:c r="Q336" s="15" t="n">
        <x:v>1</x:v>
      </x:c>
      <x:c r="R336" t="n">
        <x:v>0</x:v>
      </x:c>
      <x:c r="S336" t="str">
        <x:v>Shared DOS address</x:v>
      </x:c>
      <x:c r="T336" t="str">
        <x:v>No</x:v>
      </x:c>
      <x:c r="U336" t="n">
        <x:v>100</x:v>
      </x:c>
      <x:c r="V336" t="str">
        <x:v>https://data.ny.gov/Economic-Development/Active-Corporations-Beginning-1800/n9v6-gdp6</x:v>
      </x:c>
    </x:row>
    <x:row r="337">
      <x:c r="A337" t="str">
        <x:v>DOS-6-036</x:v>
      </x:c>
      <x:c r="B337" t="str">
        <x:v>Not Mailed</x:v>
      </x:c>
      <x:c r="C337" s="55"/>
      <x:c r="D337" t="str">
        <x:v>No Response</x:v>
      </x:c>
      <x:c r="E337" t="str"/>
      <x:c r="F337" t="n">
        <x:v>6</x:v>
      </x:c>
      <x:c r="G337" t="str">
        <x:v>PROPERTY OWNER</x:v>
      </x:c>
      <x:c r="H337" t="str"/>
      <x:c r="I337" t="n">
        <x:v>0</x:v>
      </x:c>
      <x:c r="J337" t="str">
        <x:v>75-20 VLEIGH PLACE, FLUSHING, NY, 11367</x:v>
      </x:c>
      <x:c r="K337" t="str">
        <x:v>DOS address corroborated by ACRIS</x:v>
      </x:c>
      <x:c r="L337" t="n">
        <x:v>6</x:v>
      </x:c>
      <x:c r="M337" t="n">
        <x:v>10</x:v>
      </x:c>
      <x:c r="N337" t="str">
        <x:v>DG 158 ROGERS LLC | DG 401 CHAUNCY LLC | HADAS ASSOCIATES LLC | KCR LLC | ROSENTHAL DEVELOPERS LLC | WATJEAN LLC</x:v>
      </x:c>
      <x:c r="O337" t="str">
        <x:v>117-03 HILLSIDE AVENUE, NY 11418 | 117-11 JAMAICA AVENUE, NY 11418 | 117-19-117-25 JAMAICA AVENUE, NY 11418 | 1265 EAST 54 STREET, NY 11234 | 158 ROGERS AVENUE, NY 11216 | 2-76 WATJEAN COURT, NY 11691 | 2-80 WATJEAN COURT, NY 11691 | 2-84 WATJEAN COURT, NY 11691 | 2-86 WATJEAN COURT, NY 11691 | 401 CHAUNCEY STREET APT 6, NY 11233</x:v>
      </x:c>
      <x:c r="P337" t="n">
        <x:v>5</x:v>
      </x:c>
      <x:c r="Q337" s="15" t="n">
        <x:v>0.8333333333333334</x:v>
      </x:c>
      <x:c r="R337" t="n">
        <x:v>4</x:v>
      </x:c>
      <x:c r="S337" t="str">
        <x:v>Strong DOS address corroboration</x:v>
      </x:c>
      <x:c r="T337" t="str">
        <x:v>No</x:v>
      </x:c>
      <x:c r="U337" t="n">
        <x:v>100</x:v>
      </x:c>
      <x:c r="V337" t="str">
        <x:v>https://data.ny.gov/Economic-Development/Active-Corporations-Beginning-1800/n9v6-gdp6</x:v>
      </x:c>
    </x:row>
    <x:row r="338">
      <x:c r="A338" t="str">
        <x:v>DOS-6-037</x:v>
      </x:c>
      <x:c r="B338" t="str">
        <x:v>Not Mailed</x:v>
      </x:c>
      <x:c r="C338" s="55"/>
      <x:c r="D338" t="str">
        <x:v>No Response</x:v>
      </x:c>
      <x:c r="E338" t="str"/>
      <x:c r="F338" t="n">
        <x:v>6</x:v>
      </x:c>
      <x:c r="G338" t="str">
        <x:v>PROPERTY OWNER</x:v>
      </x:c>
      <x:c r="H338" t="str"/>
      <x:c r="I338" t="n">
        <x:v>0</x:v>
      </x:c>
      <x:c r="J338" t="str">
        <x:v>87-71 LEFFERTS BOULEVARD, RICHMOND HILL, NY, 11418</x:v>
      </x:c>
      <x:c r="K338" t="str">
        <x:v>DOS address corroborated by ACRIS</x:v>
      </x:c>
      <x:c r="L338" t="n">
        <x:v>6</x:v>
      </x:c>
      <x:c r="M338" t="n">
        <x:v>10</x:v>
      </x:c>
      <x:c r="N338" t="str">
        <x:v>80 16 LIBERTY AVENUE LLC | 87 71 LEFFERTS BOULEVARD LLC | 87 80 120TH STREET LLC | 87 82 120TH STREET LLC | 87 84 120TH STREET LLC | 87 87 LEFFERTS BLVD LLC</x:v>
      </x:c>
      <x:c r="O338" t="str">
        <x:v>120 STREET | 80-16 LIBERTY AVENUE, NY 11417 | 87-71 LEFFERTS BOULEVARD, NY 11418 | 87-80 120 STREET, NY 11418 | 87-82 120 STREET, NY 11418 | 87-84 120 STREET, NY 11418 | 87-87 LEFFERTS BOULEVARD, NY 11418 | LEFFERTS BOULEVARD, NY 11418</x:v>
      </x:c>
      <x:c r="P338" t="n">
        <x:v>6</x:v>
      </x:c>
      <x:c r="Q338" s="15" t="n">
        <x:v>1</x:v>
      </x:c>
      <x:c r="R338" t="n">
        <x:v>6</x:v>
      </x:c>
      <x:c r="S338" t="str">
        <x:v>Strong DOS address corroboration</x:v>
      </x:c>
      <x:c r="T338" t="str">
        <x:v>No</x:v>
      </x:c>
      <x:c r="U338" t="n">
        <x:v>100</x:v>
      </x:c>
      <x:c r="V338" t="str">
        <x:v>https://data.ny.gov/Economic-Development/Active-Corporations-Beginning-1800/n9v6-gdp6</x:v>
      </x:c>
    </x:row>
    <x:row r="339">
      <x:c r="A339" t="str">
        <x:v>DOS-6-038</x:v>
      </x:c>
      <x:c r="B339" t="str">
        <x:v>Not Mailed</x:v>
      </x:c>
      <x:c r="C339" s="55"/>
      <x:c r="D339" t="str">
        <x:v>No Response</x:v>
      </x:c>
      <x:c r="E339" t="str"/>
      <x:c r="F339" t="n">
        <x:v>6</x:v>
      </x:c>
      <x:c r="G339" t="str">
        <x:v>PROPERTY OWNER</x:v>
      </x:c>
      <x:c r="H339" t="str"/>
      <x:c r="I339" t="n">
        <x:v>0</x:v>
      </x:c>
      <x:c r="J339" t="str">
        <x:v>8910 145 STREET, JAMAICA, NY, 11435</x:v>
      </x:c>
      <x:c r="K339" t="str">
        <x:v>DOS address corroborated by ACRIS</x:v>
      </x:c>
      <x:c r="L339" t="n">
        <x:v>6</x:v>
      </x:c>
      <x:c r="M339" t="n">
        <x:v>10</x:v>
      </x:c>
      <x:c r="N339" t="str">
        <x:v>115 HOLDINGS LLC | 906 HOLDINGS LLC | JAMAICA 98 LLC | LIBERTY 176 LLC | MIJAG HOLDINGS LLC | WPR 230 LLC</x:v>
      </x:c>
      <x:c r="O339" t="str">
        <x:v>115-45 MERRICK BOULEVARD, NY 11434 | 115-49 MERRICK BOULEVARD, NY 11434 | 176-46 LIBERTY AVENUE, NY 11433 | 176-48 LIBERTY AVENUE, NY 11433 | 4125 WHITE PLAINS ROAD, NY 10466 | 4127 WHITE PLAINS ROAD, NY 10466 | 85-34 75 STREET, NY 11421 | 86-06 101 STREET, NY 11418 | 906 EAST 180 STREET, NY 10460 | 98-27-98-31 101 STREET, NY 11416</x:v>
      </x:c>
      <x:c r="P339" t="n">
        <x:v>6</x:v>
      </x:c>
      <x:c r="Q339" s="15" t="n">
        <x:v>1</x:v>
      </x:c>
      <x:c r="R339" t="n">
        <x:v>1</x:v>
      </x:c>
      <x:c r="S339" t="str">
        <x:v>Shared DOS address</x:v>
      </x:c>
      <x:c r="T339" t="str">
        <x:v>No</x:v>
      </x:c>
      <x:c r="U339" t="n">
        <x:v>100</x:v>
      </x:c>
      <x:c r="V339" t="str">
        <x:v>https://data.ny.gov/Economic-Development/Active-Corporations-Beginning-1800/n9v6-gdp6</x:v>
      </x:c>
    </x:row>
    <x:row r="340">
      <x:c r="A340" t="str">
        <x:v>DOS-6-039</x:v>
      </x:c>
      <x:c r="B340" t="str">
        <x:v>Not Mailed</x:v>
      </x:c>
      <x:c r="C340" s="55"/>
      <x:c r="D340" t="str">
        <x:v>No Response</x:v>
      </x:c>
      <x:c r="E340" t="str"/>
      <x:c r="F340" t="n">
        <x:v>6</x:v>
      </x:c>
      <x:c r="G340" t="str">
        <x:v>PROPERTY OWNER</x:v>
      </x:c>
      <x:c r="H340" t="str"/>
      <x:c r="I340" t="n">
        <x:v>0</x:v>
      </x:c>
      <x:c r="J340" t="str">
        <x:v>1015 SURF AVE, BROOKLYN, NY, 11224</x:v>
      </x:c>
      <x:c r="K340" t="str">
        <x:v>DOS address corroborated by ACRIS</x:v>
      </x:c>
      <x:c r="L340" t="n">
        <x:v>6</x:v>
      </x:c>
      <x:c r="M340" t="n">
        <x:v>9</x:v>
      </x:c>
      <x:c r="N340" t="str">
        <x:v>AVENUE D REALTY LLC | BAWABEH GOOD WILL LLC | KAJ BUILDINGS LLC | KASTEX REALTY LLC | KATEX REALTY LLC | LANDLOT PROPERTY LLC</x:v>
      </x:c>
      <x:c r="O340" t="str">
        <x:v>1154 FLATBUSH AVENUE, NY 11226 | 1826 NOSTRAND AVENUE APT 5, NY 11226 | 2086 CONEY ISLAND AVENUE, NY 11223 | 2225 OCEAN PARKWAY, NY 11223 | 2310 AVENUE D, NY 11226 | 2366 EAST 5 STREET, NY 11223 | 837 SURF AVENUE, NY 11224 | 872 FLATBUSH AVENUE, NY 11226 | 944 FLATBUSH AVENUE, NY 11226</x:v>
      </x:c>
      <x:c r="P340" t="n">
        <x:v>5</x:v>
      </x:c>
      <x:c r="Q340" s="15" t="n">
        <x:v>0.8333333333333334</x:v>
      </x:c>
      <x:c r="R340" t="n">
        <x:v>3</x:v>
      </x:c>
      <x:c r="S340" t="str">
        <x:v>Strong DOS address corroboration</x:v>
      </x:c>
      <x:c r="T340" t="str">
        <x:v>No</x:v>
      </x:c>
      <x:c r="U340" t="n">
        <x:v>100</x:v>
      </x:c>
      <x:c r="V340" t="str">
        <x:v>https://data.ny.gov/Economic-Development/Active-Corporations-Beginning-1800/n9v6-gdp6</x:v>
      </x:c>
    </x:row>
    <x:row r="341">
      <x:c r="A341" t="str">
        <x:v>DOS-6-040</x:v>
      </x:c>
      <x:c r="B341" t="str">
        <x:v>Not Mailed</x:v>
      </x:c>
      <x:c r="C341" s="55"/>
      <x:c r="D341" t="str">
        <x:v>No Response</x:v>
      </x:c>
      <x:c r="E341" t="str"/>
      <x:c r="F341" t="n">
        <x:v>6</x:v>
      </x:c>
      <x:c r="G341" t="str">
        <x:v>MARTIN KIRZNER</x:v>
      </x:c>
      <x:c r="H341" t="str">
        <x:v>MARTIN KIRZNER</x:v>
      </x:c>
      <x:c r="I341" t="n">
        <x:v>2</x:v>
      </x:c>
      <x:c r="J341" t="str">
        <x:v>1085 EAST 12TH STREET, BROOKLYN, NY, 11230, US</x:v>
      </x:c>
      <x:c r="K341" t="str">
        <x:v>ACRIS deed-party address</x:v>
      </x:c>
      <x:c r="L341" t="n">
        <x:v>6</x:v>
      </x:c>
      <x:c r="M341" t="n">
        <x:v>9</x:v>
      </x:c>
      <x:c r="N341" t="str">
        <x:v>138 SHARP REALTY LLC | 2095 MOHEGAN REALTY LLC | 2737 WEBB REALTY LLC | BROADHURST WILLOW APTS LLC | BRONX SHARP REALTY LLC | TRINITY SHARP REALTY LLC</x:v>
      </x:c>
      <x:c r="O341" t="str">
        <x:v>1765 DAVIDSON AVENUE, NY 10453 | 1972 61 STREET, NY 11204 | 2095 MOHEGAN AVENUE, NY 10460 | 211 WEST 146 STREET, NY 10039 | 2737-2739 WEBB AVENUE, NY 10468 | 290 WEST 147 STREET, NY 10039 | 294 WEST 147 STREET, NY 10039 | 307 WEST 143 STREET, NY 10030 | 430-440 EAST 138 STREET, NY 10454</x:v>
      </x:c>
      <x:c r="P341" t="n">
        <x:v>5</x:v>
      </x:c>
      <x:c r="Q341" s="15" t="n">
        <x:v>0.8333333333333334</x:v>
      </x:c>
      <x:c r="R341" t="n">
        <x:v>0</x:v>
      </x:c>
      <x:c r="S341" t="str">
        <x:v>Shared DOS address</x:v>
      </x:c>
      <x:c r="T341" t="str">
        <x:v>No</x:v>
      </x:c>
      <x:c r="U341" t="n">
        <x:v>100</x:v>
      </x:c>
      <x:c r="V341" t="str">
        <x:v>https://data.ny.gov/Economic-Development/Active-Corporations-Beginning-1800/n9v6-gdp6</x:v>
      </x:c>
    </x:row>
    <x:row r="342">
      <x:c r="A342" t="str">
        <x:v>DOS-6-041</x:v>
      </x:c>
      <x:c r="B342" t="str">
        <x:v>Not Mailed</x:v>
      </x:c>
      <x:c r="C342" s="55"/>
      <x:c r="D342" t="str">
        <x:v>No Response</x:v>
      </x:c>
      <x:c r="E342" t="str"/>
      <x:c r="F342" t="n">
        <x:v>6</x:v>
      </x:c>
      <x:c r="G342" t="str">
        <x:v>PROPERTY OWNER</x:v>
      </x:c>
      <x:c r="H342" t="str"/>
      <x:c r="I342" t="n">
        <x:v>0</x:v>
      </x:c>
      <x:c r="J342" t="str">
        <x:v>173 WEST SHORE ROAD, KINGS POINT, NY, 11024</x:v>
      </x:c>
      <x:c r="K342" t="str">
        <x:v>DOS address corroborated by ACRIS</x:v>
      </x:c>
      <x:c r="L342" t="n">
        <x:v>6</x:v>
      </x:c>
      <x:c r="M342" t="n">
        <x:v>9</x:v>
      </x:c>
      <x:c r="N342" t="str">
        <x:v>3 COVERT LLC | CROWN 160 STERLING LLC | CROWN 347 LLC | HALSEY PARK 18 LLC | HALSEY PARK 20 LLC | HIGGINS AVENUE LLC</x:v>
      </x:c>
      <x:c r="O342" t="str">
        <x:v>1218 HALSEY STREET, NY 11207 | 1220 HALSEY STREET, NY 11207 | 133-05 32 AVENUE, NY 11354 | 160 STERLING PLACE APT 8, NY 11217 | 168 SOUTH 3 STREET APT 7, NY 11211 | 31-19 HIGGINS STREET, NY 11354 | 31-25 HIGGINS STREET, NY 11354 | 31-33 HIGGINS STREET, NY 11354 | 347 6 AVENUE, NY 11215</x:v>
      </x:c>
      <x:c r="P342" t="n">
        <x:v>5</x:v>
      </x:c>
      <x:c r="Q342" s="15" t="n">
        <x:v>0.8333333333333334</x:v>
      </x:c>
      <x:c r="R342" t="n">
        <x:v>4</x:v>
      </x:c>
      <x:c r="S342" t="str">
        <x:v>Strong DOS address corroboration</x:v>
      </x:c>
      <x:c r="T342" t="str">
        <x:v>No</x:v>
      </x:c>
      <x:c r="U342" t="n">
        <x:v>100</x:v>
      </x:c>
      <x:c r="V342" t="str">
        <x:v>https://data.ny.gov/Economic-Development/Active-Corporations-Beginning-1800/n9v6-gdp6</x:v>
      </x:c>
    </x:row>
    <x:row r="343">
      <x:c r="A343" t="str">
        <x:v>DOS-6-042</x:v>
      </x:c>
      <x:c r="B343" t="str">
        <x:v>Not Mailed</x:v>
      </x:c>
      <x:c r="C343" s="55"/>
      <x:c r="D343" t="str">
        <x:v>No Response</x:v>
      </x:c>
      <x:c r="E343" t="str"/>
      <x:c r="F343" t="n">
        <x:v>6</x:v>
      </x:c>
      <x:c r="G343" t="str">
        <x:v>PROPERTY OWNER</x:v>
      </x:c>
      <x:c r="H343" t="str"/>
      <x:c r="I343" t="n">
        <x:v>0</x:v>
      </x:c>
      <x:c r="J343" t="str">
        <x:v>207 ROCKAWAY TURNPIKE, FLOOR 3, UNIT CT, LAWRENCE, NY, 11559, US</x:v>
      </x:c>
      <x:c r="K343" t="str">
        <x:v>ACRIS deed-party address</x:v>
      </x:c>
      <x:c r="L343" t="n">
        <x:v>6</x:v>
      </x:c>
      <x:c r="M343" t="n">
        <x:v>9</x:v>
      </x:c>
      <x:c r="N343" t="str">
        <x:v>1030 PARK PROPERTY LLC | 46 54 WADSWORTH PROPERTY LLC | 5 WESTMINSTER PROPERTY LLC | 551 565 WEST 190 PROPERTY LLC | 590 OCEAN PROPERTY LLC | 75 ELLWOOD PROPERTY LLC</x:v>
      </x:c>
      <x:c r="O343" t="str">
        <x:v>1030 PARK PLACE APT 58, NY 11213 | 46-52 WADSWORTH TERRACE, NY 10040 | 5 WESTMINSTER ROAD APT 41, NY 11218 | 500 AUDUBON AVENUE, NY 10040 | 54-60 WADSWORTH TERRACE, NY 10040 | 559 WEST 190 STREET, NY 10040 | 565 WEST 190 STREET, NY 10040 | 590 OCEAN AVENUE, NY 11226 | 75-85 ELLWOOD STREET, NY 10040</x:v>
      </x:c>
      <x:c r="P343" t="n">
        <x:v>6</x:v>
      </x:c>
      <x:c r="Q343" s="15" t="n">
        <x:v>1</x:v>
      </x:c>
      <x:c r="R343" t="n">
        <x:v>0</x:v>
      </x:c>
      <x:c r="S343" t="str">
        <x:v>Shared DOS address</x:v>
      </x:c>
      <x:c r="T343" t="str">
        <x:v>No</x:v>
      </x:c>
      <x:c r="U343" t="n">
        <x:v>100</x:v>
      </x:c>
      <x:c r="V343" t="str">
        <x:v>https://data.ny.gov/Economic-Development/Active-Corporations-Beginning-1800/n9v6-gdp6</x:v>
      </x:c>
    </x:row>
    <x:row r="344">
      <x:c r="A344" t="str">
        <x:v>DOS-6-043</x:v>
      </x:c>
      <x:c r="B344" t="str">
        <x:v>Not Mailed</x:v>
      </x:c>
      <x:c r="C344" s="55"/>
      <x:c r="D344" t="str">
        <x:v>No Response</x:v>
      </x:c>
      <x:c r="E344" t="str"/>
      <x:c r="F344" t="n">
        <x:v>6</x:v>
      </x:c>
      <x:c r="G344" t="str">
        <x:v>PROPERTY OWNER</x:v>
      </x:c>
      <x:c r="H344" t="str"/>
      <x:c r="I344" t="n">
        <x:v>0</x:v>
      </x:c>
      <x:c r="J344" t="str">
        <x:v>31-07 Farrington Street, Flushing, NY, 11354</x:v>
      </x:c>
      <x:c r="K344" t="str">
        <x:v>DOS address corroborated by ACRIS</x:v>
      </x:c>
      <x:c r="L344" t="n">
        <x:v>6</x:v>
      </x:c>
      <x:c r="M344" t="n">
        <x:v>9</x:v>
      </x:c>
      <x:c r="N344" t="str">
        <x:v>15 09 127TH STREET LLC | 150 50 11TH AVE LLC | 34 16 REALTY HOLDINGS LLC | 59 25 FRESH MEADOWS LLC | FLUSHING AIRPORT HOLDINGS LLC | ROCKAWAY BOULEVARD REALTY LLC</x:v>
      </x:c>
      <x:c r="O344" t="str">
        <x:v>125-15 ROCKAWAY BOULEVARD, NY 11420 | 127 STREET | 128 STREET | 131-05 23 AVENUE, NY 11356 | 14-20 128 STREET, NY 11356 | 14-22 128 STREET, NY 11356 | 150-50 11 AVENUE, NY 11357 | 34-16 COLLEGE POINT BLVD | 59-25 FRESH MEADOW LANE, NY 11365</x:v>
      </x:c>
      <x:c r="P344" t="n">
        <x:v>6</x:v>
      </x:c>
      <x:c r="Q344" s="15" t="n">
        <x:v>1</x:v>
      </x:c>
      <x:c r="R344" t="n">
        <x:v>4</x:v>
      </x:c>
      <x:c r="S344" t="str">
        <x:v>Strong DOS address corroboration</x:v>
      </x:c>
      <x:c r="T344" t="str">
        <x:v>No</x:v>
      </x:c>
      <x:c r="U344" t="n">
        <x:v>100</x:v>
      </x:c>
      <x:c r="V344" t="str">
        <x:v>https://data.ny.gov/Economic-Development/Active-Corporations-Beginning-1800/n9v6-gdp6</x:v>
      </x:c>
    </x:row>
    <x:row r="345">
      <x:c r="A345" t="str">
        <x:v>DOS-6-044</x:v>
      </x:c>
      <x:c r="B345" t="str">
        <x:v>Not Mailed</x:v>
      </x:c>
      <x:c r="C345" s="55"/>
      <x:c r="D345" t="str">
        <x:v>No Response</x:v>
      </x:c>
      <x:c r="E345" t="str"/>
      <x:c r="F345" t="n">
        <x:v>6</x:v>
      </x:c>
      <x:c r="G345" t="str">
        <x:v>PROPERTY OWNER</x:v>
      </x:c>
      <x:c r="H345" t="str"/>
      <x:c r="I345" t="n">
        <x:v>0</x:v>
      </x:c>
      <x:c r="J345" t="str">
        <x:v>425  EAST 61ST STREET, NEW YORK, NY, US</x:v>
      </x:c>
      <x:c r="K345" t="str">
        <x:v>ACRIS deed-party address</x:v>
      </x:c>
      <x:c r="L345" t="n">
        <x:v>6</x:v>
      </x:c>
      <x:c r="M345" t="n">
        <x:v>9</x:v>
      </x:c>
      <x:c r="N345" t="str">
        <x:v>BEDFORD EQUITIES LLC | ELJO COMPANY LLC | ELLIANA 65 LLC | ELLIANA 76 LLC | ELLIANA 90 LLC | NYCA REALTY LLC</x:v>
      </x:c>
      <x:c r="O345" t="str">
        <x:v>108-110 EAST 81 STREET, NY 10028 | 1279 1 AVENUE, NY 10065 | 165 WEST 76 STREET, NY 10023 | 167 WEST 76 STREET, NY 10023 | 169 WEST 76 STREET, NY 10023 | 219-223 EAST 84 STREET, NY 10028 | 28 WEST 90 STREET, NY 10024 | 40 EAST 65 STREET, NY 10065 | 425 EAST 61 STREET APT 600, NY 10065</x:v>
      </x:c>
      <x:c r="P345" t="n">
        <x:v>6</x:v>
      </x:c>
      <x:c r="Q345" s="15" t="n">
        <x:v>1</x:v>
      </x:c>
      <x:c r="R345" t="n">
        <x:v>0</x:v>
      </x:c>
      <x:c r="S345" t="str">
        <x:v>Shared DOS address</x:v>
      </x:c>
      <x:c r="T345" t="str">
        <x:v>No</x:v>
      </x:c>
      <x:c r="U345" t="n">
        <x:v>100</x:v>
      </x:c>
      <x:c r="V345" t="str">
        <x:v>https://data.ny.gov/Economic-Development/Active-Corporations-Beginning-1800/n9v6-gdp6</x:v>
      </x:c>
    </x:row>
    <x:row r="346">
      <x:c r="A346" t="str">
        <x:v>DOS-6-045</x:v>
      </x:c>
      <x:c r="B346" t="str">
        <x:v>Not Mailed</x:v>
      </x:c>
      <x:c r="C346" s="55"/>
      <x:c r="D346" t="str">
        <x:v>No Response</x:v>
      </x:c>
      <x:c r="E346" t="str"/>
      <x:c r="F346" t="n">
        <x:v>6</x:v>
      </x:c>
      <x:c r="G346" t="str">
        <x:v>PROPERTY OWNER</x:v>
      </x:c>
      <x:c r="H346" t="str"/>
      <x:c r="I346" t="n">
        <x:v>0</x:v>
      </x:c>
      <x:c r="J346" t="str">
        <x:v>475 CLINTON AVENUE, BROOKLYN, NY, 11238</x:v>
      </x:c>
      <x:c r="K346" t="str">
        <x:v>DOS address corroborated by ACRIS</x:v>
      </x:c>
      <x:c r="L346" t="n">
        <x:v>6</x:v>
      </x:c>
      <x:c r="M346" t="n">
        <x:v>9</x:v>
      </x:c>
      <x:c r="N346" t="str">
        <x:v>1200 UTICA AVE REALTY LLC | 351 353 LLC | 376 GRAND AVE REALTY LLC | 469 CLINTON AVE REALTY LLC | 50 56 HANCOCK ST LLC | 6 ST FELIX REALTY LLC</x:v>
      </x:c>
      <x:c r="O346" t="str">
        <x:v>1200-1208 UTICA AVENUE, NY 11203 | 1207 BEDFORD AVENUE, NY 11216 | 1209 BEDFORD AVENUE, NY 11216 | 1211 BEDFORD AVENUE, NY 11216 | 351 MARION STREET APT 6, NY 11233 | 353 MARION STREET APT 6, NY 11233 | 376 GRAND AVENUE, NY 11238 | 469 CLINTON AVENUE, NY 11238 | ST FELIX STREET</x:v>
      </x:c>
      <x:c r="P346" t="n">
        <x:v>6</x:v>
      </x:c>
      <x:c r="Q346" s="15" t="n">
        <x:v>1</x:v>
      </x:c>
      <x:c r="R346" t="n">
        <x:v>6</x:v>
      </x:c>
      <x:c r="S346" t="str">
        <x:v>Strong DOS address corroboration</x:v>
      </x:c>
      <x:c r="T346" t="str">
        <x:v>No</x:v>
      </x:c>
      <x:c r="U346" t="n">
        <x:v>100</x:v>
      </x:c>
      <x:c r="V346" t="str">
        <x:v>https://data.ny.gov/Economic-Development/Active-Corporations-Beginning-1800/n9v6-gdp6</x:v>
      </x:c>
    </x:row>
    <x:row r="347">
      <x:c r="A347" t="str">
        <x:v>DOS-6-046</x:v>
      </x:c>
      <x:c r="B347" t="str">
        <x:v>Not Mailed</x:v>
      </x:c>
      <x:c r="C347" s="55"/>
      <x:c r="D347" t="str">
        <x:v>No Response</x:v>
      </x:c>
      <x:c r="E347" t="str"/>
      <x:c r="F347" t="n">
        <x:v>6</x:v>
      </x:c>
      <x:c r="G347" t="str">
        <x:v>HARBANS SINGH</x:v>
      </x:c>
      <x:c r="H347" t="str">
        <x:v>HARBANS SINGH</x:v>
      </x:c>
      <x:c r="I347" t="n">
        <x:v>2</x:v>
      </x:c>
      <x:c r="J347" t="str">
        <x:v>50 HAMILTON AVENUE, VALLEY STREAM, NY, 11580</x:v>
      </x:c>
      <x:c r="K347" t="str">
        <x:v>DOS address corroborated by ACRIS</x:v>
      </x:c>
      <x:c r="L347" t="n">
        <x:v>6</x:v>
      </x:c>
      <x:c r="M347" t="n">
        <x:v>9</x:v>
      </x:c>
      <x:c r="N347" t="str">
        <x:v>105 04 37 AVENUE LLC | 108 01 ATLANTIC AVENUE LLC | 114 13 ATLANTIC AVENUE LLC | 3601 164 LLC | GHOTRA PROPERTY LLC | THREE LOTS LLC</x:v>
      </x:c>
      <x:c r="O347" t="str">
        <x:v>105-04 37 AVENUE, NY 11368 | 108-01 ATLANTIC AVENUE, NY 11418 | 108-03 ATLANTIC AVENUE, NY 11418 | 113-11 101 AVENUE, NY 11419 | 114-01 ATLANTIC AVENUE, NY 11418 | 114-03 ATLANTIC AVENUE, NY 11418 | 114-09 ATLANTIC AVENUE, NY 11418 | 114-13-114-15 ATLANTIC AVENUE, NY 11418 | 36-01-36-05 164 STREET, NY 11358</x:v>
      </x:c>
      <x:c r="P347" t="n">
        <x:v>6</x:v>
      </x:c>
      <x:c r="Q347" s="15" t="n">
        <x:v>1</x:v>
      </x:c>
      <x:c r="R347" t="n">
        <x:v>4</x:v>
      </x:c>
      <x:c r="S347" t="str">
        <x:v>Strong DOS address corroboration</x:v>
      </x:c>
      <x:c r="T347" t="str">
        <x:v>No</x:v>
      </x:c>
      <x:c r="U347" t="n">
        <x:v>100</x:v>
      </x:c>
      <x:c r="V347" t="str">
        <x:v>https://data.ny.gov/Economic-Development/Active-Corporations-Beginning-1800/n9v6-gdp6</x:v>
      </x:c>
    </x:row>
    <x:row r="348">
      <x:c r="A348" t="str">
        <x:v>DOS-6-047</x:v>
      </x:c>
      <x:c r="B348" t="str">
        <x:v>Not Mailed</x:v>
      </x:c>
      <x:c r="C348" s="55"/>
      <x:c r="D348" t="str">
        <x:v>No Response</x:v>
      </x:c>
      <x:c r="E348" t="str"/>
      <x:c r="F348" t="n">
        <x:v>6</x:v>
      </x:c>
      <x:c r="G348" t="str">
        <x:v>PROPERTY OWNER</x:v>
      </x:c>
      <x:c r="H348" t="str"/>
      <x:c r="I348" t="n">
        <x:v>0</x:v>
      </x:c>
      <x:c r="J348" t="str">
        <x:v>543 BEDFORD AVENUE #264, BROOKLYN, NY, 11211</x:v>
      </x:c>
      <x:c r="K348" t="str">
        <x:v>DOS address corroborated by ACRIS</x:v>
      </x:c>
      <x:c r="L348" t="n">
        <x:v>6</x:v>
      </x:c>
      <x:c r="M348" t="n">
        <x:v>9</x:v>
      </x:c>
      <x:c r="N348" t="str">
        <x:v>196 MIDDLETON USA LLC | 583 589 KNICKERBOCKER AVE PARTNERS LLC | 666 4TH AVENUE USA LLC | B TWO TWO LLC | KIRYAT STOCKHOLM LLC | YOSEF DAAS LLC</x:v>
      </x:c>
      <x:c r="O348" t="str">
        <x:v>172 STOCKHOLM STREET, NY 11237 | 196 MIDDLETON STREET, NY 11206 | 220 BUSHWICK AVENUE, NY 11206 | 245 46 STREET, NY 11220 | 247 46 STREET APT 8, NY 11220 | 583 KNICKERBOCKER AVENUE, NY 11221 | 585 KNICKERBOCKER AVENUE, NY 11221 | 589 KNICKERBOCKER AVENUE, NY 11221 | 666 4 AVENUE, NY 11232</x:v>
      </x:c>
      <x:c r="P348" t="n">
        <x:v>6</x:v>
      </x:c>
      <x:c r="Q348" s="15" t="n">
        <x:v>1</x:v>
      </x:c>
      <x:c r="R348" t="n">
        <x:v>3</x:v>
      </x:c>
      <x:c r="S348" t="str">
        <x:v>Strong DOS address corroboration</x:v>
      </x:c>
      <x:c r="T348" t="str">
        <x:v>No</x:v>
      </x:c>
      <x:c r="U348" t="n">
        <x:v>100</x:v>
      </x:c>
      <x:c r="V348" t="str">
        <x:v>https://data.ny.gov/Economic-Development/Active-Corporations-Beginning-1800/n9v6-gdp6</x:v>
      </x:c>
    </x:row>
    <x:row r="349">
      <x:c r="A349" t="str">
        <x:v>DOS-6-048</x:v>
      </x:c>
      <x:c r="B349" t="str">
        <x:v>Not Mailed</x:v>
      </x:c>
      <x:c r="C349" s="55"/>
      <x:c r="D349" t="str">
        <x:v>No Response</x:v>
      </x:c>
      <x:c r="E349" t="str"/>
      <x:c r="F349" t="n">
        <x:v>6</x:v>
      </x:c>
      <x:c r="G349" t="str">
        <x:v>MILKJOR SHLLAKU</x:v>
      </x:c>
      <x:c r="H349" t="str">
        <x:v>MILKJOR SHLLAKU</x:v>
      </x:c>
      <x:c r="I349" t="n">
        <x:v>2</x:v>
      </x:c>
      <x:c r="J349" t="str">
        <x:v>1178 East 180th Street, BRONX, NY, 10460</x:v>
      </x:c>
      <x:c r="K349" t="str">
        <x:v>DOS address corroborated by ACRIS</x:v>
      </x:c>
      <x:c r="L349" t="n">
        <x:v>6</x:v>
      </x:c>
      <x:c r="M349" t="n">
        <x:v>9</x:v>
      </x:c>
      <x:c r="N349" t="str">
        <x:v>472 LEBANON REALTY LLC | DJ EAST 180 LLC | EAST 180 LLC | GOLDEN ME REALTY LLC | PENTAR REALTY LLC | SHLLAKU HOLDINGS LLC</x:v>
      </x:c>
      <x:c r="O349" t="str">
        <x:v>1178 EAST 180 STREET, NY 10460 | 1755 EASTBURN AVENUE, NY 10457 | 1761 EASTBURN AVENUE, NY 10457 | 1769 EASTBURN AVENUE, NY 10457 | 1775 EASTBURN AVENUE, NY 10457 | 2301 WALLACE AVENUE, NY 10467 | 3221 COLDEN AVENUE, NY 10469 | 427 LEBANON STREET, NY 10460 | 712 EAST 180TH STREET, NY 10457</x:v>
      </x:c>
      <x:c r="P349" t="n">
        <x:v>5</x:v>
      </x:c>
      <x:c r="Q349" s="15" t="n">
        <x:v>0.8333333333333334</x:v>
      </x:c>
      <x:c r="R349" t="n">
        <x:v>2</x:v>
      </x:c>
      <x:c r="S349" t="str">
        <x:v>Strong DOS address corroboration</x:v>
      </x:c>
      <x:c r="T349" t="str">
        <x:v>No</x:v>
      </x:c>
      <x:c r="U349" t="n">
        <x:v>100</x:v>
      </x:c>
      <x:c r="V349" t="str">
        <x:v>https://data.ny.gov/Economic-Development/Active-Corporations-Beginning-1800/n9v6-gdp6</x:v>
      </x:c>
    </x:row>
    <x:row r="350">
      <x:c r="A350" t="str">
        <x:v>DOS-6-049</x:v>
      </x:c>
      <x:c r="B350" t="str">
        <x:v>Not Mailed</x:v>
      </x:c>
      <x:c r="C350" s="55"/>
      <x:c r="D350" t="str">
        <x:v>No Response</x:v>
      </x:c>
      <x:c r="E350" t="str"/>
      <x:c r="F350" t="n">
        <x:v>6</x:v>
      </x:c>
      <x:c r="G350" t="str">
        <x:v>YAKOV BASMANOV</x:v>
      </x:c>
      <x:c r="H350" t="str">
        <x:v>YAKOV BASMANOV</x:v>
      </x:c>
      <x:c r="I350" t="n">
        <x:v>2</x:v>
      </x:c>
      <x:c r="J350" t="str">
        <x:v>817 WESTCHESTER AVENUE, BRONX, NY, 10455</x:v>
      </x:c>
      <x:c r="K350" t="str">
        <x:v>DOS address corroborated by ACRIS</x:v>
      </x:c>
      <x:c r="L350" t="n">
        <x:v>6</x:v>
      </x:c>
      <x:c r="M350" t="n">
        <x:v>9</x:v>
      </x:c>
      <x:c r="N350" t="str">
        <x:v>1 PBS LLC | 125 EAST 169T STREET LLC | 1702 LLC | 1726 DAVIDSON LLC | 2308 CROTONA REALTY LLC | MHM LLC</x:v>
      </x:c>
      <x:c r="O350" t="str">
        <x:v>125 EAST 169 STREET, NY 10452 | 1321 PURITAN AVENUE, NY 10461 | 1328 HOBART AVENUE, NY 10461 | 1702 CLAY AVENUE, NY 10457 | 1726 DAVIDSON AVENUE, NY 10453 | 1752 MAHAN AVENUE, NY 10461 | 1842 MULFORD AVENUE, NY 10461 | 2308 CROTONA AVENUE, NY 10458 | 2833 BUHRE AVENUE, NY 10461</x:v>
      </x:c>
      <x:c r="P350" t="n">
        <x:v>5</x:v>
      </x:c>
      <x:c r="Q350" s="15" t="n">
        <x:v>0.8333333333333334</x:v>
      </x:c>
      <x:c r="R350" t="n">
        <x:v>3</x:v>
      </x:c>
      <x:c r="S350" t="str">
        <x:v>Strong DOS address corroboration</x:v>
      </x:c>
      <x:c r="T350" t="str">
        <x:v>No</x:v>
      </x:c>
      <x:c r="U350" t="n">
        <x:v>100</x:v>
      </x:c>
      <x:c r="V350" t="str">
        <x:v>https://data.ny.gov/Economic-Development/Active-Corporations-Beginning-1800/n9v6-gdp6</x:v>
      </x:c>
    </x:row>
    <x:row r="351">
      <x:c r="A351" t="str">
        <x:v>DOS-6-050</x:v>
      </x:c>
      <x:c r="B351" t="str">
        <x:v>Not Mailed</x:v>
      </x:c>
      <x:c r="C351" s="55"/>
      <x:c r="D351" t="str">
        <x:v>No Response</x:v>
      </x:c>
      <x:c r="E351" t="str"/>
      <x:c r="F351" t="n">
        <x:v>6</x:v>
      </x:c>
      <x:c r="G351" t="str">
        <x:v>STEPHEN WOLINETZ, MANAGER</x:v>
      </x:c>
      <x:c r="H351" t="str">
        <x:v>STEPHEN WOLINETZ, MANAGER</x:v>
      </x:c>
      <x:c r="I351" t="n">
        <x:v>3</x:v>
      </x:c>
      <x:c r="J351" t="str">
        <x:v>900 WILLIS AVENUE, ALBERTSON, NY, 11507</x:v>
      </x:c>
      <x:c r="K351" t="str">
        <x:v>DOS address corroborated by ACRIS</x:v>
      </x:c>
      <x:c r="L351" t="n">
        <x:v>6</x:v>
      </x:c>
      <x:c r="M351" t="n">
        <x:v>9</x:v>
      </x:c>
      <x:c r="N351" t="str">
        <x:v>8255 LLC | CARLDAN APTS II LLC | COLETTI AND WOLINETZ REALTY II LLC | DORYLAION REALTY LLC | HYE REALTY CO 2 LLC | KALLISTA REALTY CO II LLC</x:v>
      </x:c>
      <x:c r="O351" t="str">
        <x:v>192-07-192-15 42 AVENUE, NY 11358 | 25-39 44 STREET, NY 11103 | 25-41 44 STREET, NY 11103 | 40-11-40-35 192 STREET, NY 11358 | 41-65 WOODSIDE AVENUE, NY 11377 | 42-09 204 STREET, NY 11361 | 47-56 45 STREET, NY 11377 | 623 WEST END AVENUE, NY 10024 | 82-55 85 AVENUE, NY 11421</x:v>
      </x:c>
      <x:c r="P351" t="n">
        <x:v>6</x:v>
      </x:c>
      <x:c r="Q351" s="15" t="n">
        <x:v>1</x:v>
      </x:c>
      <x:c r="R351" t="n">
        <x:v>6</x:v>
      </x:c>
      <x:c r="S351" t="str">
        <x:v>Strong DOS address corroboration</x:v>
      </x:c>
      <x:c r="T351" t="str">
        <x:v>No</x:v>
      </x:c>
      <x:c r="U351" t="n">
        <x:v>100</x:v>
      </x:c>
      <x:c r="V351" t="str">
        <x:v>https://data.ny.gov/Economic-Development/Active-Corporations-Beginning-1800/n9v6-gdp6</x:v>
      </x:c>
    </x:row>
    <x:row r="352">
      <x:c r="A352" t="str">
        <x:v>DOS-6-051</x:v>
      </x:c>
      <x:c r="B352" t="str">
        <x:v>Not Mailed</x:v>
      </x:c>
      <x:c r="C352" s="55"/>
      <x:c r="D352" t="str">
        <x:v>No Response</x:v>
      </x:c>
      <x:c r="E352" t="str"/>
      <x:c r="F352" t="n">
        <x:v>6</x:v>
      </x:c>
      <x:c r="G352" t="str">
        <x:v>PROPERTY OWNER</x:v>
      </x:c>
      <x:c r="H352" t="str"/>
      <x:c r="I352" t="n">
        <x:v>0</x:v>
      </x:c>
      <x:c r="J352" t="str">
        <x:v>902 BROADWAY, 13TH FLOOR, NEW YORK, NY, 10010</x:v>
      </x:c>
      <x:c r="K352" t="str">
        <x:v>DOS address corroborated by ACRIS</x:v>
      </x:c>
      <x:c r="L352" t="n">
        <x:v>6</x:v>
      </x:c>
      <x:c r="M352" t="n">
        <x:v>9</x:v>
      </x:c>
      <x:c r="N352" t="str">
        <x:v>112 FRANKLIN AVENUE LLC | 1130 TIFFANY STREET LLC | 580 EAST 168TH STREET LLC | 933 939 COURTLANDT LLC | DINSMORE ASSOCIATES LLC | EAST 138TH STREET JV ASSOCIATES LLC</x:v>
      </x:c>
      <x:c r="O352" t="str">
        <x:v>110 EAST 138TH STREET, NY 10451 | 1211 FRANKLIN AVENUE, NY 10456 | 242 CHESTNUT STREET, NY 11208 | 375-391 EAST 163 STREET, NY 10451 | 578 EAST 168 STREET, NY 10456 | 580 EAST 168 STREET, NY 10456 | 893 EAST 167TH STREET, NY 10459 | 933 COURTLANDT AVENUE, NY 10451 | 939 COURTLANDT AVENUE, NY 10451</x:v>
      </x:c>
      <x:c r="P352" t="n">
        <x:v>4</x:v>
      </x:c>
      <x:c r="Q352" s="15" t="n">
        <x:v>0.6666666666666666</x:v>
      </x:c>
      <x:c r="R352" t="n">
        <x:v>3</x:v>
      </x:c>
      <x:c r="S352" t="str">
        <x:v>Strong DOS address corroboration</x:v>
      </x:c>
      <x:c r="T352" t="str">
        <x:v>No</x:v>
      </x:c>
      <x:c r="U352" t="n">
        <x:v>100</x:v>
      </x:c>
      <x:c r="V352" t="str">
        <x:v>https://data.ny.gov/Economic-Development/Active-Corporations-Beginning-1800/n9v6-gdp6</x:v>
      </x:c>
    </x:row>
    <x:row r="353">
      <x:c r="A353" t="str">
        <x:v>DOS-6-052</x:v>
      </x:c>
      <x:c r="B353" t="str">
        <x:v>Not Mailed</x:v>
      </x:c>
      <x:c r="C353" s="55"/>
      <x:c r="D353" t="str">
        <x:v>No Response</x:v>
      </x:c>
      <x:c r="E353" t="str"/>
      <x:c r="F353" t="n">
        <x:v>6</x:v>
      </x:c>
      <x:c r="G353" t="str">
        <x:v>PROPERTY OWNER</x:v>
      </x:c>
      <x:c r="H353" t="str">
        <x:v>Christine lompado</x:v>
      </x:c>
      <x:c r="I353" t="n">
        <x:v>1</x:v>
      </x:c>
      <x:c r="J353" t="str">
        <x:v>CROWN ACQUISITIONS, INC., 767 FIFTH AVENUE, 24TH FLOOR, NEW YORK, NY, 10153, US</x:v>
      </x:c>
      <x:c r="K353" t="str">
        <x:v>ACRIS deed-party address</x:v>
      </x:c>
      <x:c r="L353" t="n">
        <x:v>6</x:v>
      </x:c>
      <x:c r="M353" t="n">
        <x:v>9</x:v>
      </x:c>
      <x:c r="N353" t="str">
        <x:v>114 BEVERLEY ROAD OWNER LLC | 1501 86TH STREET OWNER LLC | 329 WYCKOFF AVENUE OWNER LLC | 5001 CHURCH AVENUE OWNER LLC | 6620 18TH AVENUE OWNER LLC | STILLWELL 86TH STREET OWNER LLC</x:v>
      </x:c>
      <x:c r="O353" t="str">
        <x:v>112 BEVERLEY ROAD, NY 11218 | 1501 86 STREET, NY 11228 | 2018 STILLWELL AVENUE, NY 11223 | 2533 86 STREET, NY 11214 | 2537 86 STREET, NY 11214 | 329-339 WYCKOFF AVENUE, NY 11385 | 5005 CHURCH AVENUE, NY 11203 | 6620 18 AVENUE, NY 11204 | STILLWELL AVENUE</x:v>
      </x:c>
      <x:c r="P353" t="n">
        <x:v>6</x:v>
      </x:c>
      <x:c r="Q353" s="15" t="n">
        <x:v>1</x:v>
      </x:c>
      <x:c r="R353" t="n">
        <x:v>0</x:v>
      </x:c>
      <x:c r="S353" t="str">
        <x:v>Shared DOS address</x:v>
      </x:c>
      <x:c r="T353" t="str">
        <x:v>No</x:v>
      </x:c>
      <x:c r="U353" t="n">
        <x:v>100</x:v>
      </x:c>
      <x:c r="V353" t="str">
        <x:v>https://data.ny.gov/Economic-Development/Active-Corporations-Beginning-1800/n9v6-gdp6</x:v>
      </x:c>
    </x:row>
    <x:row r="354">
      <x:c r="A354" t="str">
        <x:v>DOS-6-053</x:v>
      </x:c>
      <x:c r="B354" t="str">
        <x:v>Not Mailed</x:v>
      </x:c>
      <x:c r="C354" s="55"/>
      <x:c r="D354" t="str">
        <x:v>No Response</x:v>
      </x:c>
      <x:c r="E354" t="str"/>
      <x:c r="F354" t="n">
        <x:v>6</x:v>
      </x:c>
      <x:c r="G354" t="str">
        <x:v>PROPERTY OWNER</x:v>
      </x:c>
      <x:c r="H354" t="str"/>
      <x:c r="I354" t="n">
        <x:v>0</x:v>
      </x:c>
      <x:c r="J354" t="str">
        <x:v>1044 NORTHERN BOULEVARD,, 2ND FLOOR, ROSLYN, NY, 11576</x:v>
      </x:c>
      <x:c r="K354" t="str">
        <x:v>DOS address corroborated by ACRIS</x:v>
      </x:c>
      <x:c r="L354" t="n">
        <x:v>6</x:v>
      </x:c>
      <x:c r="M354" t="n">
        <x:v>8</x:v>
      </x:c>
      <x:c r="N354" t="str">
        <x:v>EMERALD GREEN LLC | EMERALD GREEN PHASE II LLC | GRANT FORBELL LLC | RUBY DUMONT LLC | THE VERMONT LLC | THE WYONA LLC</x:v>
      </x:c>
      <x:c r="O354" t="str">
        <x:v>1101 ELDERT LANE, NY 11208 | 1426 LORING AVENUE, NY 11208 | 458 RUBY STREET, NY 11208 | 510-520 WYONA STREET, NY 11207 | 523 VERMONT STREET, NY 11207 | 549 VERMONT STREET, NY 11207 | 646 EMERALD STREET, NY 11208 | 922-924 FORBELL STREET, NY 11208</x:v>
      </x:c>
      <x:c r="P354" t="n">
        <x:v>6</x:v>
      </x:c>
      <x:c r="Q354" s="15" t="n">
        <x:v>1</x:v>
      </x:c>
      <x:c r="R354" t="n">
        <x:v>6</x:v>
      </x:c>
      <x:c r="S354" t="str">
        <x:v>Strong DOS address corroboration</x:v>
      </x:c>
      <x:c r="T354" t="str">
        <x:v>No</x:v>
      </x:c>
      <x:c r="U354" t="n">
        <x:v>100</x:v>
      </x:c>
      <x:c r="V354" t="str">
        <x:v>https://data.ny.gov/Economic-Development/Active-Corporations-Beginning-1800/n9v6-gdp6</x:v>
      </x:c>
    </x:row>
    <x:row r="355">
      <x:c r="A355" t="str">
        <x:v>DOS-6-054</x:v>
      </x:c>
      <x:c r="B355" t="str">
        <x:v>Not Mailed</x:v>
      </x:c>
      <x:c r="C355" s="55"/>
      <x:c r="D355" t="str">
        <x:v>No Response</x:v>
      </x:c>
      <x:c r="E355" t="str"/>
      <x:c r="F355" t="n">
        <x:v>6</x:v>
      </x:c>
      <x:c r="G355" t="str">
        <x:v>FLORENCE GOLDSMITH</x:v>
      </x:c>
      <x:c r="H355" t="str">
        <x:v>FLORENCE GOLDSMITH</x:v>
      </x:c>
      <x:c r="I355" t="n">
        <x:v>6</x:v>
      </x:c>
      <x:c r="J355" t="str">
        <x:v>112 Bristol Drive, Woodbury, NY, 11797</x:v>
      </x:c>
      <x:c r="K355" t="str">
        <x:v>DOS address corroborated by ACRIS</x:v>
      </x:c>
      <x:c r="L355" t="n">
        <x:v>6</x:v>
      </x:c>
      <x:c r="M355" t="n">
        <x:v>8</x:v>
      </x:c>
      <x:c r="N355" t="str">
        <x:v>14 WEST 88TH STREET LLC | 220 EAST 74TH STREET REALTY LLC | 310 WEST 95TH STREET ASSOCIATES LLC | 47 WEST 85TH REALTY ASSOCIATES LLC | 73 75 REALTY ASSOCIATES LLC | CHELSEA PARTNERS LLC</x:v>
      </x:c>
      <x:c r="O355" t="str">
        <x:v>14 WEST 88 STREET, NY 10024 | 220 EAST 74 STREET, NY 10021 | 242 WEST 21 STREET, NY 10011 | 244 WEST 21 STREET, NY 10011 | 310 WEST 95 STREET, NY 10025 | 47 WEST 85 STREET, NY 10024 | 73 WEST 85 STREET, NY 10024 | 75 WEST 85 STREET, NY 10024</x:v>
      </x:c>
      <x:c r="P355" t="n">
        <x:v>6</x:v>
      </x:c>
      <x:c r="Q355" s="15" t="n">
        <x:v>1</x:v>
      </x:c>
      <x:c r="R355" t="n">
        <x:v>6</x:v>
      </x:c>
      <x:c r="S355" t="str">
        <x:v>Strong DOS address corroboration</x:v>
      </x:c>
      <x:c r="T355" t="str">
        <x:v>No</x:v>
      </x:c>
      <x:c r="U355" t="n">
        <x:v>100</x:v>
      </x:c>
      <x:c r="V355" t="str">
        <x:v>https://data.ny.gov/Economic-Development/Active-Corporations-Beginning-1800/n9v6-gdp6</x:v>
      </x:c>
    </x:row>
    <x:row r="356">
      <x:c r="A356" t="str">
        <x:v>DOS-6-055</x:v>
      </x:c>
      <x:c r="B356" t="str">
        <x:v>Not Mailed</x:v>
      </x:c>
      <x:c r="C356" s="55"/>
      <x:c r="D356" t="str">
        <x:v>No Response</x:v>
      </x:c>
      <x:c r="E356" t="str"/>
      <x:c r="F356" t="n">
        <x:v>6</x:v>
      </x:c>
      <x:c r="G356" t="str">
        <x:v>PROPERTY OWNER</x:v>
      </x:c>
      <x:c r="H356" t="str"/>
      <x:c r="I356" t="n">
        <x:v>0</x:v>
      </x:c>
      <x:c r="J356" t="str">
        <x:v>112  PHYLLIS COURT, ELMONT, NY, 11003, US</x:v>
      </x:c>
      <x:c r="K356" t="str">
        <x:v>ACRIS deed-party address</x:v>
      </x:c>
      <x:c r="L356" t="n">
        <x:v>6</x:v>
      </x:c>
      <x:c r="M356" t="n">
        <x:v>8</x:v>
      </x:c>
      <x:c r="N356" t="str">
        <x:v>145 26 26A LIBERTY AVE LLC | 147 02 12 LIBERTY AVE LLC | 147 17 19 105TH AVE LLC | 95 12 150TH ST LLC | 95 35 150TH ST LLC | 97 01 150TH STREET LLC</x:v>
      </x:c>
      <x:c r="O356" t="str">
        <x:v>145-26 LIBERTY AVENUE, NY 11435 | 147-02 LIBERTY AVENUE, NY 11435 | 147-19 105 AVENUE, NY 11435 | 150 STREET, NY 11433 | 94-12 150 STREET, NY 11435 | 95-33 150 STREET, NY 11435 | 95-35 150 STREET, NY 11435 | 97-01 150 STREET, NY 11435</x:v>
      </x:c>
      <x:c r="P356" t="n">
        <x:v>6</x:v>
      </x:c>
      <x:c r="Q356" s="15" t="n">
        <x:v>1</x:v>
      </x:c>
      <x:c r="R356" t="n">
        <x:v>0</x:v>
      </x:c>
      <x:c r="S356" t="str">
        <x:v>Shared DOS address</x:v>
      </x:c>
      <x:c r="T356" t="str">
        <x:v>No</x:v>
      </x:c>
      <x:c r="U356" t="n">
        <x:v>100</x:v>
      </x:c>
      <x:c r="V356" t="str">
        <x:v>https://data.ny.gov/Economic-Development/Active-Corporations-Beginning-1800/n9v6-gdp6</x:v>
      </x:c>
    </x:row>
    <x:row r="357">
      <x:c r="A357" t="str">
        <x:v>DOS-6-056</x:v>
      </x:c>
      <x:c r="B357" t="str">
        <x:v>Not Mailed</x:v>
      </x:c>
      <x:c r="C357" s="55"/>
      <x:c r="D357" t="str">
        <x:v>No Response</x:v>
      </x:c>
      <x:c r="E357" t="str"/>
      <x:c r="F357" t="n">
        <x:v>6</x:v>
      </x:c>
      <x:c r="G357" t="str">
        <x:v>PROPERTY OWNER</x:v>
      </x:c>
      <x:c r="H357" t="str"/>
      <x:c r="I357" t="n">
        <x:v>0</x:v>
      </x:c>
      <x:c r="J357" t="str">
        <x:v>114 LITTLE ROAD, WURTSBORO, NY, 12790</x:v>
      </x:c>
      <x:c r="K357" t="str">
        <x:v>DOS address corroborated by ACRIS</x:v>
      </x:c>
      <x:c r="L357" t="n">
        <x:v>6</x:v>
      </x:c>
      <x:c r="M357" t="n">
        <x:v>8</x:v>
      </x:c>
      <x:c r="N357" t="str">
        <x:v>1008 VAN NEST LLC | 114 LITTLE ROAD LLC | 1721 BARNES AVE LLC | 1723 BARNES AVE LLC | 259 UNDERHILL AVE LLC | FORT INDEPENDENCE LLC</x:v>
      </x:c>
      <x:c r="O357" t="str">
        <x:v>1008 VAN NEST AVENUE, NY 10462 | 1528 MAYFLOWER AVENUE, NY 10461 | 1721 BARNES AVENUE, NY 10462 | 1723 BARNES AVENUE, NY 10462 | 259 UNDERHILL AVENUE, NY 10473 | 3491 CANNON PLACE, NY 10463 | 3493 CANNON PLACE, NY 10463 | 3495 CANNON PLACE, NY 10463</x:v>
      </x:c>
      <x:c r="P357" t="n">
        <x:v>6</x:v>
      </x:c>
      <x:c r="Q357" s="15" t="n">
        <x:v>1</x:v>
      </x:c>
      <x:c r="R357" t="n">
        <x:v>3</x:v>
      </x:c>
      <x:c r="S357" t="str">
        <x:v>Strong DOS address corroboration</x:v>
      </x:c>
      <x:c r="T357" t="str">
        <x:v>No</x:v>
      </x:c>
      <x:c r="U357" t="n">
        <x:v>100</x:v>
      </x:c>
      <x:c r="V357" t="str">
        <x:v>https://data.ny.gov/Economic-Development/Active-Corporations-Beginning-1800/n9v6-gdp6</x:v>
      </x:c>
    </x:row>
    <x:row r="358">
      <x:c r="A358" t="str">
        <x:v>DOS-6-057</x:v>
      </x:c>
      <x:c r="B358" t="str">
        <x:v>Not Mailed</x:v>
      </x:c>
      <x:c r="C358" s="55"/>
      <x:c r="D358" t="str">
        <x:v>No Response</x:v>
      </x:c>
      <x:c r="E358" t="str"/>
      <x:c r="F358" t="n">
        <x:v>6</x:v>
      </x:c>
      <x:c r="G358" t="str">
        <x:v>PROPERTY OWNER</x:v>
      </x:c>
      <x:c r="H358" t="str"/>
      <x:c r="I358" t="n">
        <x:v>0</x:v>
      </x:c>
      <x:c r="J358" t="str">
        <x:v>119 WYCKOFF STREET, BROOKLYN, NY, 11201, US</x:v>
      </x:c>
      <x:c r="K358" t="str">
        <x:v>ACRIS deed-party address</x:v>
      </x:c>
      <x:c r="L358" t="n">
        <x:v>6</x:v>
      </x:c>
      <x:c r="M358" t="n">
        <x:v>8</x:v>
      </x:c>
      <x:c r="N358" t="str">
        <x:v>100 CONGRESS STREET PARKING LLC | 119 WYCKOFF STREET LLC | 235 CLERMONT AVENUE LLC | 358 TWELFTH STREET LLC | 69 COLUMBIA ST REALTY LLC | 773 CARROLL STREET LLC</x:v>
      </x:c>
      <x:c r="O358" t="str">
        <x:v>119 WYCKOFF STREET APT 8, NY 11201 | 235 CLERMONT AVENUE, NY 11205 | 358 12 STREET APT 8, NY 11215 | 69 COLUMBIA STREET APT 6, NY 11201 | 773 CARROLL STREET APT 8, NY 11215 | 86 CONGRESS STREET APT PS 19, NY 11201 | 86 CONGRESS STREET APT PS 2, NY 11201 | 86 CONGRESS STREET APT PS 22, NY 11201</x:v>
      </x:c>
      <x:c r="P358" t="n">
        <x:v>6</x:v>
      </x:c>
      <x:c r="Q358" s="15" t="n">
        <x:v>1</x:v>
      </x:c>
      <x:c r="R358" t="n">
        <x:v>0</x:v>
      </x:c>
      <x:c r="S358" t="str">
        <x:v>Shared DOS address</x:v>
      </x:c>
      <x:c r="T358" t="str">
        <x:v>No</x:v>
      </x:c>
      <x:c r="U358" t="n">
        <x:v>100</x:v>
      </x:c>
      <x:c r="V358" t="str">
        <x:v>https://data.ny.gov/Economic-Development/Active-Corporations-Beginning-1800/n9v6-gdp6</x:v>
      </x:c>
    </x:row>
    <x:row r="359">
      <x:c r="A359" t="str">
        <x:v>DOS-6-058</x:v>
      </x:c>
      <x:c r="B359" t="str">
        <x:v>Not Mailed</x:v>
      </x:c>
      <x:c r="C359" s="55"/>
      <x:c r="D359" t="str">
        <x:v>No Response</x:v>
      </x:c>
      <x:c r="E359" t="str"/>
      <x:c r="F359" t="n">
        <x:v>6</x:v>
      </x:c>
      <x:c r="G359" t="str">
        <x:v>PROPERTY OWNER</x:v>
      </x:c>
      <x:c r="H359" t="str"/>
      <x:c r="I359" t="n">
        <x:v>0</x:v>
      </x:c>
      <x:c r="J359" t="str">
        <x:v>1264 43RD STREET, BROOKLYN, NY, 11219</x:v>
      </x:c>
      <x:c r="K359" t="str">
        <x:v>DOS address corroborated by ACRIS</x:v>
      </x:c>
      <x:c r="L359" t="n">
        <x:v>6</x:v>
      </x:c>
      <x:c r="M359" t="n">
        <x:v>8</x:v>
      </x:c>
      <x:c r="N359" t="str">
        <x:v>427 HART LLC | 43 WEIRFIELD HOLDINGS LLC | 740 748 HICKS REALTY LLC | BUFFALO PLAZA LLC | DESALE PLACE REALTY LLC | RAMCHAL 5 LLC</x:v>
      </x:c>
      <x:c r="O359" t="str">
        <x:v>331 DAHILL ROAD, NY 11218 | 427 HART STREET, NY 11221 | 43 WEIRFIELD STREET, NY 11221 | 66 BUFFALO AVENUE, NY 11233 | 72 BUFFALO AVENUE, NY 11233 | 740-748 HICKS STREET, NY 11231 | 79 DE SALES PLACE, NY 11207 | 81 DE SALES PLACE, NY 11207</x:v>
      </x:c>
      <x:c r="P359" t="n">
        <x:v>6</x:v>
      </x:c>
      <x:c r="Q359" s="15" t="n">
        <x:v>1</x:v>
      </x:c>
      <x:c r="R359" t="n">
        <x:v>6</x:v>
      </x:c>
      <x:c r="S359" t="str">
        <x:v>Strong DOS address corroboration</x:v>
      </x:c>
      <x:c r="T359" t="str">
        <x:v>No</x:v>
      </x:c>
      <x:c r="U359" t="n">
        <x:v>100</x:v>
      </x:c>
      <x:c r="V359" t="str">
        <x:v>https://data.ny.gov/Economic-Development/Active-Corporations-Beginning-1800/n9v6-gdp6</x:v>
      </x:c>
    </x:row>
    <x:row r="360">
      <x:c r="A360" t="str">
        <x:v>DOS-6-059</x:v>
      </x:c>
      <x:c r="B360" t="str">
        <x:v>Not Mailed</x:v>
      </x:c>
      <x:c r="C360" s="55"/>
      <x:c r="D360" t="str">
        <x:v>No Response</x:v>
      </x:c>
      <x:c r="E360" t="str"/>
      <x:c r="F360" t="n">
        <x:v>6</x:v>
      </x:c>
      <x:c r="G360" t="str">
        <x:v>PROPERTY OWNER</x:v>
      </x:c>
      <x:c r="H360" t="str"/>
      <x:c r="I360" t="n">
        <x:v>0</x:v>
      </x:c>
      <x:c r="J360" t="str">
        <x:v>138 ATLANTIC AVENUE, BROOKLYN, NY, 11201</x:v>
      </x:c>
      <x:c r="K360" t="str">
        <x:v>DOS address corroborated by ACRIS</x:v>
      </x:c>
      <x:c r="L360" t="n">
        <x:v>6</x:v>
      </x:c>
      <x:c r="M360" t="n">
        <x:v>8</x:v>
      </x:c>
      <x:c r="N360" t="str">
        <x:v>282 ATLANTIC LLC | 542 WEST 147 STREET LLC | ALICAT PROPERTIES LLC | BRADHURST PROPERTIES LLC | WEST 115 11 13 ASSOCIATES LLC | WEST 139 STREET LLC</x:v>
      </x:c>
      <x:c r="O360" t="str">
        <x:v>124 WEST 139 STREET, NY 10030 | 126 WEST 139 STREET, NY 10030 | 185 PACIFIC STREET APT 105, NY 11201 | 282 ATLANTIC AVENUE APT 3, NY 11201 | 315 WEST 115 STREET, NY 10026 | 542 WEST 147 STREET, NY 10031 | 84 BRADHURST AVENUE, NY 10039 | 86 BRADHURST AVENUE, NY 10039</x:v>
      </x:c>
      <x:c r="P360" t="n">
        <x:v>6</x:v>
      </x:c>
      <x:c r="Q360" s="15" t="n">
        <x:v>1</x:v>
      </x:c>
      <x:c r="R360" t="n">
        <x:v>5</x:v>
      </x:c>
      <x:c r="S360" t="str">
        <x:v>Strong DOS address corroboration</x:v>
      </x:c>
      <x:c r="T360" t="str">
        <x:v>No</x:v>
      </x:c>
      <x:c r="U360" t="n">
        <x:v>100</x:v>
      </x:c>
      <x:c r="V360" t="str">
        <x:v>https://data.ny.gov/Economic-Development/Active-Corporations-Beginning-1800/n9v6-gdp6</x:v>
      </x:c>
    </x:row>
    <x:row r="361">
      <x:c r="A361" t="str">
        <x:v>DOS-6-060</x:v>
      </x:c>
      <x:c r="B361" t="str">
        <x:v>Not Mailed</x:v>
      </x:c>
      <x:c r="C361" s="55"/>
      <x:c r="D361" t="str">
        <x:v>No Response</x:v>
      </x:c>
      <x:c r="E361" t="str"/>
      <x:c r="F361" t="n">
        <x:v>6</x:v>
      </x:c>
      <x:c r="G361" t="str">
        <x:v>PROPERTY OWNER</x:v>
      </x:c>
      <x:c r="H361" t="str"/>
      <x:c r="I361" t="n">
        <x:v>0</x:v>
      </x:c>
      <x:c r="J361" t="str">
        <x:v>144-42 JEWEL AVENUE, FLUSHING, NY, 11367</x:v>
      </x:c>
      <x:c r="K361" t="str">
        <x:v>DOS address corroborated by ACRIS</x:v>
      </x:c>
      <x:c r="L361" t="n">
        <x:v>6</x:v>
      </x:c>
      <x:c r="M361" t="n">
        <x:v>8</x:v>
      </x:c>
      <x:c r="N361" t="str">
        <x:v>25 FAYETTE ST LLC | 616 LAFAYETTE LLC | 810 BROADWAY HOLDINGS LLC | BSD IRVING GB LLC | DEAN HOLDING LLC | SAINT MARKS DEVELOPMENT LLC</x:v>
      </x:c>
      <x:c r="O361" t="str">
        <x:v>1173 DEAN STREET, NY 11216 | 19 IRVING PLACE, NY 11238 | 25 FAYETTE STREET, NY 11206 | 614 LAFAYETTE AVENUE, NY 11216 | 616 LAFAYETTE AVENUE, NY 11216 | 702 ST MARKS AVENUE, NY 11216 | 810 BROADWAY, NY 10003 | NOSTRAND AVENUE</x:v>
      </x:c>
      <x:c r="P361" t="n">
        <x:v>6</x:v>
      </x:c>
      <x:c r="Q361" s="15" t="n">
        <x:v>1</x:v>
      </x:c>
      <x:c r="R361" t="n">
        <x:v>5</x:v>
      </x:c>
      <x:c r="S361" t="str">
        <x:v>Strong DOS address corroboration</x:v>
      </x:c>
      <x:c r="T361" t="str">
        <x:v>No</x:v>
      </x:c>
      <x:c r="U361" t="n">
        <x:v>100</x:v>
      </x:c>
      <x:c r="V361" t="str">
        <x:v>https://data.ny.gov/Economic-Development/Active-Corporations-Beginning-1800/n9v6-gdp6</x:v>
      </x:c>
    </x:row>
    <x:row r="362">
      <x:c r="A362" t="str">
        <x:v>DOS-6-061</x:v>
      </x:c>
      <x:c r="B362" t="str">
        <x:v>Not Mailed</x:v>
      </x:c>
      <x:c r="C362" s="55"/>
      <x:c r="D362" t="str">
        <x:v>No Response</x:v>
      </x:c>
      <x:c r="E362" t="str"/>
      <x:c r="F362" t="n">
        <x:v>6</x:v>
      </x:c>
      <x:c r="G362" t="str">
        <x:v>PROPERTY OWNER</x:v>
      </x:c>
      <x:c r="H362" t="str">
        <x:v>JORGE MADRUGA</x:v>
      </x:c>
      <x:c r="I362" t="n">
        <x:v>1</x:v>
      </x:c>
      <x:c r="J362" t="str">
        <x:v>1763 PITMAN AVE, BRONX, NY, 10466, US</x:v>
      </x:c>
      <x:c r="K362" t="str">
        <x:v>ACRIS deed-party address</x:v>
      </x:c>
      <x:c r="L362" t="n">
        <x:v>6</x:v>
      </x:c>
      <x:c r="M362" t="n">
        <x:v>8</x:v>
      </x:c>
      <x:c r="N362" t="str">
        <x:v>3961 CARPENTER AVE ASSOC LLC | AMANDA S TEN LLC | AMANDA S TEN LLC NULL | BRONX LIVING LLC | RYAN S BRONX EXPRESS LLC | SOUTH BRONX DEVELOPMENT I LLC</x:v>
      </x:c>
      <x:c r="O362" t="str">
        <x:v>1138 TELLER AVENUE, NY 10456 | 2752 WEBSTER AVENUE, NY 10458 | 2768-2776 WEBSTER AVENUE, NY 10458 | 3933 CARPENTER AVENUE, NY 10466 | 3935 CARPENTER AVENUE, NY 10466 | 3961 CARPENTER AVENUE, NY 10466 | 700 BARTHOLDI STREET, NY 10467 | 710 WHITE PLAINS ROAD, NY 10473</x:v>
      </x:c>
      <x:c r="P362" t="n">
        <x:v>5</x:v>
      </x:c>
      <x:c r="Q362" s="15" t="n">
        <x:v>0.8333333333333334</x:v>
      </x:c>
      <x:c r="R362" t="n">
        <x:v>0</x:v>
      </x:c>
      <x:c r="S362" t="str">
        <x:v>Shared DOS address</x:v>
      </x:c>
      <x:c r="T362" t="str">
        <x:v>No</x:v>
      </x:c>
      <x:c r="U362" t="n">
        <x:v>100</x:v>
      </x:c>
      <x:c r="V362" t="str">
        <x:v>https://data.ny.gov/Economic-Development/Active-Corporations-Beginning-1800/n9v6-gdp6</x:v>
      </x:c>
    </x:row>
    <x:row r="363">
      <x:c r="A363" t="str">
        <x:v>DOS-6-062</x:v>
      </x:c>
      <x:c r="B363" t="str">
        <x:v>Not Mailed</x:v>
      </x:c>
      <x:c r="C363" s="55"/>
      <x:c r="D363" t="str">
        <x:v>No Response</x:v>
      </x:c>
      <x:c r="E363" t="str"/>
      <x:c r="F363" t="n">
        <x:v>6</x:v>
      </x:c>
      <x:c r="G363" t="str">
        <x:v>PROPERTY OWNER</x:v>
      </x:c>
      <x:c r="H363" t="str">
        <x:v>FRANC GJINI</x:v>
      </x:c>
      <x:c r="I363" t="n">
        <x:v>1</x:v>
      </x:c>
      <x:c r="J363" t="str">
        <x:v>1858 COLDEN AVENUE APT 2R, BRONX, NY, 10462</x:v>
      </x:c>
      <x:c r="K363" t="str">
        <x:v>DOS address corroborated by ACRIS</x:v>
      </x:c>
      <x:c r="L363" t="n">
        <x:v>6</x:v>
      </x:c>
      <x:c r="M363" t="n">
        <x:v>8</x:v>
      </x:c>
      <x:c r="N363" t="str">
        <x:v>1965 CLINTON AVENUE LLC | 2434 BRONX PARK EAST REALTY LLC | 2439 BARKER LLC | 2621 GRAND LLC | 2732 KINGSBRIDGE TERRACE LLC | THIRD AVENUE REALTY GROUP LLC</x:v>
      </x:c>
      <x:c r="O363" t="str">
        <x:v>1965 CLINTON AVENUE, NY 10457 | 1967 CLINTON AVENUE, NY 10457 | 1969 CLINTON AVENUE, NY 10457 | 2439 BARKER AVENUE, NY 10467 | 2615 GRAD AVENUE, NY 10468 | 2732 KINGSBRIDGE TERRACE, NY 10463 | 3418 3RD AVENUE, NY 10456 | BRONX PARK EAST, NY 10467</x:v>
      </x:c>
      <x:c r="P363" t="n">
        <x:v>6</x:v>
      </x:c>
      <x:c r="Q363" s="15" t="n">
        <x:v>1</x:v>
      </x:c>
      <x:c r="R363" t="n">
        <x:v>4</x:v>
      </x:c>
      <x:c r="S363" t="str">
        <x:v>Strong DOS address corroboration</x:v>
      </x:c>
      <x:c r="T363" t="str">
        <x:v>No</x:v>
      </x:c>
      <x:c r="U363" t="n">
        <x:v>100</x:v>
      </x:c>
      <x:c r="V363" t="str">
        <x:v>https://data.ny.gov/Economic-Development/Active-Corporations-Beginning-1800/n9v6-gdp6</x:v>
      </x:c>
    </x:row>
    <x:row r="364">
      <x:c r="A364" t="str">
        <x:v>DOS-6-063</x:v>
      </x:c>
      <x:c r="B364" t="str">
        <x:v>Not Mailed</x:v>
      </x:c>
      <x:c r="C364" s="55"/>
      <x:c r="D364" t="str">
        <x:v>No Response</x:v>
      </x:c>
      <x:c r="E364" t="str"/>
      <x:c r="F364" t="n">
        <x:v>6</x:v>
      </x:c>
      <x:c r="G364" t="str">
        <x:v>PROPERTY OWNER</x:v>
      </x:c>
      <x:c r="H364" t="str"/>
      <x:c r="I364" t="n">
        <x:v>0</x:v>
      </x:c>
      <x:c r="J364" t="str">
        <x:v>199 LEE AVENUE SUITE 292, BROOKLYN, NY, 11211</x:v>
      </x:c>
      <x:c r="K364" t="str">
        <x:v>DOS address corroborated by ACRIS</x:v>
      </x:c>
      <x:c r="L364" t="n">
        <x:v>6</x:v>
      </x:c>
      <x:c r="M364" t="n">
        <x:v>8</x:v>
      </x:c>
      <x:c r="N364" t="str">
        <x:v>11 DITMARS LLC | 554 WILSON AVE LLC | BUSHWICK ESTATES LLC | LUCKY SPACE LLC | POWELL YH LLC | THE MADISON PLAZA LLC</x:v>
      </x:c>
      <x:c r="O364" t="str">
        <x:v>11 DITMARS STREET, NY 11221 | 123 POWELL STREET APT 4, NY 11212 | 554 WILSON AVENUE, NY 11207 | 687 BUSHWICK AVENUE, NY 11221 | 749 ONDERDONK AVENUE, NY 11385 | 796 MADISON STREET, NY 11221 | WOODBINE STREET</x:v>
      </x:c>
      <x:c r="P364" t="n">
        <x:v>6</x:v>
      </x:c>
      <x:c r="Q364" s="15" t="n">
        <x:v>1</x:v>
      </x:c>
      <x:c r="R364" t="n">
        <x:v>4</x:v>
      </x:c>
      <x:c r="S364" t="str">
        <x:v>Strong DOS address corroboration</x:v>
      </x:c>
      <x:c r="T364" t="str">
        <x:v>No</x:v>
      </x:c>
      <x:c r="U364" t="n">
        <x:v>100</x:v>
      </x:c>
      <x:c r="V364" t="str">
        <x:v>https://data.ny.gov/Economic-Development/Active-Corporations-Beginning-1800/n9v6-gdp6</x:v>
      </x:c>
    </x:row>
    <x:row r="365">
      <x:c r="A365" t="str">
        <x:v>DOS-6-064</x:v>
      </x:c>
      <x:c r="B365" t="str">
        <x:v>Not Mailed</x:v>
      </x:c>
      <x:c r="C365" s="55"/>
      <x:c r="D365" t="str">
        <x:v>No Response</x:v>
      </x:c>
      <x:c r="E365" t="str"/>
      <x:c r="F365" t="n">
        <x:v>6</x:v>
      </x:c>
      <x:c r="G365" t="str">
        <x:v>PROPERTY OWNER</x:v>
      </x:c>
      <x:c r="H365" t="str"/>
      <x:c r="I365" t="n">
        <x:v>0</x:v>
      </x:c>
      <x:c r="J365" t="str">
        <x:v>19C TROLLEY SQUARE, WILMINGTON, DE, 19806, US</x:v>
      </x:c>
      <x:c r="K365" t="str">
        <x:v>ACRIS deed-party address</x:v>
      </x:c>
      <x:c r="L365" t="n">
        <x:v>6</x:v>
      </x:c>
      <x:c r="M365" t="n">
        <x:v>8</x:v>
      </x:c>
      <x:c r="N365" t="str">
        <x:v>CENTRIA INVESTING LLC | JAVESTI INVESTING LLC | ORION 15 INVESTING LLC | ORION 96 PROPERTIES LLC | ORION96 PROPERTIES LLC | TWINS ASSETS MANAGEMENT LLC</x:v>
      </x:c>
      <x:c r="O365" t="str">
        <x:v>18 WEST 48 STREET APT 6F, NY 10036 | 310 WEST 52 STREET APT 28A, NY 10019 | 310 WEST 52 STREET APT SU138, NY 10019 | 350 WEST 42 STREET APT 15C, NY 10036 | 350 WEST 42 STREET APT 15E, NY 10036 | 350 WEST 42 STREET APT 17A, NY 10036 | 350 WEST 42 STREET APT 23C, NY 10036 | 555 WEST 59 STREET APT 10D, NY 10019</x:v>
      </x:c>
      <x:c r="P365" t="n">
        <x:v>5</x:v>
      </x:c>
      <x:c r="Q365" s="15" t="n">
        <x:v>0.8333333333333334</x:v>
      </x:c>
      <x:c r="R365" t="n">
        <x:v>0</x:v>
      </x:c>
      <x:c r="S365" t="str">
        <x:v>Shared DOS address</x:v>
      </x:c>
      <x:c r="T365" t="str">
        <x:v>No</x:v>
      </x:c>
      <x:c r="U365" t="n">
        <x:v>100</x:v>
      </x:c>
      <x:c r="V365" t="str">
        <x:v>https://data.ny.gov/Economic-Development/Active-Corporations-Beginning-1800/n9v6-gdp6</x:v>
      </x:c>
    </x:row>
    <x:row r="366">
      <x:c r="A366" t="str">
        <x:v>DOS-6-065</x:v>
      </x:c>
      <x:c r="B366" t="str">
        <x:v>Not Mailed</x:v>
      </x:c>
      <x:c r="C366" s="55"/>
      <x:c r="D366" t="str">
        <x:v>No Response</x:v>
      </x:c>
      <x:c r="E366" t="str"/>
      <x:c r="F366" t="n">
        <x:v>6</x:v>
      </x:c>
      <x:c r="G366" t="str">
        <x:v>PROPERTY OWNER</x:v>
      </x:c>
      <x:c r="H366" t="str"/>
      <x:c r="I366" t="n">
        <x:v>0</x:v>
      </x:c>
      <x:c r="J366" t="str">
        <x:v>200 BROADWAY, BROOKLYN, NY, 11211</x:v>
      </x:c>
      <x:c r="K366" t="str">
        <x:v>DOS address corroborated by ACRIS</x:v>
      </x:c>
      <x:c r="L366" t="n">
        <x:v>6</x:v>
      </x:c>
      <x:c r="M366" t="n">
        <x:v>8</x:v>
      </x:c>
      <x:c r="N366" t="str">
        <x:v>1465 69 71 BUSHWICK AVE LLC | 1743 NORMAN LLC | 243 HARMAN STREET LLC | 348 HARLEM LLC | 443 HARMAN LLC | 804 BERGEN LLC</x:v>
      </x:c>
      <x:c r="O366" t="str">
        <x:v>1465 BUSHWICK AVENUE, NY 11207 | 1469 BUSHWICK AVENUE, NY 11207 | 1471 BUSHWICK AVENUE, NY 11207 | 1743 NORMAN STREET, NY 11385 | 243 HARMAN STREET, NY 11237 | 348 ST NICHOLAS AVENUE, NY 10027 | 443 HARMAN STREET, NY 11237 | 804 BERGEN STREET, NY 11238</x:v>
      </x:c>
      <x:c r="P366" t="n">
        <x:v>6</x:v>
      </x:c>
      <x:c r="Q366" s="15" t="n">
        <x:v>1</x:v>
      </x:c>
      <x:c r="R366" t="n">
        <x:v>3</x:v>
      </x:c>
      <x:c r="S366" t="str">
        <x:v>Strong DOS address corroboration</x:v>
      </x:c>
      <x:c r="T366" t="str">
        <x:v>No</x:v>
      </x:c>
      <x:c r="U366" t="n">
        <x:v>100</x:v>
      </x:c>
      <x:c r="V366" t="str">
        <x:v>https://data.ny.gov/Economic-Development/Active-Corporations-Beginning-1800/n9v6-gdp6</x:v>
      </x:c>
    </x:row>
    <x:row r="367">
      <x:c r="A367" t="str">
        <x:v>DOS-6-066</x:v>
      </x:c>
      <x:c r="B367" t="str">
        <x:v>Not Mailed</x:v>
      </x:c>
      <x:c r="C367" s="55"/>
      <x:c r="D367" t="str">
        <x:v>No Response</x:v>
      </x:c>
      <x:c r="E367" t="str"/>
      <x:c r="F367" t="n">
        <x:v>6</x:v>
      </x:c>
      <x:c r="G367" t="str">
        <x:v>PROPERTY OWNER</x:v>
      </x:c>
      <x:c r="H367" t="str"/>
      <x:c r="I367" t="n">
        <x:v>0</x:v>
      </x:c>
      <x:c r="J367" t="str">
        <x:v>2148-2150 BROADWAY, NEW YORK, NY, 10023, US</x:v>
      </x:c>
      <x:c r="K367" t="str">
        <x:v>ACRIS deed-party address</x:v>
      </x:c>
      <x:c r="L367" t="n">
        <x:v>6</x:v>
      </x:c>
      <x:c r="M367" t="n">
        <x:v>8</x:v>
      </x:c>
      <x:c r="N367" t="str">
        <x:v>2148 BROADWAY PH2B LLC | 2150 BROADWAY 5F LLC | 2150 BROADWAY 6E OWNERSHIP LLC | 2192 MILES LLC | GREENDAYS LLC | LAUREATE 5C LLC</x:v>
      </x:c>
      <x:c r="O367" t="str">
        <x:v>2148 BROADWAY APT 10BC, NY 10023 | 2148 BROADWAY APT 10G, NY 10023 | 2148 BROADWAY APT 5C, NY 10023 | 2148 BROADWAY APT 5F, NY 10023 | 2148 BROADWAY APT 6E, NY 10023 | 2148 BROADWAY APT PH2B, NY 10023 | 2148 BROADWAY APT SR5-3, NY 10023 | 2148 BROADWAY APT SR8-2, NY 10023</x:v>
      </x:c>
      <x:c r="P367" t="n">
        <x:v>5</x:v>
      </x:c>
      <x:c r="Q367" s="15" t="n">
        <x:v>0.8333333333333334</x:v>
      </x:c>
      <x:c r="R367" t="n">
        <x:v>0</x:v>
      </x:c>
      <x:c r="S367" t="str">
        <x:v>Active-name matches only</x:v>
      </x:c>
      <x:c r="T367" t="str">
        <x:v>No</x:v>
      </x:c>
      <x:c r="U367" t="n">
        <x:v>100</x:v>
      </x:c>
      <x:c r="V367" t="str">
        <x:v>https://data.ny.gov/Economic-Development/Active-Corporations-Beginning-1800/n9v6-gdp6</x:v>
      </x:c>
    </x:row>
    <x:row r="368">
      <x:c r="A368" t="str">
        <x:v>DOS-6-067</x:v>
      </x:c>
      <x:c r="B368" t="str">
        <x:v>Not Mailed</x:v>
      </x:c>
      <x:c r="C368" s="55"/>
      <x:c r="D368" t="str">
        <x:v>No Response</x:v>
      </x:c>
      <x:c r="E368" t="str"/>
      <x:c r="F368" t="n">
        <x:v>6</x:v>
      </x:c>
      <x:c r="G368" t="str">
        <x:v>PROPERTY OWNER</x:v>
      </x:c>
      <x:c r="H368" t="str">
        <x:v>JOSEPH KLEIN ESQ.</x:v>
      </x:c>
      <x:c r="I368" t="n">
        <x:v>1</x:v>
      </x:c>
      <x:c r="J368" t="str">
        <x:v>2161 81st Street, Brooklyn, NY, 11214</x:v>
      </x:c>
      <x:c r="K368" t="str">
        <x:v>DOS address corroborated by ACRIS</x:v>
      </x:c>
      <x:c r="L368" t="n">
        <x:v>6</x:v>
      </x:c>
      <x:c r="M368" t="n">
        <x:v>8</x:v>
      </x:c>
      <x:c r="N368" t="str">
        <x:v>2161 81ST STREET LLC | 6208 4TH AVENUE LLC | 6317 4TH AVENUE LLC | 6321 4TH AVENUE LLC | 823 65TH STREET LLC | ALVIN BERGER LLC</x:v>
      </x:c>
      <x:c r="O368" t="str">
        <x:v>1545 62 STREET, NY 11219 | 1559 62 STREET, NY 11219 | 1602 62 STREET, NY 11204 | 2161 81 STREET, NY 11214 | 6208 4 AVENUE, NY 11220 | 6317-6319 4 AVENUE, NY 11220 | 6321-6323 4 AVENUE, NY 11220 | 823-829 65 STREET, NY 11220</x:v>
      </x:c>
      <x:c r="P368" t="n">
        <x:v>6</x:v>
      </x:c>
      <x:c r="Q368" s="15" t="n">
        <x:v>1</x:v>
      </x:c>
      <x:c r="R368" t="n">
        <x:v>5</x:v>
      </x:c>
      <x:c r="S368" t="str">
        <x:v>Strong DOS address corroboration</x:v>
      </x:c>
      <x:c r="T368" t="str">
        <x:v>No</x:v>
      </x:c>
      <x:c r="U368" t="n">
        <x:v>100</x:v>
      </x:c>
      <x:c r="V368" t="str">
        <x:v>https://data.ny.gov/Economic-Development/Active-Corporations-Beginning-1800/n9v6-gdp6</x:v>
      </x:c>
    </x:row>
    <x:row r="369">
      <x:c r="A369" t="str">
        <x:v>DOS-6-068</x:v>
      </x:c>
      <x:c r="B369" t="str">
        <x:v>Not Mailed</x:v>
      </x:c>
      <x:c r="C369" s="55"/>
      <x:c r="D369" t="str">
        <x:v>No Response</x:v>
      </x:c>
      <x:c r="E369" t="str"/>
      <x:c r="F369" t="n">
        <x:v>6</x:v>
      </x:c>
      <x:c r="G369" t="str">
        <x:v>ABE ABBOUD</x:v>
      </x:c>
      <x:c r="H369" t="str">
        <x:v>ABE ABBOUD</x:v>
      </x:c>
      <x:c r="I369" t="n">
        <x:v>3</x:v>
      </x:c>
      <x:c r="J369" t="str">
        <x:v>323 WALL STREET, WEST LONG BRANCH, NJ, 07764</x:v>
      </x:c>
      <x:c r="K369" t="str">
        <x:v>DOS address corroborated by ACRIS</x:v>
      </x:c>
      <x:c r="L369" t="n">
        <x:v>6</x:v>
      </x:c>
      <x:c r="M369" t="n">
        <x:v>8</x:v>
      </x:c>
      <x:c r="N369" t="str">
        <x:v>136 79 ROOSEVELT AVENUE LLC | 136 80 ROOSEVELT AVENUE LLC | 22 32 31ST STREET LLC | 283 EAST 204TH STREET LLC | 37 66 JUNCTION BLVD LLC | 40 42 MAIN STREET QUEENS LLC</x:v>
      </x:c>
      <x:c r="O369" t="str">
        <x:v>136-79 ROOSEVELT AVENUE, NY 11354 | 136-80 ROOSEVELT AVENUE, NY 11354 | 22-32-22-36 31 STREET, NY 11105 | 283-299 EAST 204 STREET, NY 10467 | 29 STREET | 31 STREET, NY 11105 | 37-66 JUNCTION BOULEVARD, NY 11368 | 40-44 MAIN STREET, NY 11354</x:v>
      </x:c>
      <x:c r="P369" t="n">
        <x:v>6</x:v>
      </x:c>
      <x:c r="Q369" s="15" t="n">
        <x:v>1</x:v>
      </x:c>
      <x:c r="R369" t="n">
        <x:v>1</x:v>
      </x:c>
      <x:c r="S369" t="str">
        <x:v>Shared DOS address</x:v>
      </x:c>
      <x:c r="T369" t="str">
        <x:v>No</x:v>
      </x:c>
      <x:c r="U369" t="n">
        <x:v>100</x:v>
      </x:c>
      <x:c r="V369" t="str">
        <x:v>https://data.ny.gov/Economic-Development/Active-Corporations-Beginning-1800/n9v6-gdp6</x:v>
      </x:c>
    </x:row>
    <x:row r="370">
      <x:c r="A370" t="str">
        <x:v>DOS-6-069</x:v>
      </x:c>
      <x:c r="B370" t="str">
        <x:v>Not Mailed</x:v>
      </x:c>
      <x:c r="C370" s="55"/>
      <x:c r="D370" t="str">
        <x:v>No Response</x:v>
      </x:c>
      <x:c r="E370" t="str"/>
      <x:c r="F370" t="n">
        <x:v>6</x:v>
      </x:c>
      <x:c r="G370" t="str">
        <x:v>PROPERTY OWNER</x:v>
      </x:c>
      <x:c r="H370" t="str"/>
      <x:c r="I370" t="n">
        <x:v>0</x:v>
      </x:c>
      <x:c r="J370" t="str">
        <x:v>2270 STILLWELL AVE, BROOKLYN, NY, 11223</x:v>
      </x:c>
      <x:c r="K370" t="str">
        <x:v>DOS address corroborated by ACRIS</x:v>
      </x:c>
      <x:c r="L370" t="n">
        <x:v>6</x:v>
      </x:c>
      <x:c r="M370" t="n">
        <x:v>8</x:v>
      </x:c>
      <x:c r="N370" t="str">
        <x:v>2276 LLC | 2306 LLC | 2352 LLC | GCM LLC | NE LLC | STILLWELL LLC</x:v>
      </x:c>
      <x:c r="O370" t="str">
        <x:v>1944 BAY RIDGE PARKWAY, NY 11204 | 2270-2274 STILLWELL AVENUE, NY 11223 | 2278 STILLWELL AVENUE, NY 11223 | 2282 STILLWELL AVENUE, NY 11223 | 2300 STILLWELL AVENUE, NY 11223 | 2348 STILLWELL AVENUE, NY 11223 | 2352 STILLWELL AVENUE, NY 11223 | 7514 13 AVENUE, NY 11228</x:v>
      </x:c>
      <x:c r="P370" t="n">
        <x:v>6</x:v>
      </x:c>
      <x:c r="Q370" s="15" t="n">
        <x:v>1</x:v>
      </x:c>
      <x:c r="R370" t="n">
        <x:v>5</x:v>
      </x:c>
      <x:c r="S370" t="str">
        <x:v>Strong DOS address corroboration</x:v>
      </x:c>
      <x:c r="T370" t="str">
        <x:v>No</x:v>
      </x:c>
      <x:c r="U370" t="n">
        <x:v>100</x:v>
      </x:c>
      <x:c r="V370" t="str">
        <x:v>https://data.ny.gov/Economic-Development/Active-Corporations-Beginning-1800/n9v6-gdp6</x:v>
      </x:c>
    </x:row>
    <x:row r="371">
      <x:c r="A371" t="str">
        <x:v>DOS-6-070</x:v>
      </x:c>
      <x:c r="B371" t="str">
        <x:v>Not Mailed</x:v>
      </x:c>
      <x:c r="C371" s="55"/>
      <x:c r="D371" t="str">
        <x:v>No Response</x:v>
      </x:c>
      <x:c r="E371" t="str"/>
      <x:c r="F371" t="n">
        <x:v>6</x:v>
      </x:c>
      <x:c r="G371" t="str">
        <x:v>PROPERTY OWNER</x:v>
      </x:c>
      <x:c r="H371" t="str">
        <x:v>TEODORA GOMEZ</x:v>
      </x:c>
      <x:c r="I371" t="n">
        <x:v>1</x:v>
      </x:c>
      <x:c r="J371" t="str">
        <x:v>251-04 86TH AVENUE, BELLEROSE, NY, 11426</x:v>
      </x:c>
      <x:c r="K371" t="str">
        <x:v>DOS address corroborated by ACRIS</x:v>
      </x:c>
      <x:c r="L371" t="n">
        <x:v>6</x:v>
      </x:c>
      <x:c r="M371" t="n">
        <x:v>8</x:v>
      </x:c>
      <x:c r="N371" t="str">
        <x:v>219 13 JAMAICA AVE LLC | 219 21 JAMAICA AVE LLC | 85 04 67TH AVE LLC | 94 09 JAMAICA AVE LLC | 94 84 SPRINGFIELD LLC | 95 09 JAMAICA AVE LLC</x:v>
      </x:c>
      <x:c r="O371" t="str">
        <x:v>219-13 JAMAICA AVENUE, NY 11428 | 219-21 JAMAICA AVENUE, NY 11428 | 85-04 67 AVENUE, NY 11374 | 94-09 JAMAICA AVENUE, NY 11421 | 94-11-94-13 JAMAICA AVENUE, NY 11421 | 94-84 SPRINGFIELD BLVD, NY 11428 | 95-09 JAMAICA AVENUE, NY 11421 | JAMAICA AVENUE, NY 11428</x:v>
      </x:c>
      <x:c r="P371" t="n">
        <x:v>6</x:v>
      </x:c>
      <x:c r="Q371" s="15" t="n">
        <x:v>1</x:v>
      </x:c>
      <x:c r="R371" t="n">
        <x:v>5</x:v>
      </x:c>
      <x:c r="S371" t="str">
        <x:v>Strong DOS address corroboration</x:v>
      </x:c>
      <x:c r="T371" t="str">
        <x:v>No</x:v>
      </x:c>
      <x:c r="U371" t="n">
        <x:v>100</x:v>
      </x:c>
      <x:c r="V371" t="str">
        <x:v>https://data.ny.gov/Economic-Development/Active-Corporations-Beginning-1800/n9v6-gdp6</x:v>
      </x:c>
    </x:row>
    <x:row r="372">
      <x:c r="A372" t="str">
        <x:v>DOS-6-071</x:v>
      </x:c>
      <x:c r="B372" t="str">
        <x:v>Not Mailed</x:v>
      </x:c>
      <x:c r="C372" s="55"/>
      <x:c r="D372" t="str">
        <x:v>No Response</x:v>
      </x:c>
      <x:c r="E372" t="str"/>
      <x:c r="F372" t="n">
        <x:v>6</x:v>
      </x:c>
      <x:c r="G372" t="str">
        <x:v>PROPERTY OWNER</x:v>
      </x:c>
      <x:c r="H372" t="str"/>
      <x:c r="I372" t="n">
        <x:v>0</x:v>
      </x:c>
      <x:c r="J372" t="str">
        <x:v>26 DELAVAN STREET, BROOKLYN, NY, 11231</x:v>
      </x:c>
      <x:c r="K372" t="str">
        <x:v>DOS address corroborated by ACRIS</x:v>
      </x:c>
      <x:c r="L372" t="n">
        <x:v>6</x:v>
      </x:c>
      <x:c r="M372" t="n">
        <x:v>8</x:v>
      </x:c>
      <x:c r="N372" t="str">
        <x:v>426 428 4TH AVE MANAGEMENT LLC | G A P REALTY GROUP LLC | GAP REALTY GROUP LLC | HELLENIC EQUITIES LLC | STILLWELL REALTY GROUP LLC | ZORIANO REALTY LLC</x:v>
      </x:c>
      <x:c r="O372" t="str">
        <x:v>26-34 DELAVAN STREET, NY 11231 | 2858 STILLWELL AVENUE, NY 11224 | 426 4 AVENUE, NY 11215 | 4502 3 AVENUE, NY 11220 | 4504 3 AVENUE, NY 11220 | 574 4 AVENUE APT 4, NY 11215 | 586 PRESIDENT STREET, NY 11215 | 598 PRESIDENT STREET, NY 11215</x:v>
      </x:c>
      <x:c r="P372" t="n">
        <x:v>5</x:v>
      </x:c>
      <x:c r="Q372" s="15" t="n">
        <x:v>0.8333333333333334</x:v>
      </x:c>
      <x:c r="R372" t="n">
        <x:v>4</x:v>
      </x:c>
      <x:c r="S372" t="str">
        <x:v>Strong DOS address corroboration</x:v>
      </x:c>
      <x:c r="T372" t="str">
        <x:v>No</x:v>
      </x:c>
      <x:c r="U372" t="n">
        <x:v>100</x:v>
      </x:c>
      <x:c r="V372" t="str">
        <x:v>https://data.ny.gov/Economic-Development/Active-Corporations-Beginning-1800/n9v6-gdp6</x:v>
      </x:c>
    </x:row>
    <x:row r="373">
      <x:c r="A373" t="str">
        <x:v>DOS-6-072</x:v>
      </x:c>
      <x:c r="B373" t="str">
        <x:v>Not Mailed</x:v>
      </x:c>
      <x:c r="C373" s="55"/>
      <x:c r="D373" t="str">
        <x:v>No Response</x:v>
      </x:c>
      <x:c r="E373" t="str"/>
      <x:c r="F373" t="n">
        <x:v>6</x:v>
      </x:c>
      <x:c r="G373" t="str">
        <x:v>DIMITRIOS GALANIS</x:v>
      </x:c>
      <x:c r="H373" t="str">
        <x:v>DIMITRIOS GALANIS</x:v>
      </x:c>
      <x:c r="I373" t="n">
        <x:v>2</x:v>
      </x:c>
      <x:c r="J373" t="str">
        <x:v>28-19 35TH STREET, ASTORIA, NY, 11103</x:v>
      </x:c>
      <x:c r="K373" t="str">
        <x:v>DOS address corroborated by ACRIS</x:v>
      </x:c>
      <x:c r="L373" t="n">
        <x:v>6</x:v>
      </x:c>
      <x:c r="M373" t="n">
        <x:v>8</x:v>
      </x:c>
      <x:c r="N373" t="str">
        <x:v>ASTORIAN EQUITIES LLC | ASTORIAN LLC | BLUE SKY EQUITIES LLC | GALANIS EQUITIES LLC | GALANIS PROPERTIES LLC | GALANIS REALTY LLC</x:v>
      </x:c>
      <x:c r="O373" t="str">
        <x:v>24-21 42 STREET, NY 11103 | 24-54 29 STREET, NY 11102 | 25-29 32 STREET, NY 11102 | 28-40 34 STREET, NY 11103 | 31-12 34 STREET, NY 11106 | 31-20 32 STREET, NY 11106 | 31-76 35 STREET, NY 11106 | 34-11 33 STREET, NY 11106</x:v>
      </x:c>
      <x:c r="P373" t="n">
        <x:v>4</x:v>
      </x:c>
      <x:c r="Q373" s="15" t="n">
        <x:v>0.6666666666666666</x:v>
      </x:c>
      <x:c r="R373" t="n">
        <x:v>4</x:v>
      </x:c>
      <x:c r="S373" t="str">
        <x:v>Strong DOS address corroboration</x:v>
      </x:c>
      <x:c r="T373" t="str">
        <x:v>No</x:v>
      </x:c>
      <x:c r="U373" t="n">
        <x:v>100</x:v>
      </x:c>
      <x:c r="V373" t="str">
        <x:v>https://data.ny.gov/Economic-Development/Active-Corporations-Beginning-1800/n9v6-gdp6</x:v>
      </x:c>
    </x:row>
    <x:row r="374">
      <x:c r="A374" t="str">
        <x:v>DOS-6-073</x:v>
      </x:c>
      <x:c r="B374" t="str">
        <x:v>Not Mailed</x:v>
      </x:c>
      <x:c r="C374" s="55"/>
      <x:c r="D374" t="str">
        <x:v>No Response</x:v>
      </x:c>
      <x:c r="E374" t="str"/>
      <x:c r="F374" t="n">
        <x:v>6</x:v>
      </x:c>
      <x:c r="G374" t="str">
        <x:v>PROPERTY OWNER</x:v>
      </x:c>
      <x:c r="H374" t="str"/>
      <x:c r="I374" t="n">
        <x:v>0</x:v>
      </x:c>
      <x:c r="J374" t="str">
        <x:v>280  NORTH CENTRAL PARK AVENUE, HARTSDALE, NY, 10530, US</x:v>
      </x:c>
      <x:c r="K374" t="str">
        <x:v>ACRIS deed-party address</x:v>
      </x:c>
      <x:c r="L374" t="n">
        <x:v>6</x:v>
      </x:c>
      <x:c r="M374" t="n">
        <x:v>8</x:v>
      </x:c>
      <x:c r="N374" t="str">
        <x:v>36 AND 37 REALTY LLC | 41 47 NICK LLC | 421 WEST 56TH LLC | 449 WEST 46 LLC | 494 HUDSON LLC | OCEANS 2 LLC</x:v>
      </x:c>
      <x:c r="O374" t="str">
        <x:v>2011 OCEAN AVENUE APT 76, NY 11230 | 2510 OCEAN PARKWAY APT 63, NY 11235 | 307 EAST 37 STREET, NY 10016 | 41-47 ST NICHOLAS TERRACE APT 72, NY 10027 | 421 WEST 56 STREET, NY 10019 | 449 WEST 46 STREET, NY 10036 | 494 HUDSON STREET, NY 10014 | 496 HUDSON STREET, NY 10014</x:v>
      </x:c>
      <x:c r="P374" t="n">
        <x:v>5</x:v>
      </x:c>
      <x:c r="Q374" s="15" t="n">
        <x:v>0.8333333333333334</x:v>
      </x:c>
      <x:c r="R374" t="n">
        <x:v>0</x:v>
      </x:c>
      <x:c r="S374" t="str">
        <x:v>Shared DOS address</x:v>
      </x:c>
      <x:c r="T374" t="str">
        <x:v>No</x:v>
      </x:c>
      <x:c r="U374" t="n">
        <x:v>100</x:v>
      </x:c>
      <x:c r="V374" t="str">
        <x:v>https://data.ny.gov/Economic-Development/Active-Corporations-Beginning-1800/n9v6-gdp6</x:v>
      </x:c>
    </x:row>
    <x:row r="375">
      <x:c r="A375" t="str">
        <x:v>DOS-6-074</x:v>
      </x:c>
      <x:c r="B375" t="str">
        <x:v>Not Mailed</x:v>
      </x:c>
      <x:c r="C375" s="55"/>
      <x:c r="D375" t="str">
        <x:v>No Response</x:v>
      </x:c>
      <x:c r="E375" t="str"/>
      <x:c r="F375" t="n">
        <x:v>6</x:v>
      </x:c>
      <x:c r="G375" t="str">
        <x:v>PROPERTY OWNER</x:v>
      </x:c>
      <x:c r="H375" t="str"/>
      <x:c r="I375" t="n">
        <x:v>0</x:v>
      </x:c>
      <x:c r="J375" t="str">
        <x:v>3050 PEACHTREE ROAD NW, SUITE 300, ATLANTA, GA, 30305, US</x:v>
      </x:c>
      <x:c r="K375" t="str">
        <x:v>ACRIS deed-party address</x:v>
      </x:c>
      <x:c r="L375" t="n">
        <x:v>6</x:v>
      </x:c>
      <x:c r="M375" t="n">
        <x:v>8</x:v>
      </x:c>
      <x:c r="N375" t="str">
        <x:v>SP HHF SUB BROOK LLC | SP HHF SUB BRUCKNER LLC | SP HHF SUB FORDHAM LLC | SP HHF SUB LONG ISLAND CITY LLC | SP HHF SUB RIDGEWOOD LLC | SP HHF SUB WEBSTER LLC</x:v>
      </x:c>
      <x:c r="O375" t="str">
        <x:v>112 BRUCKNER BOULEVARD, NY 10454 | 30-28 STARR AVENUE, NY 11101 | 301 WEST FORDHAM ROAD, NY 10468 | 305 WEST FORDHAM ROAD, NY 10468 | 4077 PARK AVENUE, NY 10457 | 48-05 METROPOLITAN AVENUE APT 2, NY 11385 | 979-989 BROOK AVENUE, NY 10451 | EAST 132 STREET, NY 10454</x:v>
      </x:c>
      <x:c r="P375" t="n">
        <x:v>6</x:v>
      </x:c>
      <x:c r="Q375" s="15" t="n">
        <x:v>1</x:v>
      </x:c>
      <x:c r="R375" t="n">
        <x:v>0</x:v>
      </x:c>
      <x:c r="S375" t="str">
        <x:v>Shared DOS address</x:v>
      </x:c>
      <x:c r="T375" t="str">
        <x:v>No</x:v>
      </x:c>
      <x:c r="U375" t="n">
        <x:v>100</x:v>
      </x:c>
      <x:c r="V375" t="str">
        <x:v>https://data.ny.gov/Economic-Development/Active-Corporations-Beginning-1800/n9v6-gdp6</x:v>
      </x:c>
    </x:row>
    <x:row r="376">
      <x:c r="A376" t="str">
        <x:v>DOS-6-075</x:v>
      </x:c>
      <x:c r="B376" t="str">
        <x:v>Not Mailed</x:v>
      </x:c>
      <x:c r="C376" s="55"/>
      <x:c r="D376" t="str">
        <x:v>No Response</x:v>
      </x:c>
      <x:c r="E376" t="str"/>
      <x:c r="F376" t="n">
        <x:v>6</x:v>
      </x:c>
      <x:c r="G376" t="str">
        <x:v>PROPERTY OWNER</x:v>
      </x:c>
      <x:c r="H376" t="str"/>
      <x:c r="I376" t="n">
        <x:v>0</x:v>
      </x:c>
      <x:c r="J376" t="str">
        <x:v>3397 EAST TREMONT AVENUE, BRONX, NY, 10461</x:v>
      </x:c>
      <x:c r="K376" t="str">
        <x:v>DOS address corroborated by ACRIS</x:v>
      </x:c>
      <x:c r="L376" t="n">
        <x:v>6</x:v>
      </x:c>
      <x:c r="M376" t="n">
        <x:v>8</x:v>
      </x:c>
      <x:c r="N376" t="str">
        <x:v>1049 GC REALTY LLC | 1876 ARTHUR AVE LLC | 3397 REALTY LLC | JONMARK REALTY GROUP LLC | KHALID 2290 LLC | NAT REALTY GROUP LLC</x:v>
      </x:c>
      <x:c r="O376" t="str">
        <x:v>1049 GRAND CONCOURSE, NY 10452 | 1876 ARTHUR AVENUE, NY 10457 | 2253 RYER AVENUE, NY 10457 | 2915 BRUCKNER BOULEVARD, NY 10461 | 3394-3396 EAST TREMONT AVENUE, NY 10461 | 3397 EAST TREMONT AVENUE, NY 10461 | 3399 EAST TREMONT AVENUE, NY 10461 | 611-625 EAST 183 STREET, NY 10458</x:v>
      </x:c>
      <x:c r="P376" t="n">
        <x:v>6</x:v>
      </x:c>
      <x:c r="Q376" s="15" t="n">
        <x:v>1</x:v>
      </x:c>
      <x:c r="R376" t="n">
        <x:v>6</x:v>
      </x:c>
      <x:c r="S376" t="str">
        <x:v>Strong DOS address corroboration</x:v>
      </x:c>
      <x:c r="T376" t="str">
        <x:v>No</x:v>
      </x:c>
      <x:c r="U376" t="n">
        <x:v>100</x:v>
      </x:c>
      <x:c r="V376" t="str">
        <x:v>https://data.ny.gov/Economic-Development/Active-Corporations-Beginning-1800/n9v6-gdp6</x:v>
      </x:c>
    </x:row>
    <x:row r="377">
      <x:c r="A377" t="str">
        <x:v>DOS-6-076</x:v>
      </x:c>
      <x:c r="B377" t="str">
        <x:v>Not Mailed</x:v>
      </x:c>
      <x:c r="C377" s="55"/>
      <x:c r="D377" t="str">
        <x:v>No Response</x:v>
      </x:c>
      <x:c r="E377" t="str"/>
      <x:c r="F377" t="n">
        <x:v>6</x:v>
      </x:c>
      <x:c r="G377" t="str">
        <x:v>PROPERTY OWNER</x:v>
      </x:c>
      <x:c r="H377" t="str">
        <x:v>CHAIM WALTER</x:v>
      </x:c>
      <x:c r="I377" t="n">
        <x:v>1</x:v>
      </x:c>
      <x:c r="J377" t="str">
        <x:v>420 BROADWAY, BROOKLYN, NY, 11211</x:v>
      </x:c>
      <x:c r="K377" t="str">
        <x:v>DOS address corroborated by ACRIS</x:v>
      </x:c>
      <x:c r="L377" t="n">
        <x:v>6</x:v>
      </x:c>
      <x:c r="M377" t="n">
        <x:v>8</x:v>
      </x:c>
      <x:c r="N377" t="str">
        <x:v>1162 BERGEN AVE LLC | 1176 NOSTRAND LLC | LIBERTY AVE MANAGEMENT LLC | MELLON MANAGEMENT LLC | YOOX HOLDING LLC | YYS INVESTORS LLC</x:v>
      </x:c>
      <x:c r="O377" t="str">
        <x:v>1162 BERGEN AVENUE, NY 11234 | 1176 NOSTRAND AVENUE, NY 11225 | 227-237 SCHENCK AVENUE, NY 11207 | 236 PULASKI STREET, NY 11206 | 462 LEXINGTON AVENUE, NY 11221 | 63 MALCOLM X BOULEVARD, NY 11221 | 89 HARRISON AVENUE APT 6, NY 11206 | 912 LAFAYETTE AVENUE, NY 11221</x:v>
      </x:c>
      <x:c r="P377" t="n">
        <x:v>6</x:v>
      </x:c>
      <x:c r="Q377" s="15" t="n">
        <x:v>1</x:v>
      </x:c>
      <x:c r="R377" t="n">
        <x:v>4</x:v>
      </x:c>
      <x:c r="S377" t="str">
        <x:v>Strong DOS address corroboration</x:v>
      </x:c>
      <x:c r="T377" t="str">
        <x:v>No</x:v>
      </x:c>
      <x:c r="U377" t="n">
        <x:v>100</x:v>
      </x:c>
      <x:c r="V377" t="str">
        <x:v>https://data.ny.gov/Economic-Development/Active-Corporations-Beginning-1800/n9v6-gdp6</x:v>
      </x:c>
    </x:row>
    <x:row r="378">
      <x:c r="A378" t="str">
        <x:v>DOS-6-077</x:v>
      </x:c>
      <x:c r="B378" t="str">
        <x:v>Not Mailed</x:v>
      </x:c>
      <x:c r="C378" s="55"/>
      <x:c r="D378" t="str">
        <x:v>No Response</x:v>
      </x:c>
      <x:c r="E378" t="str"/>
      <x:c r="F378" t="n">
        <x:v>6</x:v>
      </x:c>
      <x:c r="G378" t="str">
        <x:v>ATHENA VRETTOS</x:v>
      </x:c>
      <x:c r="H378" t="str">
        <x:v>ATHENA VRETTOS</x:v>
      </x:c>
      <x:c r="I378" t="n">
        <x:v>2</x:v>
      </x:c>
      <x:c r="J378" t="str">
        <x:v>44-12 43RD AVENUE, SUNNYSIDE, NY, 11104</x:v>
      </x:c>
      <x:c r="K378" t="str">
        <x:v>DOS address corroborated by ACRIS</x:v>
      </x:c>
      <x:c r="L378" t="n">
        <x:v>6</x:v>
      </x:c>
      <x:c r="M378" t="n">
        <x:v>8</x:v>
      </x:c>
      <x:c r="N378" t="str">
        <x:v>271 CHURCH REALTY LLC | 59 29 REALTY LLC | 72 E FIRST REALTY LLC | NIKIANI REALTY LLC | NV SIXTY STREET REALTY LLC | VRETTOS HOLDINGS LLC</x:v>
      </x:c>
      <x:c r="O378" t="str">
        <x:v>13 1 AVENUE APT 12, NY 10003 | 39-50 60 STREET, NY 11377 | 43-09 43 STREET, NY 11104 | 5-31 51 AVENUE, NY 11101 | 59-29 QUEENS BOULEVARD, NY 11377 | 72 EAST 1 STREET APT 11, NY 10003 | 90 FRANKLIN STREET APT A, NY 10013 | 90 FRANKLIN STREET APT B, NY 10013</x:v>
      </x:c>
      <x:c r="P378" t="n">
        <x:v>6</x:v>
      </x:c>
      <x:c r="Q378" s="15" t="n">
        <x:v>1</x:v>
      </x:c>
      <x:c r="R378" t="n">
        <x:v>6</x:v>
      </x:c>
      <x:c r="S378" t="str">
        <x:v>Strong DOS address corroboration</x:v>
      </x:c>
      <x:c r="T378" t="str">
        <x:v>No</x:v>
      </x:c>
      <x:c r="U378" t="n">
        <x:v>100</x:v>
      </x:c>
      <x:c r="V378" t="str">
        <x:v>https://data.ny.gov/Economic-Development/Active-Corporations-Beginning-1800/n9v6-gdp6</x:v>
      </x:c>
    </x:row>
    <x:row r="379">
      <x:c r="A379" t="str">
        <x:v>DOS-6-078</x:v>
      </x:c>
      <x:c r="B379" t="str">
        <x:v>Not Mailed</x:v>
      </x:c>
      <x:c r="C379" s="55"/>
      <x:c r="D379" t="str">
        <x:v>No Response</x:v>
      </x:c>
      <x:c r="E379" t="str"/>
      <x:c r="F379" t="n">
        <x:v>6</x:v>
      </x:c>
      <x:c r="G379" t="str">
        <x:v>PROPERTY OWNER</x:v>
      </x:c>
      <x:c r="H379" t="str"/>
      <x:c r="I379" t="n">
        <x:v>0</x:v>
      </x:c>
      <x:c r="J379" t="str">
        <x:v>443 4TH ST, BROOKLYN, NY, 11215</x:v>
      </x:c>
      <x:c r="K379" t="str">
        <x:v>DOS address corroborated by ACRIS</x:v>
      </x:c>
      <x:c r="L379" t="n">
        <x:v>6</x:v>
      </x:c>
      <x:c r="M379" t="n">
        <x:v>8</x:v>
      </x:c>
      <x:c r="N379" t="str">
        <x:v>HERKIMER 15 LLC | HERKIMER GARDENS LLC | MINOP 868 LLC | MINOP LLC | MINOP REALTY GROUP LLC | THE BAYSWATER PROPERTIES LLC</x:v>
      </x:c>
      <x:c r="O379" t="str">
        <x:v>15 HERKIMER PLACE, NY 11216 | 286A 16 STREET, NY 11215 | 36 HERKIMER PLACE, NY 11206 | 43 HERKIMER PLACE, NY 11216 | 621 CLASSON AVENUE, NY 11238 | 623 CLASSON AVENUE, NY 11238 | BERGEN STREET | CLASSON AVENUE, NY 11238</x:v>
      </x:c>
      <x:c r="P379" t="n">
        <x:v>6</x:v>
      </x:c>
      <x:c r="Q379" s="15" t="n">
        <x:v>1</x:v>
      </x:c>
      <x:c r="R379" t="n">
        <x:v>5</x:v>
      </x:c>
      <x:c r="S379" t="str">
        <x:v>Strong DOS address corroboration</x:v>
      </x:c>
      <x:c r="T379" t="str">
        <x:v>No</x:v>
      </x:c>
      <x:c r="U379" t="n">
        <x:v>100</x:v>
      </x:c>
      <x:c r="V379" t="str">
        <x:v>https://data.ny.gov/Economic-Development/Active-Corporations-Beginning-1800/n9v6-gdp6</x:v>
      </x:c>
    </x:row>
    <x:row r="380">
      <x:c r="A380" t="str">
        <x:v>DOS-6-079</x:v>
      </x:c>
      <x:c r="B380" t="str">
        <x:v>Not Mailed</x:v>
      </x:c>
      <x:c r="C380" s="55"/>
      <x:c r="D380" t="str">
        <x:v>No Response</x:v>
      </x:c>
      <x:c r="E380" t="str"/>
      <x:c r="F380" t="n">
        <x:v>6</x:v>
      </x:c>
      <x:c r="G380" t="str">
        <x:v>PROPERTY OWNER</x:v>
      </x:c>
      <x:c r="H380" t="str"/>
      <x:c r="I380" t="n">
        <x:v>0</x:v>
      </x:c>
      <x:c r="J380" t="str">
        <x:v>45 North Station Plaza, Great Neck, NY, 11021</x:v>
      </x:c>
      <x:c r="K380" t="str">
        <x:v>DOS address corroborated by ACRIS</x:v>
      </x:c>
      <x:c r="L380" t="n">
        <x:v>6</x:v>
      </x:c>
      <x:c r="M380" t="n">
        <x:v>8</x:v>
      </x:c>
      <x:c r="N380" t="str">
        <x:v>11245NY LLC | 1234 BROADWAY LLC | 376NY LLC | J AND M PROPERTY GROUP LLC | TEN60 LLC | WOODSIDE50 LLC</x:v>
      </x:c>
      <x:c r="O380" t="str">
        <x:v>1054-1064 PROSPECT AVENUE, NY 10459 | 112-45 ROOSEVELT AVENUE, NY 11368 | 1226-1238 BROADWAY, NY 10001 | 198-40 32 AVENUE, NY 11358 | 372 EAST 139 STREET, NY 10454 | 376 EAST 139 STREET, NY 10454 | 41-15 50 STREET, NY 11377 | EAST 139 STREET, NY 10454</x:v>
      </x:c>
      <x:c r="P380" t="n">
        <x:v>6</x:v>
      </x:c>
      <x:c r="Q380" s="15" t="n">
        <x:v>1</x:v>
      </x:c>
      <x:c r="R380" t="n">
        <x:v>3</x:v>
      </x:c>
      <x:c r="S380" t="str">
        <x:v>Strong DOS address corroboration</x:v>
      </x:c>
      <x:c r="T380" t="str">
        <x:v>No</x:v>
      </x:c>
      <x:c r="U380" t="n">
        <x:v>100</x:v>
      </x:c>
      <x:c r="V380" t="str">
        <x:v>https://data.ny.gov/Economic-Development/Active-Corporations-Beginning-1800/n9v6-gdp6</x:v>
      </x:c>
    </x:row>
    <x:row r="381">
      <x:c r="A381" t="str">
        <x:v>DOS-6-080</x:v>
      </x:c>
      <x:c r="B381" t="str">
        <x:v>Not Mailed</x:v>
      </x:c>
      <x:c r="C381" s="55"/>
      <x:c r="D381" t="str">
        <x:v>No Response</x:v>
      </x:c>
      <x:c r="E381" t="str"/>
      <x:c r="F381" t="n">
        <x:v>6</x:v>
      </x:c>
      <x:c r="G381" t="str">
        <x:v>PROPERTY OWNER</x:v>
      </x:c>
      <x:c r="H381" t="str"/>
      <x:c r="I381" t="n">
        <x:v>0</x:v>
      </x:c>
      <x:c r="J381" t="str">
        <x:v>58-41 63RD STREET, MASPETH, NY, 11378</x:v>
      </x:c>
      <x:c r="K381" t="str">
        <x:v>DOS address corroborated by ACRIS</x:v>
      </x:c>
      <x:c r="L381" t="n">
        <x:v>6</x:v>
      </x:c>
      <x:c r="M381" t="n">
        <x:v>8</x:v>
      </x:c>
      <x:c r="N381" t="str">
        <x:v>105 19 METROPOLITAN AVENUE REALTY LLC | 105 22 METROPOLITAN AVENUE REALTY LLC | 105 25 METROPOLITAN AVENUE REALTY LLC | 105 27 METROPOLITAN AVENUE REALTY LLC | BRONTE NORTH LLC | BRONTE REALTY LLC</x:v>
      </x:c>
      <x:c r="O381" t="str">
        <x:v>105-19 METROPOLITAN AVENUE, NY 11375 | 105-22 METROPOLITAN AVENUE, NY 11375 | 105-25 METROPOLITAN AVENUE, NY 11375 | 105-27 METROPOLITAN AVENUE, NY 11375 | 64-14 GRAND AVENUE, NY 11378 | 64-16 GRAND AVENUE, NY 11378 | 64-18 FLUSHING AVENUE, NY 11378 | 64-22 FLUSHING AVENUE, NY 11378</x:v>
      </x:c>
      <x:c r="P381" t="n">
        <x:v>6</x:v>
      </x:c>
      <x:c r="Q381" s="15" t="n">
        <x:v>1</x:v>
      </x:c>
      <x:c r="R381" t="n">
        <x:v>6</x:v>
      </x:c>
      <x:c r="S381" t="str">
        <x:v>Strong DOS address corroboration</x:v>
      </x:c>
      <x:c r="T381" t="str">
        <x:v>No</x:v>
      </x:c>
      <x:c r="U381" t="n">
        <x:v>100</x:v>
      </x:c>
      <x:c r="V381" t="str">
        <x:v>https://data.ny.gov/Economic-Development/Active-Corporations-Beginning-1800/n9v6-gdp6</x:v>
      </x:c>
    </x:row>
    <x:row r="382">
      <x:c r="A382" t="str">
        <x:v>DOS-6-081</x:v>
      </x:c>
      <x:c r="B382" t="str">
        <x:v>Not Mailed</x:v>
      </x:c>
      <x:c r="C382" s="55"/>
      <x:c r="D382" t="str">
        <x:v>No Response</x:v>
      </x:c>
      <x:c r="E382" t="str"/>
      <x:c r="F382" t="n">
        <x:v>6</x:v>
      </x:c>
      <x:c r="G382" t="str">
        <x:v>PROPERTY OWNER</x:v>
      </x:c>
      <x:c r="H382" t="str"/>
      <x:c r="I382" t="n">
        <x:v>0</x:v>
      </x:c>
      <x:c r="J382" t="str">
        <x:v>60 COLUMBUS CIRCLE, NEW YORK, NY, 10023, US</x:v>
      </x:c>
      <x:c r="K382" t="str">
        <x:v>ACRIS deed-party address</x:v>
      </x:c>
      <x:c r="L382" t="n">
        <x:v>6</x:v>
      </x:c>
      <x:c r="M382" t="n">
        <x:v>8</x:v>
      </x:c>
      <x:c r="N382" t="str">
        <x:v>519 WEST 27TH ASSOCIATES LLC | CARNEGIE PARK COMMERCIAL LLC | CARNEGIEL PARK COMMERCIAL LLC | CARNEIGE PARK COMMERCIAL LLC | SUPERIOR INK GARAGE LLC | YUKON HOLDINGS LLC</x:v>
      </x:c>
      <x:c r="O382" t="str">
        <x:v>200 EAST 94 STREET APT COM 1, NY 10128 | 200 EAST 94 STREET APT COM 2, NY 10128 | 200 EAST 94 STREET APT GAR, NY 10128 | 200 EAST 94 STREET APT TEL, NY 10128 | 400 WEST 12 STREET APT CU, NY 10014 | 517-519 WEST 27 STREET, NY 10001 | 520 WEST 28 STREET APT 12, NY 10001 | 553 WEST 30 STREET APT 39B, NY 10001</x:v>
      </x:c>
      <x:c r="P382" t="n">
        <x:v>3</x:v>
      </x:c>
      <x:c r="Q382" s="15" t="n">
        <x:v>0.5</x:v>
      </x:c>
      <x:c r="R382" t="n">
        <x:v>0</x:v>
      </x:c>
      <x:c r="S382" t="str">
        <x:v>Shared DOS address</x:v>
      </x:c>
      <x:c r="T382" t="str">
        <x:v>No</x:v>
      </x:c>
      <x:c r="U382" t="n">
        <x:v>100</x:v>
      </x:c>
      <x:c r="V382" t="str">
        <x:v>https://data.ny.gov/Economic-Development/Active-Corporations-Beginning-1800/n9v6-gdp6</x:v>
      </x:c>
    </x:row>
    <x:row r="383">
      <x:c r="A383" t="str">
        <x:v>DOS-6-082</x:v>
      </x:c>
      <x:c r="B383" t="str">
        <x:v>Not Mailed</x:v>
      </x:c>
      <x:c r="C383" s="55"/>
      <x:c r="D383" t="str">
        <x:v>No Response</x:v>
      </x:c>
      <x:c r="E383" t="str"/>
      <x:c r="F383" t="n">
        <x:v>6</x:v>
      </x:c>
      <x:c r="G383" t="str">
        <x:v>PROPERTY OWNER</x:v>
      </x:c>
      <x:c r="H383" t="str"/>
      <x:c r="I383" t="n">
        <x:v>0</x:v>
      </x:c>
      <x:c r="J383" t="str">
        <x:v>670 Myrtle Ave Ste 6449, Brooklyn, NY, 11205</x:v>
      </x:c>
      <x:c r="K383" t="str">
        <x:v>DOS address corroborated by ACRIS</x:v>
      </x:c>
      <x:c r="L383" t="n">
        <x:v>6</x:v>
      </x:c>
      <x:c r="M383" t="n">
        <x:v>8</x:v>
      </x:c>
      <x:c r="N383" t="str">
        <x:v>1139 RESIDENTS LLC | 1641 MELVILLE LLC | 457 459 RESIDENTS LLC | 650 EAST 229TH RESIDENTS LLC | BEAVER RESIDENTS LLC | CONDO RESIDENTS LLC</x:v>
      </x:c>
      <x:c r="O383" t="str">
        <x:v>106 MARCUS GARVEY BLVD, NY 11206 | 1139 VYSE AVENUE, NY 10459 | 1641 MELVILLE STREET, NY 10460 | 457 EAST 178 STREET, NY 10457 | 459 EAST 178 STREET, NY 10457 | 650 EAST 229 STREET, NY 10466 | 70 BEAVER STREET, NY 11206 | 709 WILLOUGHBY AVENUE, NY 11206</x:v>
      </x:c>
      <x:c r="P383" t="n">
        <x:v>6</x:v>
      </x:c>
      <x:c r="Q383" s="15" t="n">
        <x:v>1</x:v>
      </x:c>
      <x:c r="R383" t="n">
        <x:v>1</x:v>
      </x:c>
      <x:c r="S383" t="str">
        <x:v>Shared DOS address</x:v>
      </x:c>
      <x:c r="T383" t="str">
        <x:v>No</x:v>
      </x:c>
      <x:c r="U383" t="n">
        <x:v>100</x:v>
      </x:c>
      <x:c r="V383" t="str">
        <x:v>https://data.ny.gov/Economic-Development/Active-Corporations-Beginning-1800/n9v6-gdp6</x:v>
      </x:c>
    </x:row>
    <x:row r="384">
      <x:c r="A384" t="str">
        <x:v>DOS-6-083</x:v>
      </x:c>
      <x:c r="B384" t="str">
        <x:v>Not Mailed</x:v>
      </x:c>
      <x:c r="C384" s="55"/>
      <x:c r="D384" t="str">
        <x:v>No Response</x:v>
      </x:c>
      <x:c r="E384" t="str"/>
      <x:c r="F384" t="n">
        <x:v>6</x:v>
      </x:c>
      <x:c r="G384" t="str">
        <x:v>PROPERTY OWNER</x:v>
      </x:c>
      <x:c r="H384" t="str">
        <x:v>JOHN COAKLEY</x:v>
      </x:c>
      <x:c r="I384" t="n">
        <x:v>1</x:v>
      </x:c>
      <x:c r="J384" t="str">
        <x:v>721 EAST 136TH STREET, BRONX, NY, 10454</x:v>
      </x:c>
      <x:c r="K384" t="str">
        <x:v>DOS address corroborated by ACRIS</x:v>
      </x:c>
      <x:c r="L384" t="n">
        <x:v>6</x:v>
      </x:c>
      <x:c r="M384" t="n">
        <x:v>8</x:v>
      </x:c>
      <x:c r="N384" t="str">
        <x:v>1142 EAST 156TH STREET REALTY LLC | 715 EAST 136TH REALTY LLC | 735 EAST 136TH STREET LLC | 739 EAST 136TH STREET LLC | 745 EAST 136TH STREET LLC | 767 EAST 137TH STREET REALTY LLC</x:v>
      </x:c>
      <x:c r="O384" t="str">
        <x:v>1140 EAST 156 STREET, NY 10474 | 1142 EAST 156 STREET, NY 10474 | 715 EAST 136 STREET, NY 10454 | 734 EAST 137 STREET, NY 10454 | 735 EAST 136 STREET, NY 10454 | 739 EAST 136 STREET, NY 10454 | 745 EAST 136 STREET, NY 10454 | 767 EAST 137 STREET, NY 10454</x:v>
      </x:c>
      <x:c r="P384" t="n">
        <x:v>5</x:v>
      </x:c>
      <x:c r="Q384" s="15" t="n">
        <x:v>0.8333333333333334</x:v>
      </x:c>
      <x:c r="R384" t="n">
        <x:v>5</x:v>
      </x:c>
      <x:c r="S384" t="str">
        <x:v>Strong DOS address corroboration</x:v>
      </x:c>
      <x:c r="T384" t="str">
        <x:v>No</x:v>
      </x:c>
      <x:c r="U384" t="n">
        <x:v>100</x:v>
      </x:c>
      <x:c r="V384" t="str">
        <x:v>https://data.ny.gov/Economic-Development/Active-Corporations-Beginning-1800/n9v6-gdp6</x:v>
      </x:c>
    </x:row>
    <x:row r="385">
      <x:c r="A385" t="str">
        <x:v>DOS-6-084</x:v>
      </x:c>
      <x:c r="B385" t="str">
        <x:v>Not Mailed</x:v>
      </x:c>
      <x:c r="C385" s="55"/>
      <x:c r="D385" t="str">
        <x:v>No Response</x:v>
      </x:c>
      <x:c r="E385" t="str"/>
      <x:c r="F385" t="n">
        <x:v>6</x:v>
      </x:c>
      <x:c r="G385" t="str">
        <x:v>PROPERTY OWNER</x:v>
      </x:c>
      <x:c r="H385" t="str">
        <x:v>MARIO PRESTIGIACOMO</x:v>
      </x:c>
      <x:c r="I385" t="n">
        <x:v>1</x:v>
      </x:c>
      <x:c r="J385" t="str">
        <x:v>8 DOUGLAS DRIVE, HOLMDEL, NJ, 07733, US</x:v>
      </x:c>
      <x:c r="K385" t="str">
        <x:v>ACRIS deed-party address</x:v>
      </x:c>
      <x:c r="L385" t="n">
        <x:v>6</x:v>
      </x:c>
      <x:c r="M385" t="n">
        <x:v>8</x:v>
      </x:c>
      <x:c r="N385" t="str">
        <x:v>306 REALTY MANAGEMENT LLC | 3119 FT HAMILTON HOLDINGS LLC | CANOLI STRONGHOLD LLC | MPJM CRUSH HOLDINGS LLC | PRIMO HOLDINGS LLC | RI GREENWOOD HOUSE LLC</x:v>
      </x:c>
      <x:c r="O385" t="str">
        <x:v>1121 BERGEN STREET, NY 11216 | 139-76 35 AVENUE APT 19, NY 11354 | 306 BOND STREET, NY 11231 | 3119 FT HAMILTON PARKWAY, NY 11218 | 395 VAN BRUNT STREET, NY 11231 | 531 CLINTON STREET APT 200, NY 11231 | 87-12 GRAND AVENUE APT GAR3, NY 11373</x:v>
      </x:c>
      <x:c r="P385" t="n">
        <x:v>3</x:v>
      </x:c>
      <x:c r="Q385" s="15" t="n">
        <x:v>0.5</x:v>
      </x:c>
      <x:c r="R385" t="n">
        <x:v>1</x:v>
      </x:c>
      <x:c r="S385" t="str">
        <x:v>Active-name matches only</x:v>
      </x:c>
      <x:c r="T385" t="str">
        <x:v>No</x:v>
      </x:c>
      <x:c r="U385" t="n">
        <x:v>100</x:v>
      </x:c>
      <x:c r="V385" t="str">
        <x:v>https://data.ny.gov/Economic-Development/Active-Corporations-Beginning-1800/n9v6-gdp6</x:v>
      </x:c>
    </x:row>
    <x:row r="386">
      <x:c r="A386" t="str">
        <x:v>DOS-6-085</x:v>
      </x:c>
      <x:c r="B386" t="str">
        <x:v>Not Mailed</x:v>
      </x:c>
      <x:c r="C386" s="55"/>
      <x:c r="D386" t="str">
        <x:v>No Response</x:v>
      </x:c>
      <x:c r="E386" t="str"/>
      <x:c r="F386" t="n">
        <x:v>6</x:v>
      </x:c>
      <x:c r="G386" t="str">
        <x:v>PROPERTY OWNER</x:v>
      </x:c>
      <x:c r="H386" t="str"/>
      <x:c r="I386" t="n">
        <x:v>0</x:v>
      </x:c>
      <x:c r="J386" t="str">
        <x:v>P.O. BOX 150, MONSEY, NY, 10952, US</x:v>
      </x:c>
      <x:c r="K386" t="str">
        <x:v>ACRIS deed-party address</x:v>
      </x:c>
      <x:c r="L386" t="n">
        <x:v>6</x:v>
      </x:c>
      <x:c r="M386" t="n">
        <x:v>8</x:v>
      </x:c>
      <x:c r="N386" t="str">
        <x:v>1165 MORRIS TOWERS LLC | 2205 WALTON TOWERS LLC | 3573 DEKALB REALTY LLC | MARO REALTY LLC | MORRIS TOWERS LLC | TIEBOUT REALTY LLC</x:v>
      </x:c>
      <x:c r="O386" t="str">
        <x:v>1165 MORRIS AVENUE, NY 10456 | 1991 UNIVERSITY AVENUE, NY 10453 | 2205 WALTON AVENUE, NY 10453 | 2295 MORRIS AVENUE, NY 10468 | 2301 MORRIS AVENUE, NY 10468 | 2307 MORRIS AVENUE, NY 10468 | 2463 TIEBOUT AVENUE, NY 10458 | 3573 DEKALB AVENUE, NY 10467</x:v>
      </x:c>
      <x:c r="P386" t="n">
        <x:v>6</x:v>
      </x:c>
      <x:c r="Q386" s="15" t="n">
        <x:v>1</x:v>
      </x:c>
      <x:c r="R386" t="n">
        <x:v>0</x:v>
      </x:c>
      <x:c r="S386" t="str">
        <x:v>Shared DOS address</x:v>
      </x:c>
      <x:c r="T386" t="str">
        <x:v>No</x:v>
      </x:c>
      <x:c r="U386" t="n">
        <x:v>100</x:v>
      </x:c>
      <x:c r="V386" t="str">
        <x:v>https://data.ny.gov/Economic-Development/Active-Corporations-Beginning-1800/n9v6-gdp6</x:v>
      </x:c>
    </x:row>
    <x:row r="387">
      <x:c r="A387" t="str">
        <x:v>DOS-6-086</x:v>
      </x:c>
      <x:c r="B387" t="str">
        <x:v>Not Mailed</x:v>
      </x:c>
      <x:c r="C387" s="55"/>
      <x:c r="D387" t="str">
        <x:v>No Response</x:v>
      </x:c>
      <x:c r="E387" t="str"/>
      <x:c r="F387" t="n">
        <x:v>6</x:v>
      </x:c>
      <x:c r="G387" t="str">
        <x:v>PROPERTY OWNER</x:v>
      </x:c>
      <x:c r="H387" t="str"/>
      <x:c r="I387" t="n">
        <x:v>0</x:v>
      </x:c>
      <x:c r="J387" t="str">
        <x:v>PO Box 234550, Great Neck, NY, 11023</x:v>
      </x:c>
      <x:c r="K387" t="str">
        <x:v>DOS address corroborated by ACRIS</x:v>
      </x:c>
      <x:c r="L387" t="n">
        <x:v>6</x:v>
      </x:c>
      <x:c r="M387" t="n">
        <x:v>8</x:v>
      </x:c>
      <x:c r="N387" t="str">
        <x:v>1333 INWOOD AVE LLC | 24 20 PARSONS BLVD LLC | 308 312 WEST 36 ST LLC | 647 651 ELTON AVE JV LLC | CROMWELL PLG LLC | ONE PLAZA LLC</x:v>
      </x:c>
      <x:c r="O387" t="str">
        <x:v>1333 INWOOD AVENUE, NY 10452 | 1366-1368 CROMWELL AVENUE, NY 10452 | 24-20 PARSONS BOULEVARD, NY 11357 | 310 WEST 36 STREET, NY 10018 | 346-347 CONEY ISLAND AVENUE APT PARKG, NY 11218 | 428 EAST 153 STREET, NY 10455 | 430 EAST 153 STREET, NY 10455 | 647 ELTON AVENUE, NY 10455</x:v>
      </x:c>
      <x:c r="P387" t="n">
        <x:v>6</x:v>
      </x:c>
      <x:c r="Q387" s="15" t="n">
        <x:v>1</x:v>
      </x:c>
      <x:c r="R387" t="n">
        <x:v>3</x:v>
      </x:c>
      <x:c r="S387" t="str">
        <x:v>Strong DOS address corroboration</x:v>
      </x:c>
      <x:c r="T387" t="str">
        <x:v>No</x:v>
      </x:c>
      <x:c r="U387" t="n">
        <x:v>100</x:v>
      </x:c>
      <x:c r="V387" t="str">
        <x:v>https://data.ny.gov/Economic-Development/Active-Corporations-Beginning-1800/n9v6-gdp6</x:v>
      </x:c>
    </x:row>
    <x:row r="388">
      <x:c r="A388" t="str">
        <x:v>DOS-6-087</x:v>
      </x:c>
      <x:c r="B388" t="str">
        <x:v>Not Mailed</x:v>
      </x:c>
      <x:c r="C388" s="55"/>
      <x:c r="D388" t="str">
        <x:v>No Response</x:v>
      </x:c>
      <x:c r="E388" t="str"/>
      <x:c r="F388" t="n">
        <x:v>6</x:v>
      </x:c>
      <x:c r="G388" t="str">
        <x:v>PROPERTY OWNER</x:v>
      </x:c>
      <x:c r="H388" t="str"/>
      <x:c r="I388" t="n">
        <x:v>0</x:v>
      </x:c>
      <x:c r="J388" t="str">
        <x:v>101-24 99TH ST, OZONE PARK, NY, 11416</x:v>
      </x:c>
      <x:c r="K388" t="str">
        <x:v>DOS address corroborated by ACRIS</x:v>
      </x:c>
      <x:c r="L388" t="n">
        <x:v>6</x:v>
      </x:c>
      <x:c r="M388" t="n">
        <x:v>7</x:v>
      </x:c>
      <x:c r="N388" t="str">
        <x:v>101 22 99TH REALTY LLC | 101 24 99TH REALTY LLC | 103 03 REALTY LLC | 162 23 91 REALTY LLC | 64 33 REALTY LLC | 64 35 REALTY LLC</x:v>
      </x:c>
      <x:c r="O388" t="str">
        <x:v>101-22 99 STREET, NY 11416 | 101-24 99 STREET, NY 11416 | 103-03 101 AVENUE, NY 11416 | 162-23 91 STREET, NY 11414 | 64-33 COOPER AVENUE, NY 11385 | 64-35 COOPER AVENUE, NY 11385 | 91 STREET, NY 11414</x:v>
      </x:c>
      <x:c r="P388" t="n">
        <x:v>6</x:v>
      </x:c>
      <x:c r="Q388" s="15" t="n">
        <x:v>1</x:v>
      </x:c>
      <x:c r="R388" t="n">
        <x:v>1</x:v>
      </x:c>
      <x:c r="S388" t="str">
        <x:v>Shared DOS address</x:v>
      </x:c>
      <x:c r="T388" t="str">
        <x:v>No</x:v>
      </x:c>
      <x:c r="U388" t="n">
        <x:v>100</x:v>
      </x:c>
      <x:c r="V388" t="str">
        <x:v>https://data.ny.gov/Economic-Development/Active-Corporations-Beginning-1800/n9v6-gdp6</x:v>
      </x:c>
    </x:row>
    <x:row r="389">
      <x:c r="A389" t="str">
        <x:v>DOS-6-088</x:v>
      </x:c>
      <x:c r="B389" t="str">
        <x:v>Not Mailed</x:v>
      </x:c>
      <x:c r="C389" s="55"/>
      <x:c r="D389" t="str">
        <x:v>No Response</x:v>
      </x:c>
      <x:c r="E389" t="str"/>
      <x:c r="F389" t="n">
        <x:v>6</x:v>
      </x:c>
      <x:c r="G389" t="str">
        <x:v>PROPERTY OWNER</x:v>
      </x:c>
      <x:c r="H389" t="str"/>
      <x:c r="I389" t="n">
        <x:v>0</x:v>
      </x:c>
      <x:c r="J389" t="str">
        <x:v>108-18 QUEENS BOULEVARD, FOREST HILLS, NY, 11375, US</x:v>
      </x:c>
      <x:c r="K389" t="str">
        <x:v>ACRIS deed-party address</x:v>
      </x:c>
      <x:c r="L389" t="n">
        <x:v>6</x:v>
      </x:c>
      <x:c r="M389" t="n">
        <x:v>7</x:v>
      </x:c>
      <x:c r="N389" t="str">
        <x:v>CALIENDO PROPERTIES LLC | DITMAS PARK 2015 LLC | DITMAS PARK 307 LLC | HEIGHTS 177 LLC | HEIGHTS 612 LLC | HEIGHTS 660 LLC</x:v>
      </x:c>
      <x:c r="O389" t="str">
        <x:v>138-72 QUEENS BOULEVARD, NY 11435 | 2015 DORCHESTER ROAD APT 70, NY 11226 | 307 MARTENSE STREET APT 27, NY 11226 | 323 MARTENSE STREET APT 27, NY 11226 | 612 WEST 178 STREET, NY 10033 | 655 WEST 177 STREET, NY 10033 | 660 WEST 178 STREET, NY 10033</x:v>
      </x:c>
      <x:c r="P389" t="n">
        <x:v>6</x:v>
      </x:c>
      <x:c r="Q389" s="15" t="n">
        <x:v>1</x:v>
      </x:c>
      <x:c r="R389" t="n">
        <x:v>0</x:v>
      </x:c>
      <x:c r="S389" t="str">
        <x:v>Shared DOS address</x:v>
      </x:c>
      <x:c r="T389" t="str">
        <x:v>No</x:v>
      </x:c>
      <x:c r="U389" t="n">
        <x:v>100</x:v>
      </x:c>
      <x:c r="V389" t="str">
        <x:v>https://data.ny.gov/Economic-Development/Active-Corporations-Beginning-1800/n9v6-gdp6</x:v>
      </x:c>
    </x:row>
    <x:row r="390">
      <x:c r="A390" t="str">
        <x:v>DOS-6-089</x:v>
      </x:c>
      <x:c r="B390" t="str">
        <x:v>Not Mailed</x:v>
      </x:c>
      <x:c r="C390" s="55"/>
      <x:c r="D390" t="str">
        <x:v>No Response</x:v>
      </x:c>
      <x:c r="E390" t="str"/>
      <x:c r="F390" t="n">
        <x:v>6</x:v>
      </x:c>
      <x:c r="G390" t="str">
        <x:v>PROPERTY OWNER</x:v>
      </x:c>
      <x:c r="H390" t="str">
        <x:v>ASJER BABAZADEH</x:v>
      </x:c>
      <x:c r="I390" t="n">
        <x:v>1</x:v>
      </x:c>
      <x:c r="J390" t="str">
        <x:v>1104 East 21st Street, Brooklyn, NY, 11210</x:v>
      </x:c>
      <x:c r="K390" t="str">
        <x:v>DOS address corroborated by ACRIS</x:v>
      </x:c>
      <x:c r="L390" t="n">
        <x:v>6</x:v>
      </x:c>
      <x:c r="M390" t="n">
        <x:v>7</x:v>
      </x:c>
      <x:c r="N390" t="str">
        <x:v>188 ITANU LLC | 283 EAST 39 PROJECT LLC | 319 ITANU LLC | 88TH ITANU LLC | DOUGLASS BAPAZ LLC | PROSPECT BSD LLC</x:v>
      </x:c>
      <x:c r="O390" t="str">
        <x:v>152 EAST 88 STREET, NY 11236 | 283 EAST 39 STREET, NY 11203 | 319 VANDERBILT STREET, NY 11218 | 347 LINCOLN ROAD, NY 11225 | 354 PROSPECT PLACE, NY 11238 | 394 DOUGLASS STREET, NY 11217 | EAST 39 STREET</x:v>
      </x:c>
      <x:c r="P390" t="n">
        <x:v>6</x:v>
      </x:c>
      <x:c r="Q390" s="15" t="n">
        <x:v>1</x:v>
      </x:c>
      <x:c r="R390" t="n">
        <x:v>4</x:v>
      </x:c>
      <x:c r="S390" t="str">
        <x:v>Strong DOS address corroboration</x:v>
      </x:c>
      <x:c r="T390" t="str">
        <x:v>No</x:v>
      </x:c>
      <x:c r="U390" t="n">
        <x:v>100</x:v>
      </x:c>
      <x:c r="V390" t="str">
        <x:v>https://data.ny.gov/Economic-Development/Active-Corporations-Beginning-1800/n9v6-gdp6</x:v>
      </x:c>
    </x:row>
    <x:row r="391">
      <x:c r="A391" t="str">
        <x:v>DOS-6-090</x:v>
      </x:c>
      <x:c r="B391" t="str">
        <x:v>Not Mailed</x:v>
      </x:c>
      <x:c r="C391" s="55"/>
      <x:c r="D391" t="str">
        <x:v>No Response</x:v>
      </x:c>
      <x:c r="E391" t="str"/>
      <x:c r="F391" t="n">
        <x:v>6</x:v>
      </x:c>
      <x:c r="G391" t="str">
        <x:v>PROPERTY OWNER</x:v>
      </x:c>
      <x:c r="H391" t="str">
        <x:v>ESHAGH MALEKAN</x:v>
      </x:c>
      <x:c r="I391" t="n">
        <x:v>1</x:v>
      </x:c>
      <x:c r="J391" t="str">
        <x:v>111 EAST JERICHO TURNPIKE 2ND FLOOR, MINEOLA, NY, 11501, US</x:v>
      </x:c>
      <x:c r="K391" t="str">
        <x:v>ACRIS deed-party address</x:v>
      </x:c>
      <x:c r="L391" t="n">
        <x:v>6</x:v>
      </x:c>
      <x:c r="M391" t="n">
        <x:v>7</x:v>
      </x:c>
      <x:c r="N391" t="str">
        <x:v>107 20 GUY R BREWER LLC | 111 14 FB LLC | 138 63 FRANCIS LEWIS BLVD LLC | 195 53 JAMAICA AVENUE LLC | 4509 WHITE PLAIN LLC | 51 BELMONT HOLDING LLC</x:v>
      </x:c>
      <x:c r="O391" t="str">
        <x:v>107-20 GUY R BREWER BLVD, NY 11433 | 111-14 FARMERS BOULEVARD, NY 11412 | 138-63 FRANCIS LEWIS BLVD | 195-37 JAMAICA AVENUE, NY 11423 | 4509 WHITE PLAINS ROAD, NY 10470 | 4515 WHITE PLAINS ROAD, NY 10470 | 51 BELMONT AVENUE, NY 11212</x:v>
      </x:c>
      <x:c r="P391" t="n">
        <x:v>6</x:v>
      </x:c>
      <x:c r="Q391" s="15" t="n">
        <x:v>1</x:v>
      </x:c>
      <x:c r="R391" t="n">
        <x:v>1</x:v>
      </x:c>
      <x:c r="S391" t="str">
        <x:v>Active-name matches only</x:v>
      </x:c>
      <x:c r="T391" t="str">
        <x:v>No</x:v>
      </x:c>
      <x:c r="U391" t="n">
        <x:v>100</x:v>
      </x:c>
      <x:c r="V391" t="str">
        <x:v>https://data.ny.gov/Economic-Development/Active-Corporations-Beginning-1800/n9v6-gdp6</x:v>
      </x:c>
    </x:row>
    <x:row r="392">
      <x:c r="A392" t="str">
        <x:v>DOS-6-091</x:v>
      </x:c>
      <x:c r="B392" t="str">
        <x:v>Not Mailed</x:v>
      </x:c>
      <x:c r="C392" s="55"/>
      <x:c r="D392" t="str">
        <x:v>No Response</x:v>
      </x:c>
      <x:c r="E392" t="str"/>
      <x:c r="F392" t="n">
        <x:v>6</x:v>
      </x:c>
      <x:c r="G392" t="str">
        <x:v>JONATHAN HALPERIN</x:v>
      </x:c>
      <x:c r="H392" t="str">
        <x:v>JONATHAN HALPERIN</x:v>
      </x:c>
      <x:c r="I392" t="n">
        <x:v>4</x:v>
      </x:c>
      <x:c r="J392" t="str">
        <x:v>1144 ATLANTIC AVE., BALDWIN, NY, 11510</x:v>
      </x:c>
      <x:c r="K392" t="str">
        <x:v>DOS address corroborated by ACRIS</x:v>
      </x:c>
      <x:c r="L392" t="n">
        <x:v>6</x:v>
      </x:c>
      <x:c r="M392" t="n">
        <x:v>7</x:v>
      </x:c>
      <x:c r="N392" t="str">
        <x:v>101 17 ASTORIA BOULEVARD LLC | 1121 PENNSYLVANIA AVENUE LLC | 130 14 HILLSIDE AVENUE LLC | 144 34 FARMERS BOULEVARD LLC | 42 36 NORTHERN BLVD LLC | 91 02 SOUTH CONDUIT AVENUE LLC</x:v>
      </x:c>
      <x:c r="O392" t="str">
        <x:v>101-17 ASTORIA BOULEVARD, NY 11369 | 1121-1133 PENNSYLVANIA AVENUE, NY 11207 | 130-14 METROPOLITAN AVENUE, NY 11418 | 144-34 FARMERS BOULEVARD, NY 11434 | 42-36 NORTHERN BOULEVARD, NY 11101 | 91-02 SOUTH CONDUIT AVENUE, NY 11414 | ASTORIA BOULEVARD</x:v>
      </x:c>
      <x:c r="P392" t="n">
        <x:v>6</x:v>
      </x:c>
      <x:c r="Q392" s="15" t="n">
        <x:v>1</x:v>
      </x:c>
      <x:c r="R392" t="n">
        <x:v>6</x:v>
      </x:c>
      <x:c r="S392" t="str">
        <x:v>Strong DOS address corroboration</x:v>
      </x:c>
      <x:c r="T392" t="str">
        <x:v>No</x:v>
      </x:c>
      <x:c r="U392" t="n">
        <x:v>100</x:v>
      </x:c>
      <x:c r="V392" t="str">
        <x:v>https://data.ny.gov/Economic-Development/Active-Corporations-Beginning-1800/n9v6-gdp6</x:v>
      </x:c>
    </x:row>
    <x:row r="393">
      <x:c r="A393" t="str">
        <x:v>DOS-6-092</x:v>
      </x:c>
      <x:c r="B393" t="str">
        <x:v>Not Mailed</x:v>
      </x:c>
      <x:c r="C393" s="55"/>
      <x:c r="D393" t="str">
        <x:v>No Response</x:v>
      </x:c>
      <x:c r="E393" t="str"/>
      <x:c r="F393" t="n">
        <x:v>6</x:v>
      </x:c>
      <x:c r="G393" t="str">
        <x:v>PROPERTY OWNER</x:v>
      </x:c>
      <x:c r="H393" t="str"/>
      <x:c r="I393" t="n">
        <x:v>0</x:v>
      </x:c>
      <x:c r="J393" t="str">
        <x:v>12 EAST 44TH STREET, SUITE 700, NEW YORK, NY, 10017</x:v>
      </x:c>
      <x:c r="K393" t="str">
        <x:v>DOS address corroborated by ACRIS</x:v>
      </x:c>
      <x:c r="L393" t="n">
        <x:v>6</x:v>
      </x:c>
      <x:c r="M393" t="n">
        <x:v>7</x:v>
      </x:c>
      <x:c r="N393" t="str">
        <x:v>116 118 E 31ST PARTNERS LLC | 145 HENRY PARTNERS LLC | 15 19 WYCKOFF PARTNERS LLC | 187 BH PARTNERS LLC | 248 ELIZABETH PARTNERS LLC | 30 32 E 14TH OWNER LLC</x:v>
      </x:c>
      <x:c r="O393" t="str">
        <x:v>116 EAST 31 STREET, NY 10016 | 118 EAST 31 STREET, NY 10016 | 145-151 HENRY STREET APT 42, NY 11201 | 15-19 WYCKOFF STREET, NY 11201 | 187 BOND STREET APT 7, NY 11217 | 248 ELIZABETH STREET, NY 10012 | 30-32 EAST 14 STREET, NY 10003</x:v>
      </x:c>
      <x:c r="P393" t="n">
        <x:v>6</x:v>
      </x:c>
      <x:c r="Q393" s="15" t="n">
        <x:v>1</x:v>
      </x:c>
      <x:c r="R393" t="n">
        <x:v>5</x:v>
      </x:c>
      <x:c r="S393" t="str">
        <x:v>Strong DOS address corroboration</x:v>
      </x:c>
      <x:c r="T393" t="str">
        <x:v>No</x:v>
      </x:c>
      <x:c r="U393" t="n">
        <x:v>100</x:v>
      </x:c>
      <x:c r="V393" t="str">
        <x:v>https://data.ny.gov/Economic-Development/Active-Corporations-Beginning-1800/n9v6-gdp6</x:v>
      </x:c>
    </x:row>
    <x:row r="394">
      <x:c r="A394" t="str">
        <x:v>DOS-6-093</x:v>
      </x:c>
      <x:c r="B394" t="str">
        <x:v>Not Mailed</x:v>
      </x:c>
      <x:c r="C394" s="55"/>
      <x:c r="D394" t="str">
        <x:v>No Response</x:v>
      </x:c>
      <x:c r="E394" t="str"/>
      <x:c r="F394" t="n">
        <x:v>6</x:v>
      </x:c>
      <x:c r="G394" t="str">
        <x:v>PROPERTY OWNER</x:v>
      </x:c>
      <x:c r="H394" t="str">
        <x:v>C/O ABRAMS FENSTERMAN</x:v>
      </x:c>
      <x:c r="I394" t="n">
        <x:v>1</x:v>
      </x:c>
      <x:c r="J394" t="str">
        <x:v>128 44TH ST, BROOKLYN, NY, 11232</x:v>
      </x:c>
      <x:c r="K394" t="str">
        <x:v>DOS address corroborated by ACRIS</x:v>
      </x:c>
      <x:c r="L394" t="n">
        <x:v>6</x:v>
      </x:c>
      <x:c r="M394" t="n">
        <x:v>7</x:v>
      </x:c>
      <x:c r="N394" t="str">
        <x:v>193 22 GROUP LLC | 267 18TH ST LLC | 316 22ND UNIT 2B LLC | 4701 1ST LLC | 695 6TH AVE 2M LLC | BROOKLYN 1ST AVENUE LLC</x:v>
      </x:c>
      <x:c r="O394" t="str">
        <x:v>193 22 STREET, NY 11232 | 267 18 STREET, NY 11215 | 316 22 STREET APT 2B, NY 11215 | 4701 1 AVENUE, NY 11232 | 4711 1 AVENUE, NY 11232 | 695 6 AVENUE APT 2M, NY 11215 | 695 6 AVENUE APT 2N, NY 11215</x:v>
      </x:c>
      <x:c r="P394" t="n">
        <x:v>6</x:v>
      </x:c>
      <x:c r="Q394" s="15" t="n">
        <x:v>1</x:v>
      </x:c>
      <x:c r="R394" t="n">
        <x:v>5</x:v>
      </x:c>
      <x:c r="S394" t="str">
        <x:v>Strong DOS address corroboration</x:v>
      </x:c>
      <x:c r="T394" t="str">
        <x:v>No</x:v>
      </x:c>
      <x:c r="U394" t="n">
        <x:v>100</x:v>
      </x:c>
      <x:c r="V394" t="str">
        <x:v>https://data.ny.gov/Economic-Development/Active-Corporations-Beginning-1800/n9v6-gdp6</x:v>
      </x:c>
    </x:row>
    <x:row r="395">
      <x:c r="A395" t="str">
        <x:v>DOS-6-094</x:v>
      </x:c>
      <x:c r="B395" t="str">
        <x:v>Not Mailed</x:v>
      </x:c>
      <x:c r="C395" s="55"/>
      <x:c r="D395" t="str">
        <x:v>No Response</x:v>
      </x:c>
      <x:c r="E395" t="str"/>
      <x:c r="F395" t="n">
        <x:v>6</x:v>
      </x:c>
      <x:c r="G395" t="str">
        <x:v>PROPERTY OWNER</x:v>
      </x:c>
      <x:c r="H395" t="str"/>
      <x:c r="I395" t="n">
        <x:v>0</x:v>
      </x:c>
      <x:c r="J395" t="str">
        <x:v>130 LEE AVENUE SUITE #338, BROOKLYN, NY, 11211, US</x:v>
      </x:c>
      <x:c r="K395" t="str">
        <x:v>ACRIS deed-party address</x:v>
      </x:c>
      <x:c r="L395" t="n">
        <x:v>6</x:v>
      </x:c>
      <x:c r="M395" t="n">
        <x:v>7</x:v>
      </x:c>
      <x:c r="N395" t="str">
        <x:v>1494 NELSON LLC | 1547 COMMON LLC | 1975 CRESTON AVE LLC | 2639 DAVIDSON AVE LLC | 724 ELTON LLC | ZLB BRONX 1 LLC</x:v>
      </x:c>
      <x:c r="O395" t="str">
        <x:v>1494 NELSON AVENUE, NY 10452 | 1547 COMMONWEALTH AVENUE, NY 10460 | 1975 CRESTON AVENUE, NY 10453 | 1992 MORRIS AVENUE, NY 10453 | 2639 DAVIDSON AVENUE, NY 10468 | 467 EAST 155 STREET, NY 10455 | 724 ELTON AVENUE, NY 10455</x:v>
      </x:c>
      <x:c r="P395" t="n">
        <x:v>6</x:v>
      </x:c>
      <x:c r="Q395" s="15" t="n">
        <x:v>1</x:v>
      </x:c>
      <x:c r="R395" t="n">
        <x:v>0</x:v>
      </x:c>
      <x:c r="S395" t="str">
        <x:v>Shared DOS address</x:v>
      </x:c>
      <x:c r="T395" t="str">
        <x:v>No</x:v>
      </x:c>
      <x:c r="U395" t="n">
        <x:v>100</x:v>
      </x:c>
      <x:c r="V395" t="str">
        <x:v>https://data.ny.gov/Economic-Development/Active-Corporations-Beginning-1800/n9v6-gdp6</x:v>
      </x:c>
    </x:row>
    <x:row r="396">
      <x:c r="A396" t="str">
        <x:v>DOS-6-095</x:v>
      </x:c>
      <x:c r="B396" t="str">
        <x:v>Not Mailed</x:v>
      </x:c>
      <x:c r="C396" s="55"/>
      <x:c r="D396" t="str">
        <x:v>No Response</x:v>
      </x:c>
      <x:c r="E396" t="str"/>
      <x:c r="F396" t="n">
        <x:v>6</x:v>
      </x:c>
      <x:c r="G396" t="str">
        <x:v>PROPERTY OWNER</x:v>
      </x:c>
      <x:c r="H396" t="str"/>
      <x:c r="I396" t="n">
        <x:v>0</x:v>
      </x:c>
      <x:c r="J396" t="str">
        <x:v>1385 BROADWAY, FLOOR 16, NEW YORK, NY, 10018</x:v>
      </x:c>
      <x:c r="K396" t="str">
        <x:v>DOS address corroborated by ACRIS</x:v>
      </x:c>
      <x:c r="L396" t="n">
        <x:v>6</x:v>
      </x:c>
      <x:c r="M396" t="n">
        <x:v>7</x:v>
      </x:c>
      <x:c r="N396" t="str">
        <x:v>248 X ROAD LLC | ICER OF 255 WEST 121ST STREET LLC | ICER OF 415 WEST 150TH STREET LLC | LIONSON TOWER 32H LLC | TRUMP TOWER 62M LLC | WYCKOFF JEFFERSON LLC</x:v>
      </x:c>
      <x:c r="O396" t="str">
        <x:v>242 JEFFERSON STREET, NY 11237 | 248 AVENUE X, NY 11223 | 255 WEST 121 STREET, NY 10027 | 266 WYCKOFF AVENUE, NY 11237 | 415 WEST 150 STREET, NY 10031 | 721-725 5 AVENUE APT 32H, NY 10022 | 721-725 5 AVENUE APT 62M, NY 10022</x:v>
      </x:c>
      <x:c r="P396" t="n">
        <x:v>6</x:v>
      </x:c>
      <x:c r="Q396" s="15" t="n">
        <x:v>1</x:v>
      </x:c>
      <x:c r="R396" t="n">
        <x:v>6</x:v>
      </x:c>
      <x:c r="S396" t="str">
        <x:v>Strong DOS address corroboration</x:v>
      </x:c>
      <x:c r="T396" t="str">
        <x:v>No</x:v>
      </x:c>
      <x:c r="U396" t="n">
        <x:v>100</x:v>
      </x:c>
      <x:c r="V396" t="str">
        <x:v>https://data.ny.gov/Economic-Development/Active-Corporations-Beginning-1800/n9v6-gdp6</x:v>
      </x:c>
    </x:row>
    <x:row r="397">
      <x:c r="A397" t="str">
        <x:v>DOS-6-096</x:v>
      </x:c>
      <x:c r="B397" t="str">
        <x:v>Not Mailed</x:v>
      </x:c>
      <x:c r="C397" s="55"/>
      <x:c r="D397" t="str">
        <x:v>No Response</x:v>
      </x:c>
      <x:c r="E397" t="str"/>
      <x:c r="F397" t="n">
        <x:v>6</x:v>
      </x:c>
      <x:c r="G397" t="str">
        <x:v>ASHER SUSSMAN</x:v>
      </x:c>
      <x:c r="H397" t="str">
        <x:v>ASHER SUSSMAN</x:v>
      </x:c>
      <x:c r="I397" t="n">
        <x:v>2</x:v>
      </x:c>
      <x:c r="J397" t="str">
        <x:v>1648, 61 STREET 2ND FLOOR, BROOKLYN, NY, 11204</x:v>
      </x:c>
      <x:c r="K397" t="str">
        <x:v>DOS address corroborated by ACRIS</x:v>
      </x:c>
      <x:c r="L397" t="n">
        <x:v>6</x:v>
      </x:c>
      <x:c r="M397" t="n">
        <x:v>7</x:v>
      </x:c>
      <x:c r="N397" t="str">
        <x:v>2144 ATLANTIC LLC | 871 BERGEN STREET LLC | ASUS HOLDINGS LLC | AVENUE D PROPERTIES LLC | E96 REALTY LLC | HERZL REALTY LLC</x:v>
      </x:c>
      <x:c r="O397" t="str">
        <x:v>2144 ATLANTIC AVENUE, NY 11233 | 2714 AVENUE D APT 38, NY 11226 | 350 EAST 31 STREET, NY 11226 | 415 HERZL STREET, NY 11212 | 627 EAST 96 STREET, NY 11236 | 631 EAST 96 STREET, NY 11236 | 871 BERGEN STREET, NY 11238</x:v>
      </x:c>
      <x:c r="P397" t="n">
        <x:v>6</x:v>
      </x:c>
      <x:c r="Q397" s="15" t="n">
        <x:v>1</x:v>
      </x:c>
      <x:c r="R397" t="n">
        <x:v>1</x:v>
      </x:c>
      <x:c r="S397" t="str">
        <x:v>Shared DOS address</x:v>
      </x:c>
      <x:c r="T397" t="str">
        <x:v>No</x:v>
      </x:c>
      <x:c r="U397" t="n">
        <x:v>100</x:v>
      </x:c>
      <x:c r="V397" t="str">
        <x:v>https://data.ny.gov/Economic-Development/Active-Corporations-Beginning-1800/n9v6-gdp6</x:v>
      </x:c>
    </x:row>
    <x:row r="398">
      <x:c r="A398" t="str">
        <x:v>DOS-6-097</x:v>
      </x:c>
      <x:c r="B398" t="str">
        <x:v>Not Mailed</x:v>
      </x:c>
      <x:c r="C398" s="55"/>
      <x:c r="D398" t="str">
        <x:v>No Response</x:v>
      </x:c>
      <x:c r="E398" t="str"/>
      <x:c r="F398" t="n">
        <x:v>6</x:v>
      </x:c>
      <x:c r="G398" t="str">
        <x:v>PROPERTY OWNER</x:v>
      </x:c>
      <x:c r="H398" t="str"/>
      <x:c r="I398" t="n">
        <x:v>0</x:v>
      </x:c>
      <x:c r="J398" t="str">
        <x:v>151-08 6TH ROAD, WHITESTONE, NY, 11357</x:v>
      </x:c>
      <x:c r="K398" t="str">
        <x:v>DOS address corroborated by ACRIS</x:v>
      </x:c>
      <x:c r="L398" t="n">
        <x:v>6</x:v>
      </x:c>
      <x:c r="M398" t="n">
        <x:v>7</x:v>
      </x:c>
      <x:c r="N398" t="str">
        <x:v>47TH AVENUE WOODSIDE LLC | AGIG LLC | ANTHONY AND SONS PROPERTIES LLC | FOUR GRACI SEASONS LLC | GRACIOUS GARDENS LLC | TINY TREASURES NURSERY LLC</x:v>
      </x:c>
      <x:c r="O398" t="str">
        <x:v>151-08 6 ROAD, NY 11357 | 151-18 6 ROAD, NY 11357 | 151-20 6 ROAD, NY 11357 | 151-26 6 ROAD, NY 11357 | 45-49 47 STREET, NY 11377 | 53-15 39 AVENUE, NY 11377 | 53-17 39 AVENUE, NY 11377</x:v>
      </x:c>
      <x:c r="P398" t="n">
        <x:v>6</x:v>
      </x:c>
      <x:c r="Q398" s="15" t="n">
        <x:v>1</x:v>
      </x:c>
      <x:c r="R398" t="n">
        <x:v>3</x:v>
      </x:c>
      <x:c r="S398" t="str">
        <x:v>Strong DOS address corroboration</x:v>
      </x:c>
      <x:c r="T398" t="str">
        <x:v>No</x:v>
      </x:c>
      <x:c r="U398" t="n">
        <x:v>100</x:v>
      </x:c>
      <x:c r="V398" t="str">
        <x:v>https://data.ny.gov/Economic-Development/Active-Corporations-Beginning-1800/n9v6-gdp6</x:v>
      </x:c>
    </x:row>
    <x:row r="399">
      <x:c r="A399" t="str">
        <x:v>DOS-6-098</x:v>
      </x:c>
      <x:c r="B399" t="str">
        <x:v>Not Mailed</x:v>
      </x:c>
      <x:c r="C399" s="55"/>
      <x:c r="D399" t="str">
        <x:v>No Response</x:v>
      </x:c>
      <x:c r="E399" t="str"/>
      <x:c r="F399" t="n">
        <x:v>6</x:v>
      </x:c>
      <x:c r="G399" t="str">
        <x:v>PROPERTY OWNER</x:v>
      </x:c>
      <x:c r="H399" t="str">
        <x:v>ABE FRIEDMAN</x:v>
      </x:c>
      <x:c r="I399" t="n">
        <x:v>1</x:v>
      </x:c>
      <x:c r="J399" t="str">
        <x:v>363 SEVENTH AVENUE, NEW YORK, NY, 10001</x:v>
      </x:c>
      <x:c r="K399" t="str">
        <x:v>DOS address corroborated by ACRIS</x:v>
      </x:c>
      <x:c r="L399" t="n">
        <x:v>6</x:v>
      </x:c>
      <x:c r="M399" t="n">
        <x:v>7</x:v>
      </x:c>
      <x:c r="N399" t="str">
        <x:v>1155 38TH STREET LLC | 1159 38TH STREET LLC | 1555 48 ST LLC | 4822 8TH AVENUE LLC | 914 MACDONALD AVENUE LLC | 976 MACDONALD AVENUE LLC</x:v>
      </x:c>
      <x:c r="O399" t="str">
        <x:v>1155 38 STREET APT 6, NY 11218 | 1159 38 STREET APT 6, NY 11218 | 1555 48 STREET, NY 11219 | 48 STREET | 4822 8 AVENUE, NY 11220 | 914 MCDONALD AVENUE APT 2, NY 11218 | 976 MCDONALD AVENUE, NY 11230</x:v>
      </x:c>
      <x:c r="P399" t="n">
        <x:v>5</x:v>
      </x:c>
      <x:c r="Q399" s="15" t="n">
        <x:v>0.8333333333333334</x:v>
      </x:c>
      <x:c r="R399" t="n">
        <x:v>1</x:v>
      </x:c>
      <x:c r="S399" t="str">
        <x:v>Shared DOS address</x:v>
      </x:c>
      <x:c r="T399" t="str">
        <x:v>No</x:v>
      </x:c>
      <x:c r="U399" t="n">
        <x:v>100</x:v>
      </x:c>
      <x:c r="V399" t="str">
        <x:v>https://data.ny.gov/Economic-Development/Active-Corporations-Beginning-1800/n9v6-gdp6</x:v>
      </x:c>
    </x:row>
    <x:row r="400">
      <x:c r="A400" t="str">
        <x:v>DOS-6-099</x:v>
      </x:c>
      <x:c r="B400" t="str">
        <x:v>Not Mailed</x:v>
      </x:c>
      <x:c r="C400" s="55"/>
      <x:c r="D400" t="str">
        <x:v>No Response</x:v>
      </x:c>
      <x:c r="E400" t="str"/>
      <x:c r="F400" t="n">
        <x:v>6</x:v>
      </x:c>
      <x:c r="G400" t="str">
        <x:v>PROPERTY OWNER</x:v>
      </x:c>
      <x:c r="H400" t="str"/>
      <x:c r="I400" t="n">
        <x:v>0</x:v>
      </x:c>
      <x:c r="J400" t="str">
        <x:v>164-01 JAMAICA AVENUE, JAMAICA, NY, 11432</x:v>
      </x:c>
      <x:c r="K400" t="str">
        <x:v>DOS address corroborated by ACRIS</x:v>
      </x:c>
      <x:c r="L400" t="n">
        <x:v>6</x:v>
      </x:c>
      <x:c r="M400" t="n">
        <x:v>7</x:v>
      </x:c>
      <x:c r="N400" t="str">
        <x:v>2265 EAST TREMONT REALTY LLC | EAST 59 TRADING LLC | K1162 TRADING LLC | T2239 TRADING LLC | T4812 TRADING LLC | T85 TRADING LLC</x:v>
      </x:c>
      <x:c r="O400" t="str">
        <x:v>1162 FLATBUSH AVENUE, NY 11226 | 130 EAST 59 STREET, NY 11203 | 2239-2241 3 AVENUE, NY 10035 | 2255 EAST TREMONT AVENUE, NY 10462 | 2265-2267 EAST TREMONT AVENUE, NY 10462 | 4812 5 AVENUE, NY 11220 | 85 VARET STREET, NY 11206</x:v>
      </x:c>
      <x:c r="P400" t="n">
        <x:v>6</x:v>
      </x:c>
      <x:c r="Q400" s="15" t="n">
        <x:v>1</x:v>
      </x:c>
      <x:c r="R400" t="n">
        <x:v>5</x:v>
      </x:c>
      <x:c r="S400" t="str">
        <x:v>Strong DOS address corroboration</x:v>
      </x:c>
      <x:c r="T400" t="str">
        <x:v>No</x:v>
      </x:c>
      <x:c r="U400" t="n">
        <x:v>100</x:v>
      </x:c>
      <x:c r="V400" t="str">
        <x:v>https://data.ny.gov/Economic-Development/Active-Corporations-Beginning-1800/n9v6-gdp6</x:v>
      </x:c>
    </x:row>
    <x:row r="401">
      <x:c r="A401" t="str">
        <x:v>DOS-6-100</x:v>
      </x:c>
      <x:c r="B401" t="str">
        <x:v>Not Mailed</x:v>
      </x:c>
      <x:c r="C401" s="55"/>
      <x:c r="D401" t="str">
        <x:v>No Response</x:v>
      </x:c>
      <x:c r="E401" t="str"/>
      <x:c r="F401" t="n">
        <x:v>6</x:v>
      </x:c>
      <x:c r="G401" t="str">
        <x:v>PROPERTY OWNER</x:v>
      </x:c>
      <x:c r="H401" t="str"/>
      <x:c r="I401" t="n">
        <x:v>0</x:v>
      </x:c>
      <x:c r="J401" t="str">
        <x:v>1850 83RD STREET, BROOKLYN, NY, 11214</x:v>
      </x:c>
      <x:c r="K401" t="str">
        <x:v>DOS address corroborated by ACRIS</x:v>
      </x:c>
      <x:c r="L401" t="n">
        <x:v>6</x:v>
      </x:c>
      <x:c r="M401" t="n">
        <x:v>7</x:v>
      </x:c>
      <x:c r="N401" t="str">
        <x:v>140 BEACH HOUSE LLC | 179 19TH STREET LLC | 1850 83RD ST LLC | 285 18TH STREET LLC | 325 21ST ST LLC | 333 21ST STREET LLC</x:v>
      </x:c>
      <x:c r="O401" t="str">
        <x:v>140 BEACH 135 STREET, NY 11694 | 179 19 STREET, NY 11232 | 1850 83 STREET, NY 11214 | 285 18 STREET, NY 11215 | 287 18 STREET, NY 11215 | 325 21 STREET, NY 11215 | 333 21 STREET, NY 11215</x:v>
      </x:c>
      <x:c r="P401" t="n">
        <x:v>6</x:v>
      </x:c>
      <x:c r="Q401" s="15" t="n">
        <x:v>1</x:v>
      </x:c>
      <x:c r="R401" t="n">
        <x:v>6</x:v>
      </x:c>
      <x:c r="S401" t="str">
        <x:v>Strong DOS address corroboration</x:v>
      </x:c>
      <x:c r="T401" t="str">
        <x:v>No</x:v>
      </x:c>
      <x:c r="U401" t="n">
        <x:v>100</x:v>
      </x:c>
      <x:c r="V401" t="str">
        <x:v>https://data.ny.gov/Economic-Development/Active-Corporations-Beginning-1800/n9v6-gdp6</x:v>
      </x:c>
    </x:row>
  </x:sheetData>
  <x:conditionalFormatting sqref="S2:S401">
    <x:cfRule type="containsText" dxfId="0" priority="1" operator="containsText" text="Strong"/>
    <x:cfRule type="containsText" dxfId="1" priority="2" operator="containsText" text="Shared"/>
    <x:cfRule type="containsText" dxfId="2" priority="3" operator="containsText" text="Needs"/>
  </x:conditionalFormatting>
  <x:dataValidations count="2">
    <x:dataValidation type="list" sqref="B2:B401">
      <x:formula1>"Not Mailed,Mailed,Returned"</x:formula1>
    </x:dataValidation>
    <x:dataValidation type="list" sqref="D2:D401">
      <x:formula1>"No Response,Interested,Not Interested,Wrong Address"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5e086e88104c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8" hidden="0" customWidth="1"/>
    <x:col min="5" max="5" width="30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32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  <x:col min="15" max="15" width="28" hidden="0" customWidth="1"/>
    <x:col min="16" max="16" width="38" hidden="0" customWidth="1"/>
    <x:col min="17" max="17" width="24" hidden="0" customWidth="1"/>
    <x:col min="18" max="18" width="38" hidden="0" customWidth="1"/>
    <x:col min="19" max="19" width="28" hidden="0" customWidth="1"/>
    <x:col min="20" max="20" width="38" hidden="0" customWidth="1"/>
    <x:col min="21" max="21" width="24" hidden="0" customWidth="1"/>
    <x:col min="22" max="22" width="38" hidden="0" customWidth="1"/>
    <x:col min="23" max="23" width="16" hidden="0" customWidth="1"/>
    <x:col min="24" max="24" width="16" hidden="0" customWidth="1"/>
    <x:col min="25" max="25" width="38" hidden="0" customWidth="1"/>
  </x:cols>
  <x:sheetData>
    <x:row r="1" ht="30" customHeight="1">
      <x:c r="A1" s="41" t="str">
        <x:v>Cluster Id</x:v>
      </x:c>
      <x:c r="B1" s="48" t="str">
        <x:v>Tier Llc Count</x:v>
      </x:c>
      <x:c r="C1" s="48" t="str">
        <x:v>Acris Shared Mailing Address</x:v>
      </x:c>
      <x:c r="D1" s="48" t="str">
        <x:v>Llc Name Normalized</x:v>
      </x:c>
      <x:c r="E1" s="48" t="str">
        <x:v>Assessment Name Used</x:v>
      </x:c>
      <x:c r="F1" s="48" t="str">
        <x:v>Match Status</x:v>
      </x:c>
      <x:c r="G1" s="48" t="str">
        <x:v>Candidate Count</x:v>
      </x:c>
      <x:c r="H1" s="48" t="str">
        <x:v>Address Match Score</x:v>
      </x:c>
      <x:c r="I1" s="48" t="str">
        <x:v>Dos Id</x:v>
      </x:c>
      <x:c r="J1" s="48" t="str">
        <x:v>Current Entity Name</x:v>
      </x:c>
      <x:c r="K1" s="48" t="str">
        <x:v>Initial Dos Filing Date</x:v>
      </x:c>
      <x:c r="L1" s="48" t="str">
        <x:v>County</x:v>
      </x:c>
      <x:c r="M1" s="48" t="str">
        <x:v>Jurisdiction</x:v>
      </x:c>
      <x:c r="N1" s="48" t="str">
        <x:v>Entity Type</x:v>
      </x:c>
      <x:c r="O1" s="48" t="str">
        <x:v>Dos Process Name</x:v>
      </x:c>
      <x:c r="P1" s="48" t="str">
        <x:v>Dos Process Address</x:v>
      </x:c>
      <x:c r="Q1" s="48" t="str">
        <x:v>Chairman Name</x:v>
      </x:c>
      <x:c r="R1" s="48" t="str">
        <x:v>Chairman Address</x:v>
      </x:c>
      <x:c r="S1" s="48" t="str">
        <x:v>Registered Agent Name</x:v>
      </x:c>
      <x:c r="T1" s="48" t="str">
        <x:v>Registered Agent Address</x:v>
      </x:c>
      <x:c r="U1" s="48" t="str">
        <x:v>Location Name</x:v>
      </x:c>
      <x:c r="V1" s="48" t="str">
        <x:v>Location Address</x:v>
      </x:c>
      <x:c r="W1" s="48" t="str">
        <x:v>Email From Dos</x:v>
      </x:c>
      <x:c r="X1" s="48" t="str">
        <x:v>Phone From Dos</x:v>
      </x:c>
      <x:c r="Y1" s="42" t="str">
        <x:v>Source Url</x:v>
      </x:c>
    </x:row>
    <x:row r="2">
      <x:c r="A2" t="str">
        <x:v>DOS-3-001</x:v>
      </x:c>
      <x:c r="B2" t="n">
        <x:v>3</x:v>
      </x:c>
      <x:c r="C2" t="str">
        <x:v>31 SMITH STREET, 2ND FLOOR, BROOKLYN, NY, 11201, US</x:v>
      </x:c>
      <x:c r="D2" t="str">
        <x:v>61 ATLANTIC BUILDING LLC</x:v>
      </x:c>
      <x:c r="E2" t="str">
        <x:v>61 ATLANTIC BUILDING LLC</x:v>
      </x:c>
      <x:c r="F2" t="str">
        <x:v>Address-corroborated active match</x:v>
      </x:c>
      <x:c r="G2" t="n">
        <x:v>1</x:v>
      </x:c>
      <x:c r="H2" t="n">
        <x:v>2</x:v>
      </x:c>
      <x:c r="I2" t="str">
        <x:v>7236745</x:v>
      </x:c>
      <x:c r="J2" t="str">
        <x:v>61 ATLANTIC BUILDING LLC</x:v>
      </x:c>
      <x:c r="K2" s="55" t="n">
        <x:v>45315</x:v>
      </x:c>
      <x:c r="L2" t="str">
        <x:v>Kings</x:v>
      </x:c>
      <x:c r="M2" t="str">
        <x:v>New York</x:v>
      </x:c>
      <x:c r="N2" t="str">
        <x:v>DOMESTIC LIMITED LIABILITY COMPANY</x:v>
      </x:c>
      <x:c r="O2" t="str">
        <x:v>lonicera partners llc</x:v>
      </x:c>
      <x:c r="P2" t="str">
        <x:v>31 smith street, floor 2, BROOKLYN, NY, 11201</x:v>
      </x:c>
      <x:c r="Q2" t="str"/>
      <x:c r="R2" t="str"/>
      <x:c r="S2" t="str"/>
      <x:c r="T2" t="str"/>
      <x:c r="U2" t="str"/>
      <x:c r="V2" t="str"/>
      <x:c r="W2" t="str"/>
      <x:c r="X2" t="str"/>
      <x:c r="Y2" t="str">
        <x:v>https://data.ny.gov/Economic-Development/Active-Corporations-Beginning-1800/n9v6-gdp6</x:v>
      </x:c>
    </x:row>
    <x:row r="3">
      <x:c r="A3" t="str">
        <x:v>DOS-3-001</x:v>
      </x:c>
      <x:c r="B3" t="n">
        <x:v>3</x:v>
      </x:c>
      <x:c r="C3" t="str">
        <x:v>31 SMITH STREET, 2ND FLOOR, BROOKLYN, NY, 11201, US</x:v>
      </x:c>
      <x:c r="D3" t="str">
        <x:v>BOWERY JONES OWNER LLC</x:v>
      </x:c>
      <x:c r="E3" t="str">
        <x:v>BOWERY JONES OWNER, LLC</x:v>
      </x:c>
      <x:c r="F3" t="str">
        <x:v>Active name match</x:v>
      </x:c>
      <x:c r="G3" t="n">
        <x:v>1</x:v>
      </x:c>
      <x:c r="H3" t="n">
        <x:v>0</x:v>
      </x:c>
      <x:c r="I3" t="str">
        <x:v>7568537</x:v>
      </x:c>
      <x:c r="J3" t="str">
        <x:v>BOWERY JONES OWNER, LLC</x:v>
      </x:c>
      <x:c r="K3" s="55" t="n">
        <x:v>45741</x:v>
      </x:c>
      <x:c r="L3" t="str">
        <x:v>New York</x:v>
      </x:c>
      <x:c r="M3" t="str">
        <x:v>Delaware</x:v>
      </x:c>
      <x:c r="N3" t="str">
        <x:v>FOREIGN LIMITED LIABILITY COMPANY</x:v>
      </x:c>
      <x:c r="O3" t="str">
        <x:v>BOWERY JONES OWNER, LLC</x:v>
      </x:c>
      <x:c r="P3" t="str">
        <x:v>605 third avenue, NEW YORK, NY, 10158</x:v>
      </x:c>
      <x:c r="Q3" t="str"/>
      <x:c r="R3" t="str"/>
      <x:c r="S3" t="str"/>
      <x:c r="T3" t="str"/>
      <x:c r="U3" t="str"/>
      <x:c r="V3" t="str"/>
      <x:c r="W3" t="str"/>
      <x:c r="X3" t="str"/>
      <x:c r="Y3" t="str">
        <x:v>https://data.ny.gov/Economic-Development/Active-Corporations-Beginning-1800/n9v6-gdp6</x:v>
      </x:c>
    </x:row>
    <x:row r="4">
      <x:c r="A4" t="str">
        <x:v>DOS-3-001</x:v>
      </x:c>
      <x:c r="B4" t="n">
        <x:v>3</x:v>
      </x:c>
      <x:c r="C4" t="str">
        <x:v>31 SMITH STREET, 2ND FLOOR, BROOKLYN, NY, 11201, US</x:v>
      </x:c>
      <x:c r="D4" t="str">
        <x:v>COBBLE HILL PARKING LLC</x:v>
      </x:c>
      <x:c r="E4" t="str">
        <x:v>COBBLE HILL PARKING, LLC</x:v>
      </x:c>
      <x:c r="F4" t="str">
        <x:v>Active name match</x:v>
      </x:c>
      <x:c r="G4" t="n">
        <x:v>1</x:v>
      </x:c>
      <x:c r="H4" t="n">
        <x:v>1</x:v>
      </x:c>
      <x:c r="I4" t="str">
        <x:v>4712543</x:v>
      </x:c>
      <x:c r="J4" t="str">
        <x:v>COBBLE HILL PARKING, LLC</x:v>
      </x:c>
      <x:c r="K4" s="55" t="n">
        <x:v>42053</x:v>
      </x:c>
      <x:c r="L4" t="str">
        <x:v>Kings</x:v>
      </x:c>
      <x:c r="M4" t="str">
        <x:v>New York</x:v>
      </x:c>
      <x:c r="N4" t="str">
        <x:v>DOMESTIC LIMITED LIABILITY COMPANY</x:v>
      </x:c>
      <x:c r="O4" t="str">
        <x:v>JAMIE ANTHONY</x:v>
      </x:c>
      <x:c r="P4" t="str">
        <x:v>31 SMITH STREET, FLOOR 2, BROOKLYN, NY, 11201</x:v>
      </x:c>
      <x:c r="Q4" t="str"/>
      <x:c r="R4" t="str"/>
      <x:c r="S4" t="str"/>
      <x:c r="T4" t="str"/>
      <x:c r="U4" t="str"/>
      <x:c r="V4" t="str"/>
      <x:c r="W4" t="str"/>
      <x:c r="X4" t="str"/>
      <x:c r="Y4" t="str">
        <x:v>https://data.ny.gov/Economic-Development/Active-Corporations-Beginning-1800/n9v6-gdp6</x:v>
      </x:c>
    </x:row>
    <x:row r="5">
      <x:c r="A5" t="str">
        <x:v>DOS-3-002</x:v>
      </x:c>
      <x:c r="B5" t="n">
        <x:v>3</x:v>
      </x:c>
      <x:c r="C5" t="str">
        <x:v>231 FULTON STREET W, GRAND RAPIDS, MI, 49503, US</x:v>
      </x:c>
      <x:c r="D5" t="str">
        <x:v>1 PARK ROW COMMERCIAL LLC</x:v>
      </x:c>
      <x:c r="E5" t="str">
        <x:v>1 PARK ROW COMMERCIAL LLC</x:v>
      </x:c>
      <x:c r="F5" t="str">
        <x:v>Active name match</x:v>
      </x:c>
      <x:c r="G5" t="n">
        <x:v>1</x:v>
      </x:c>
      <x:c r="H5" t="n">
        <x:v>0</x:v>
      </x:c>
      <x:c r="I5" t="str">
        <x:v>7886612</x:v>
      </x:c>
      <x:c r="J5" t="str">
        <x:v>1 PARK ROW COMMERCIAL, LLC</x:v>
      </x:c>
      <x:c r="K5" s="55" t="n">
        <x:v>46126</x:v>
      </x:c>
      <x:c r="L5" t="str">
        <x:v>Albany</x:v>
      </x:c>
      <x:c r="M5" t="str">
        <x:v>Delaware</x:v>
      </x:c>
      <x:c r="N5" t="str">
        <x:v>FOREIGN LIMITED LIABILITY COMPANY</x:v>
      </x:c>
      <x:c r="O5" t="str">
        <x:v>CORPORATION SERVICE COMPANY</x:v>
      </x:c>
      <x:c r="P5" t="str">
        <x:v>80 STATE STREET, ALBANY, NY, 122072543</x:v>
      </x:c>
      <x:c r="Q5" t="str"/>
      <x:c r="R5" t="str"/>
      <x:c r="S5" t="str"/>
      <x:c r="T5" t="str"/>
      <x:c r="U5" t="str"/>
      <x:c r="V5" t="str"/>
      <x:c r="W5" t="str"/>
      <x:c r="X5" t="str"/>
      <x:c r="Y5" t="str">
        <x:v>https://data.ny.gov/Economic-Development/Active-Corporations-Beginning-1800/n9v6-gdp6</x:v>
      </x:c>
    </x:row>
    <x:row r="6">
      <x:c r="A6" t="str">
        <x:v>DOS-3-002</x:v>
      </x:c>
      <x:c r="B6" t="n">
        <x:v>3</x:v>
      </x:c>
      <x:c r="C6" t="str">
        <x:v>231 FULTON STREET W, GRAND RAPIDS, MI, 49503, US</x:v>
      </x:c>
      <x:c r="D6" t="str">
        <x:v>1 PARK ROW OWNER LLC</x:v>
      </x:c>
      <x:c r="E6" t="str">
        <x:v>1 PARK ROW OWNER, LLC</x:v>
      </x:c>
      <x:c r="F6" t="str">
        <x:v>Active name match</x:v>
      </x:c>
      <x:c r="G6" t="n">
        <x:v>1</x:v>
      </x:c>
      <x:c r="H6" t="n">
        <x:v>0</x:v>
      </x:c>
      <x:c r="I6" t="str">
        <x:v>7775743</x:v>
      </x:c>
      <x:c r="J6" t="str">
        <x:v>1 PARK ROW OWNER, LLC</x:v>
      </x:c>
      <x:c r="K6" s="55" t="n">
        <x:v>45996</x:v>
      </x:c>
      <x:c r="L6" t="str">
        <x:v>Albany</x:v>
      </x:c>
      <x:c r="M6" t="str">
        <x:v>Delaware</x:v>
      </x:c>
      <x:c r="N6" t="str">
        <x:v>FOREIGN LIMITED LIABILITY COMPANY</x:v>
      </x:c>
      <x:c r="O6" t="str">
        <x:v>CORPORATION SERVICE COMPANY</x:v>
      </x:c>
      <x:c r="P6" t="str">
        <x:v>80 STATE STREET, ALBANY, NY, 122072543</x:v>
      </x:c>
      <x:c r="Q6" t="str"/>
      <x:c r="R6" t="str"/>
      <x:c r="S6" t="str"/>
      <x:c r="T6" t="str"/>
      <x:c r="U6" t="str"/>
      <x:c r="V6" t="str"/>
      <x:c r="W6" t="str"/>
      <x:c r="X6" t="str"/>
      <x:c r="Y6" t="str">
        <x:v>https://data.ny.gov/Economic-Development/Active-Corporations-Beginning-1800/n9v6-gdp6</x:v>
      </x:c>
    </x:row>
    <x:row r="7">
      <x:c r="A7" t="str">
        <x:v>DOS-3-002</x:v>
      </x:c>
      <x:c r="B7" t="n">
        <x:v>3</x:v>
      </x:c>
      <x:c r="C7" t="str">
        <x:v>231 FULTON STREET W, GRAND RAPIDS, MI, 49503, US</x:v>
      </x:c>
      <x:c r="D7" t="str">
        <x:v>1 PARK ROW PH LLC</x:v>
      </x:c>
      <x:c r="E7" t="str">
        <x:v>1 PARK ROW PH LLC</x:v>
      </x:c>
      <x:c r="F7" t="str">
        <x:v>Active name match</x:v>
      </x:c>
      <x:c r="G7" t="n">
        <x:v>1</x:v>
      </x:c>
      <x:c r="H7" t="n">
        <x:v>0</x:v>
      </x:c>
      <x:c r="I7" t="str">
        <x:v>7886621</x:v>
      </x:c>
      <x:c r="J7" t="str">
        <x:v>1 PARK ROW PH, LLC</x:v>
      </x:c>
      <x:c r="K7" s="55" t="n">
        <x:v>46126</x:v>
      </x:c>
      <x:c r="L7" t="str">
        <x:v>Albany</x:v>
      </x:c>
      <x:c r="M7" t="str">
        <x:v>Delaware</x:v>
      </x:c>
      <x:c r="N7" t="str">
        <x:v>FOREIGN LIMITED LIABILITY COMPANY</x:v>
      </x:c>
      <x:c r="O7" t="str">
        <x:v>CORPORATION SERVICE COMPANY</x:v>
      </x:c>
      <x:c r="P7" t="str">
        <x:v>80 STATE STREET, ALBANY, NY, 122072543</x:v>
      </x:c>
      <x:c r="Q7" t="str"/>
      <x:c r="R7" t="str"/>
      <x:c r="S7" t="str"/>
      <x:c r="T7" t="str"/>
      <x:c r="U7" t="str"/>
      <x:c r="V7" t="str"/>
      <x:c r="W7" t="str"/>
      <x:c r="X7" t="str"/>
      <x:c r="Y7" t="str">
        <x:v>https://data.ny.gov/Economic-Development/Active-Corporations-Beginning-1800/n9v6-gdp6</x:v>
      </x:c>
    </x:row>
    <x:row r="8">
      <x:c r="A8" t="str">
        <x:v>DOS-3-003</x:v>
      </x:c>
      <x:c r="B8" t="n">
        <x:v>3</x:v>
      </x:c>
      <x:c r="C8" t="str">
        <x:v>11 MIDDLE NECK ROAD, GREAT NECK, NY, 11021, US</x:v>
      </x:c>
      <x:c r="D8" t="str">
        <x:v>202 SPRING RETAIL LLC</x:v>
      </x:c>
      <x:c r="E8" t="str">
        <x:v>202 SPRING RETAIL LLC</x:v>
      </x:c>
      <x:c r="F8" t="str">
        <x:v>Active name match</x:v>
      </x:c>
      <x:c r="G8" t="n">
        <x:v>1</x:v>
      </x:c>
      <x:c r="H8" t="n">
        <x:v>1</x:v>
      </x:c>
      <x:c r="I8" t="str">
        <x:v>4616596</x:v>
      </x:c>
      <x:c r="J8" t="str">
        <x:v>202 SPRING RETAIL LLC</x:v>
      </x:c>
      <x:c r="K8" s="55" t="n">
        <x:v>41855</x:v>
      </x:c>
      <x:c r="L8" t="str">
        <x:v>Nassau</x:v>
      </x:c>
      <x:c r="M8" t="str">
        <x:v>New York</x:v>
      </x:c>
      <x:c r="N8" t="str">
        <x:v>DOMESTIC LIMITED LIABILITY COMPANY</x:v>
      </x:c>
      <x:c r="O8" t="str">
        <x:v>202 SPRING RETAIL LLC</x:v>
      </x:c>
      <x:c r="P8" t="str">
        <x:v>9 PARK PLACE, 3RD FLR, GREAT NECK, NY, 11021</x:v>
      </x:c>
      <x:c r="Q8" t="str"/>
      <x:c r="R8" t="str"/>
      <x:c r="S8" t="str"/>
      <x:c r="T8" t="str"/>
      <x:c r="U8" t="str"/>
      <x:c r="V8" t="str"/>
      <x:c r="W8" t="str"/>
      <x:c r="X8" t="str"/>
      <x:c r="Y8" t="str">
        <x:v>https://data.ny.gov/Economic-Development/Active-Corporations-Beginning-1800/n9v6-gdp6</x:v>
      </x:c>
    </x:row>
    <x:row r="9">
      <x:c r="A9" t="str">
        <x:v>DOS-3-003</x:v>
      </x:c>
      <x:c r="B9" t="n">
        <x:v>3</x:v>
      </x:c>
      <x:c r="C9" t="str">
        <x:v>11 MIDDLE NECK ROAD, GREAT NECK, NY, 11021, US</x:v>
      </x:c>
      <x:c r="D9" t="str">
        <x:v>2333 BEAUMONT BH LLC</x:v>
      </x:c>
      <x:c r="E9" t="str">
        <x:v>2333 BEAUMONT BH LLC</x:v>
      </x:c>
      <x:c r="F9" t="str">
        <x:v>Active name match</x:v>
      </x:c>
      <x:c r="G9" t="n">
        <x:v>1</x:v>
      </x:c>
      <x:c r="H9" t="n">
        <x:v>1</x:v>
      </x:c>
      <x:c r="I9" t="str">
        <x:v>5447394</x:v>
      </x:c>
      <x:c r="J9" t="str">
        <x:v>2333 BEAUMONT BH LLC</x:v>
      </x:c>
      <x:c r="K9" s="55" t="n">
        <x:v>43425</x:v>
      </x:c>
      <x:c r="L9" t="str">
        <x:v>Nassau</x:v>
      </x:c>
      <x:c r="M9" t="str">
        <x:v>New York</x:v>
      </x:c>
      <x:c r="N9" t="str">
        <x:v>DOMESTIC LIMITED LIABILITY COMPANY</x:v>
      </x:c>
      <x:c r="O9" t="str">
        <x:v>2333 BEAUMONT BH LLC</x:v>
      </x:c>
      <x:c r="P9" t="str">
        <x:v>9 Park Place, 3rd Flr, Great Neck, NY, 11021</x:v>
      </x:c>
      <x:c r="Q9" t="str"/>
      <x:c r="R9" t="str"/>
      <x:c r="S9" t="str"/>
      <x:c r="T9" t="str"/>
      <x:c r="U9" t="str"/>
      <x:c r="V9" t="str"/>
      <x:c r="W9" t="str"/>
      <x:c r="X9" t="str"/>
      <x:c r="Y9" t="str">
        <x:v>https://data.ny.gov/Economic-Development/Active-Corporations-Beginning-1800/n9v6-gdp6</x:v>
      </x:c>
    </x:row>
    <x:row r="10">
      <x:c r="A10" t="str">
        <x:v>DOS-3-003</x:v>
      </x:c>
      <x:c r="B10" t="n">
        <x:v>3</x:v>
      </x:c>
      <x:c r="C10" t="str">
        <x:v>11 MIDDLE NECK ROAD, GREAT NECK, NY, 11021, US</x:v>
      </x:c>
      <x:c r="D10" t="str">
        <x:v>SG 31 LLC</x:v>
      </x:c>
      <x:c r="E10" t="str">
        <x:v>SG 31, LLC</x:v>
      </x:c>
      <x:c r="F10" t="str">
        <x:v>Active name match</x:v>
      </x:c>
      <x:c r="G10" t="n">
        <x:v>1</x:v>
      </x:c>
      <x:c r="H10" t="n">
        <x:v>0</x:v>
      </x:c>
      <x:c r="I10" t="str">
        <x:v>3321349</x:v>
      </x:c>
      <x:c r="J10" t="str">
        <x:v>SG 31, LLC</x:v>
      </x:c>
      <x:c r="K10" s="55" t="n">
        <x:v>38763</x:v>
      </x:c>
      <x:c r="L10" t="str">
        <x:v>Suffolk</x:v>
      </x:c>
      <x:c r="M10" t="str">
        <x:v>New York</x:v>
      </x:c>
      <x:c r="N10" t="str">
        <x:v>DOMESTIC LIMITED LIABILITY COMPANY</x:v>
      </x:c>
      <x:c r="O10" t="str">
        <x:v>SG 31, LLC</x:v>
      </x:c>
      <x:c r="P10" t="str">
        <x:v>23-25 31ST STREET, STE 600, ASTORIA, NY, 11105</x:v>
      </x:c>
      <x:c r="Q10" t="str"/>
      <x:c r="R10" t="str"/>
      <x:c r="S10" t="str"/>
      <x:c r="T10" t="str"/>
      <x:c r="U10" t="str"/>
      <x:c r="V10" t="str"/>
      <x:c r="W10" t="str"/>
      <x:c r="X10" t="str"/>
      <x:c r="Y10" t="str">
        <x:v>https://data.ny.gov/Economic-Development/Active-Corporations-Beginning-1800/n9v6-gdp6</x:v>
      </x:c>
    </x:row>
    <x:row r="11">
      <x:c r="A11" t="str">
        <x:v>DOS-3-004</x:v>
      </x:c>
      <x:c r="B11" t="n">
        <x:v>3</x:v>
      </x:c>
      <x:c r="C11" t="str">
        <x:v>136-40 39TH AVENUE,  SUITE  403, FLUSHING, NY, 11354, US | 136-40 39TH AVENUE, SUITE 403, FLUSHING, NY, 11354, US</x:v>
      </x:c>
      <x:c r="D11" t="str">
        <x:v>100 PARK ASSOCIATES LLC</x:v>
      </x:c>
      <x:c r="E11" t="str">
        <x:v>100 PARK ASSOCIATES LLC</x:v>
      </x:c>
      <x:c r="F11" t="str">
        <x:v>Active name match</x:v>
      </x:c>
      <x:c r="G11" t="n">
        <x:v>1</x:v>
      </x:c>
      <x:c r="H11" t="n">
        <x:v>0</x:v>
      </x:c>
      <x:c r="I11" t="str">
        <x:v>2162775</x:v>
      </x:c>
      <x:c r="J11" t="str">
        <x:v>100 PARK ASSOCIATES, LLC</x:v>
      </x:c>
      <x:c r="K11" s="55" t="n">
        <x:v>35627</x:v>
      </x:c>
      <x:c r="L11" t="str">
        <x:v>Queens</x:v>
      </x:c>
      <x:c r="M11" t="str">
        <x:v>New York</x:v>
      </x:c>
      <x:c r="N11" t="str">
        <x:v>DOMESTIC LIMITED LIABILITY COMPANY</x:v>
      </x:c>
      <x:c r="O11" t="str">
        <x:v>100 PARK ASSOCIATES, LLC</x:v>
      </x:c>
      <x:c r="P11" t="str">
        <x:v>PO BOX 154, WHITESTONE, NY, 11357</x:v>
      </x:c>
      <x:c r="Q11" t="str"/>
      <x:c r="R11" t="str"/>
      <x:c r="S11" t="str"/>
      <x:c r="T11" t="str"/>
      <x:c r="U11" t="str"/>
      <x:c r="V11" t="str"/>
      <x:c r="W11" t="str"/>
      <x:c r="X11" t="str"/>
      <x:c r="Y11" t="str">
        <x:v>https://data.ny.gov/Economic-Development/Active-Corporations-Beginning-1800/n9v6-gdp6</x:v>
      </x:c>
    </x:row>
    <x:row r="12">
      <x:c r="A12" t="str">
        <x:v>DOS-3-004</x:v>
      </x:c>
      <x:c r="B12" t="n">
        <x:v>3</x:v>
      </x:c>
      <x:c r="C12" t="str">
        <x:v>136-40 39TH AVENUE,  SUITE  403, FLUSHING, NY, 11354, US | 136-40 39TH AVENUE, SUITE 403, FLUSHING, NY, 11354, US</x:v>
      </x:c>
      <x:c r="D12" t="str">
        <x:v>82 PARK WEST LLC</x:v>
      </x:c>
      <x:c r="E12" t="str">
        <x:v>82 PARK WEST LLC</x:v>
      </x:c>
      <x:c r="F12" t="str">
        <x:v>Active name match</x:v>
      </x:c>
      <x:c r="G12" t="n">
        <x:v>1</x:v>
      </x:c>
      <x:c r="H12" t="n">
        <x:v>0</x:v>
      </x:c>
      <x:c r="I12" t="str">
        <x:v>3882643</x:v>
      </x:c>
      <x:c r="J12" t="str">
        <x:v>82 PARK WEST, LLC</x:v>
      </x:c>
      <x:c r="K12" s="55" t="n">
        <x:v>40142</x:v>
      </x:c>
      <x:c r="L12" t="str">
        <x:v>Queens</x:v>
      </x:c>
      <x:c r="M12" t="str">
        <x:v>New York</x:v>
      </x:c>
      <x:c r="N12" t="str">
        <x:v>DOMESTIC LIMITED LIABILITY COMPANY</x:v>
      </x:c>
      <x:c r="O12" t="str">
        <x:v>82 PARK WEST, LLC</x:v>
      </x:c>
      <x:c r="P12" t="str">
        <x:v>P.O. BOX 154, WHITESTONE, NY, 11357</x:v>
      </x:c>
      <x:c r="Q12" t="str"/>
      <x:c r="R12" t="str"/>
      <x:c r="S12" t="str"/>
      <x:c r="T12" t="str"/>
      <x:c r="U12" t="str"/>
      <x:c r="V12" t="str"/>
      <x:c r="W12" t="str"/>
      <x:c r="X12" t="str"/>
      <x:c r="Y12" t="str">
        <x:v>https://data.ny.gov/Economic-Development/Active-Corporations-Beginning-1800/n9v6-gdp6</x:v>
      </x:c>
    </x:row>
    <x:row r="13">
      <x:c r="A13" t="str">
        <x:v>DOS-3-004</x:v>
      </x:c>
      <x:c r="B13" t="n">
        <x:v>3</x:v>
      </x:c>
      <x:c r="C13" t="str">
        <x:v>136-40 39TH AVENUE,  SUITE  403, FLUSHING, NY, 11354, US | 136-40 39TH AVENUE, SUITE 403, FLUSHING, NY, 11354, US</x:v>
      </x:c>
      <x:c r="D13" t="str">
        <x:v>GREYSTONE CAPITAL GROUP LLC</x:v>
      </x:c>
      <x:c r="E13" t="str">
        <x:v>GREYSTONE CAPITAL GROUP LLC</x:v>
      </x:c>
      <x:c r="F13" t="str">
        <x:v>Active name match</x:v>
      </x:c>
      <x:c r="G13" t="n">
        <x:v>1</x:v>
      </x:c>
      <x:c r="H13" t="n">
        <x:v>0</x:v>
      </x:c>
      <x:c r="I13" t="str">
        <x:v>3697883</x:v>
      </x:c>
      <x:c r="J13" t="str">
        <x:v>GREYSTONE CAPITAL GROUP, LLC</x:v>
      </x:c>
      <x:c r="K13" s="55" t="n">
        <x:v>39647</x:v>
      </x:c>
      <x:c r="L13" t="str">
        <x:v>Queens</x:v>
      </x:c>
      <x:c r="M13" t="str">
        <x:v>New York</x:v>
      </x:c>
      <x:c r="N13" t="str">
        <x:v>DOMESTIC LIMITED LIABILITY COMPANY</x:v>
      </x:c>
      <x:c r="O13" t="str">
        <x:v>GREYSTONE CAPITAL GROUP,  LLC</x:v>
      </x:c>
      <x:c r="P13" t="str">
        <x:v>P.O. BOX 154, WHITESTONE, NY, 11357</x:v>
      </x:c>
      <x:c r="Q13" t="str"/>
      <x:c r="R13" t="str"/>
      <x:c r="S13" t="str"/>
      <x:c r="T13" t="str"/>
      <x:c r="U13" t="str"/>
      <x:c r="V13" t="str"/>
      <x:c r="W13" t="str"/>
      <x:c r="X13" t="str"/>
      <x:c r="Y13" t="str">
        <x:v>https://data.ny.gov/Economic-Development/Active-Corporations-Beginning-1800/n9v6-gdp6</x:v>
      </x:c>
    </x:row>
    <x:row r="14">
      <x:c r="A14" t="str">
        <x:v>DOS-3-005</x:v>
      </x:c>
      <x:c r="B14" t="n">
        <x:v>3</x:v>
      </x:c>
      <x:c r="C14" t="str">
        <x:v>390 PARK AVENUE, 3RD FLOOR, NEW YORK, NY, 10022, US</x:v>
      </x:c>
      <x:c r="D14" t="str">
        <x:v>530 PARK RESIDENTIAL HOLDINGS LLC</x:v>
      </x:c>
      <x:c r="E14" t="str">
        <x:v>530 PARK RESIDENTIAL HOLDINGS LLC</x:v>
      </x:c>
      <x:c r="F14" t="str">
        <x:v>Active name match</x:v>
      </x:c>
      <x:c r="G14" t="n">
        <x:v>1</x:v>
      </x:c>
      <x:c r="H14" t="n">
        <x:v>0</x:v>
      </x:c>
      <x:c r="I14" t="str">
        <x:v>4468404</x:v>
      </x:c>
      <x:c r="J14" t="str">
        <x:v>530 PARK RESIDENTIAL HOLDINGS LLC</x:v>
      </x:c>
      <x:c r="K14" s="55" t="n">
        <x:v>41551</x:v>
      </x:c>
      <x:c r="L14" t="str">
        <x:v>New York</x:v>
      </x:c>
      <x:c r="M14" t="str">
        <x:v>New York</x:v>
      </x:c>
      <x:c r="N14" t="str">
        <x:v>DOMESTIC LIMITED LIABILITY COMPANY</x:v>
      </x:c>
      <x:c r="O14" t="str">
        <x:v>530 PARK RESIDENTIAL HOLDINGS LLC</x:v>
      </x:c>
      <x:c r="P14" t="str">
        <x:v>C/O RFR HOLDING LLC, 375 PARK AVENUE, 10TH FL, NY, NY, 10152</x:v>
      </x:c>
      <x:c r="Q14" t="str"/>
      <x:c r="R14" t="str"/>
      <x:c r="S14" t="str"/>
      <x:c r="T14" t="str"/>
      <x:c r="U14" t="str"/>
      <x:c r="V14" t="str"/>
      <x:c r="W14" t="str"/>
      <x:c r="X14" t="str"/>
      <x:c r="Y14" t="str">
        <x:v>https://data.ny.gov/Economic-Development/Active-Corporations-Beginning-1800/n9v6-gdp6</x:v>
      </x:c>
    </x:row>
    <x:row r="15">
      <x:c r="A15" t="str">
        <x:v>DOS-3-005</x:v>
      </x:c>
      <x:c r="B15" t="n">
        <x:v>3</x:v>
      </x:c>
      <x:c r="C15" t="str">
        <x:v>390 PARK AVENUE, 3RD FLOOR, NEW YORK, NY, 10022, US</x:v>
      </x:c>
      <x:c r="D15" t="str">
        <x:v>R AND F 55TH STREET COMMERCIAL OWNER LLC</x:v>
      </x:c>
      <x:c r="E15" t="str">
        <x:v>R&amp;F 55TH STREET COMMERCIAL OWNER LLC</x:v>
      </x:c>
      <x:c r="F15" t="str">
        <x:v>Active name match</x:v>
      </x:c>
      <x:c r="G15" t="n">
        <x:v>1</x:v>
      </x:c>
      <x:c r="H15" t="n">
        <x:v>0</x:v>
      </x:c>
      <x:c r="I15" t="str">
        <x:v>4972700</x:v>
      </x:c>
      <x:c r="J15" t="str">
        <x:v>R&amp;F 55TH STREET COMMERCIAL OWNER LLC</x:v>
      </x:c>
      <x:c r="K15" s="55" t="n">
        <x:v>42556</x:v>
      </x:c>
      <x:c r="L15" t="str">
        <x:v>Albany</x:v>
      </x:c>
      <x:c r="M15" t="str">
        <x:v>Delaware</x:v>
      </x:c>
      <x:c r="N15" t="str">
        <x:v>FOREIGN LIMITED LIABILITY COMPANY</x:v>
      </x:c>
      <x:c r="O15" t="str">
        <x:v>ALLSTATE CORPORATE SERVICES CORP.</x:v>
      </x:c>
      <x:c r="P15" t="str">
        <x:v>ONE COMMERCE PLAZA, 99 WASHINGTON AVENUE, STE 1008, ALBANY, NY, 12260</x:v>
      </x:c>
      <x:c r="Q15" t="str"/>
      <x:c r="R15" t="str"/>
      <x:c r="S15" t="str">
        <x:v>ALLSTATE CORPORATE SERVICES CORP.</x:v>
      </x:c>
      <x:c r="T15" t="str">
        <x:v>ONE COMMERCE PLAZA, 99 WASHINGTON AVENUE, STE 1008, ALBANY, NEW YORK, 12260</x:v>
      </x:c>
      <x:c r="U15" t="str"/>
      <x:c r="V15" t="str"/>
      <x:c r="W15" t="str"/>
      <x:c r="X15" t="str"/>
      <x:c r="Y15" t="str">
        <x:v>https://data.ny.gov/Economic-Development/Active-Corporations-Beginning-1800/n9v6-gdp6</x:v>
      </x:c>
    </x:row>
    <x:row r="16">
      <x:c r="A16" t="str">
        <x:v>DOS-3-005</x:v>
      </x:c>
      <x:c r="B16" t="n">
        <x:v>3</x:v>
      </x:c>
      <x:c r="C16" t="str">
        <x:v>390 PARK AVENUE, 3RD FLOOR, NEW YORK, NY, 10022, US</x:v>
      </x:c>
      <x:c r="D16" t="str">
        <x:v>TENTH STREET HOLDINGS LLC</x:v>
      </x:c>
      <x:c r="E16" t="str">
        <x:v>TENTH STREET HOLDINGS LLC</x:v>
      </x:c>
      <x:c r="F16" t="str">
        <x:v>Active name match</x:v>
      </x:c>
      <x:c r="G16" t="n">
        <x:v>1</x:v>
      </x:c>
      <x:c r="H16" t="n">
        <x:v>0</x:v>
      </x:c>
      <x:c r="I16" t="str">
        <x:v>4755983</x:v>
      </x:c>
      <x:c r="J16" t="str">
        <x:v>TENTH STREET HOLDINGS LLC</x:v>
      </x:c>
      <x:c r="K16" s="55" t="n">
        <x:v>42132</x:v>
      </x:c>
      <x:c r="L16" t="str">
        <x:v>New York</x:v>
      </x:c>
      <x:c r="M16" t="str">
        <x:v>New York</x:v>
      </x:c>
      <x:c r="N16" t="str">
        <x:v>DOMESTIC LIMITED LIABILITY COMPANY</x:v>
      </x:c>
      <x:c r="O16" t="str">
        <x:v>TENTH STREET HOLDINGS LLC</x:v>
      </x:c>
      <x:c r="P16" t="str">
        <x:v>C/O RFR HOLDING LLC, 375 PARK AVENUE, 10TH FL, NEW YORK, NY, 10152</x:v>
      </x:c>
      <x:c r="Q16" t="str"/>
      <x:c r="R16" t="str"/>
      <x:c r="S16" t="str"/>
      <x:c r="T16" t="str"/>
      <x:c r="U16" t="str"/>
      <x:c r="V16" t="str"/>
      <x:c r="W16" t="str"/>
      <x:c r="X16" t="str"/>
      <x:c r="Y16" t="str">
        <x:v>https://data.ny.gov/Economic-Development/Active-Corporations-Beginning-1800/n9v6-gdp6</x:v>
      </x:c>
    </x:row>
    <x:row r="17">
      <x:c r="A17" t="str">
        <x:v>DOS-3-006</x:v>
      </x:c>
      <x:c r="B17" t="n">
        <x:v>3</x:v>
      </x:c>
      <x:c r="C17" t="str">
        <x:v>315  CENTRAL PARK WEST, NEW YORK, NY, US</x:v>
      </x:c>
      <x:c r="D17" t="str">
        <x:v>WINSTON TOWER LLC</x:v>
      </x:c>
      <x:c r="E17" t="str">
        <x:v>WINSTON TOWER, LLC</x:v>
      </x:c>
      <x:c r="F17" t="str">
        <x:v>Active name match</x:v>
      </x:c>
      <x:c r="G17" t="n">
        <x:v>1</x:v>
      </x:c>
      <x:c r="H17" t="n">
        <x:v>0</x:v>
      </x:c>
      <x:c r="I17" t="str">
        <x:v>2291785</x:v>
      </x:c>
      <x:c r="J17" t="str">
        <x:v>WINSTON TOWER, LLC</x:v>
      </x:c>
      <x:c r="K17" s="55" t="n">
        <x:v>36032</x:v>
      </x:c>
      <x:c r="L17" t="str">
        <x:v>Nassau</x:v>
      </x:c>
      <x:c r="M17" t="str">
        <x:v>New York</x:v>
      </x:c>
      <x:c r="N17" t="str">
        <x:v>DOMESTIC LIMITED LIABILITY COMPANY</x:v>
      </x:c>
      <x:c r="O17" t="str">
        <x:v>WINSTON TOWER, LLC</x:v>
      </x:c>
      <x:c r="P17" t="str">
        <x:v>360 SHORE RD, STE 1200, LONG BEACH, NY, 11561</x:v>
      </x:c>
      <x:c r="Q17" t="str"/>
      <x:c r="R17" t="str"/>
      <x:c r="S17" t="str"/>
      <x:c r="T17" t="str"/>
      <x:c r="U17" t="str"/>
      <x:c r="V17" t="str"/>
      <x:c r="W17" t="str"/>
      <x:c r="X17" t="str"/>
      <x:c r="Y17" t="str">
        <x:v>https://data.ny.gov/Economic-Development/Active-Corporations-Beginning-1800/n9v6-gdp6</x:v>
      </x:c>
    </x:row>
    <x:row r="18">
      <x:c r="A18" t="str">
        <x:v>DOS-3-006</x:v>
      </x:c>
      <x:c r="B18" t="n">
        <x:v>3</x:v>
      </x:c>
      <x:c r="C18" t="str">
        <x:v>315  CENTRAL PARK WEST, NEW YORK, NY, US</x:v>
      </x:c>
      <x:c r="D18" t="str">
        <x:v>WINSTON TOWERS LLC</x:v>
      </x:c>
      <x:c r="E18" t="str">
        <x:v>WINSTON TOWERS LLC</x:v>
      </x:c>
      <x:c r="F18" t="str">
        <x:v>No active DOS match</x:v>
      </x:c>
      <x:c r="G18" t="n">
        <x:v>0</x:v>
      </x:c>
      <x:c r="H18" t="n">
        <x:v>0</x:v>
      </x:c>
      <x:c r="I18" t="str"/>
      <x:c r="J18" t="str"/>
      <x:c r="K18" s="55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>
        <x:v>https://data.ny.gov/Economic-Development/Active-Corporations-Beginning-1800/n9v6-gdp6</x:v>
      </x:c>
    </x:row>
    <x:row r="19">
      <x:c r="A19" t="str">
        <x:v>DOS-3-006</x:v>
      </x:c>
      <x:c r="B19" t="n">
        <x:v>3</x:v>
      </x:c>
      <x:c r="C19" t="str">
        <x:v>315  CENTRAL PARK WEST, NEW YORK, NY, US</x:v>
      </x:c>
      <x:c r="D19" t="str">
        <x:v>WINSTONE TOWER LLC</x:v>
      </x:c>
      <x:c r="E19" t="str">
        <x:v>WINSTONE TOWER LLC</x:v>
      </x:c>
      <x:c r="F19" t="str">
        <x:v>No active DOS match</x:v>
      </x:c>
      <x:c r="G19" t="n">
        <x:v>0</x:v>
      </x:c>
      <x:c r="H19" t="n">
        <x:v>0</x:v>
      </x:c>
      <x:c r="I19" t="str"/>
      <x:c r="J19" t="str"/>
      <x:c r="K19" s="55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>
        <x:v>https://data.ny.gov/Economic-Development/Active-Corporations-Beginning-1800/n9v6-gdp6</x:v>
      </x:c>
    </x:row>
    <x:row r="20">
      <x:c r="A20" t="str">
        <x:v>DOS-3-007</x:v>
      </x:c>
      <x:c r="B20" t="n">
        <x:v>3</x:v>
      </x:c>
      <x:c r="C20" t="str">
        <x:v>500A EAST 87TH STREET, NEW YORK, NY, 10128, US</x:v>
      </x:c>
      <x:c r="D20" t="str">
        <x:v>500A EAST 87TH STREET PARENT A LLC</x:v>
      </x:c>
      <x:c r="E20" t="str">
        <x:v>500A EAST 87TH STREET PARENT A LLC</x:v>
      </x:c>
      <x:c r="F20" t="str">
        <x:v>Active name match</x:v>
      </x:c>
      <x:c r="G20" t="n">
        <x:v>1</x:v>
      </x:c>
      <x:c r="H20" t="n">
        <x:v>0</x:v>
      </x:c>
      <x:c r="I20" t="str">
        <x:v>4768222</x:v>
      </x:c>
      <x:c r="J20" t="str">
        <x:v>500A EAST 87TH STREET PARENT A LLC</x:v>
      </x:c>
      <x:c r="K20" s="55" t="n">
        <x:v>42158</x:v>
      </x:c>
      <x:c r="L20" t="str">
        <x:v>New York</x:v>
      </x:c>
      <x:c r="M20" t="str">
        <x:v>New York</x:v>
      </x:c>
      <x:c r="N20" t="str">
        <x:v>DOMESTIC LIMITED LIABILITY COMPANY</x:v>
      </x:c>
      <x:c r="O20" t="str">
        <x:v>C/O J. GARSON LLC</x:v>
      </x:c>
      <x:c r="P20" t="str">
        <x:v>ATTN: Jeffrey Garson, 1180 Midland Ave, #1G, Bronxville, NY, 10708</x:v>
      </x:c>
      <x:c r="Q20" t="str"/>
      <x:c r="R20" t="str"/>
      <x:c r="S20" t="str"/>
      <x:c r="T20" t="str"/>
      <x:c r="U20" t="str"/>
      <x:c r="V20" t="str"/>
      <x:c r="W20" t="str"/>
      <x:c r="X20" t="str"/>
      <x:c r="Y20" t="str">
        <x:v>https://data.ny.gov/Economic-Development/Active-Corporations-Beginning-1800/n9v6-gdp6</x:v>
      </x:c>
    </x:row>
    <x:row r="21">
      <x:c r="A21" t="str">
        <x:v>DOS-3-007</x:v>
      </x:c>
      <x:c r="B21" t="n">
        <x:v>3</x:v>
      </x:c>
      <x:c r="C21" t="str">
        <x:v>500A EAST 87TH STREET, NEW YORK, NY, 10128, US</x:v>
      </x:c>
      <x:c r="D21" t="str">
        <x:v>500A EAST 87TH STREET PARENT B LLC</x:v>
      </x:c>
      <x:c r="E21" t="str">
        <x:v>500A EAST 87TH STREET PARENT B LLC</x:v>
      </x:c>
      <x:c r="F21" t="str">
        <x:v>Active name match</x:v>
      </x:c>
      <x:c r="G21" t="n">
        <x:v>1</x:v>
      </x:c>
      <x:c r="H21" t="n">
        <x:v>0</x:v>
      </x:c>
      <x:c r="I21" t="str">
        <x:v>4768223</x:v>
      </x:c>
      <x:c r="J21" t="str">
        <x:v>500A EAST 87TH STREET PARENT B LLC</x:v>
      </x:c>
      <x:c r="K21" s="55" t="n">
        <x:v>42158</x:v>
      </x:c>
      <x:c r="L21" t="str">
        <x:v>New York</x:v>
      </x:c>
      <x:c r="M21" t="str">
        <x:v>New York</x:v>
      </x:c>
      <x:c r="N21" t="str">
        <x:v>DOMESTIC LIMITED LIABILITY COMPANY</x:v>
      </x:c>
      <x:c r="O21" t="str">
        <x:v>C/O SB GARSON MANAGEMENT, LLC</x:v>
      </x:c>
      <x:c r="P21" t="str">
        <x:v>1234 CENTRAL PARK AVENUE, 3rd Floor, YONKERS, NY, 10704</x:v>
      </x:c>
      <x:c r="Q21" t="str"/>
      <x:c r="R21" t="str"/>
      <x:c r="S21" t="str"/>
      <x:c r="T21" t="str"/>
      <x:c r="U21" t="str"/>
      <x:c r="V21" t="str"/>
      <x:c r="W21" t="str"/>
      <x:c r="X21" t="str"/>
      <x:c r="Y21" t="str">
        <x:v>https://data.ny.gov/Economic-Development/Active-Corporations-Beginning-1800/n9v6-gdp6</x:v>
      </x:c>
    </x:row>
    <x:row r="22">
      <x:c r="A22" t="str">
        <x:v>DOS-3-007</x:v>
      </x:c>
      <x:c r="B22" t="n">
        <x:v>3</x:v>
      </x:c>
      <x:c r="C22" t="str">
        <x:v>500A EAST 87TH STREET, NEW YORK, NY, 10128, US</x:v>
      </x:c>
      <x:c r="D22" t="str">
        <x:v>500A EAST 87TH STREET PARENT C LLC</x:v>
      </x:c>
      <x:c r="E22" t="str">
        <x:v>500A EAST 87TH STREET PARENT C LLC</x:v>
      </x:c>
      <x:c r="F22" t="str">
        <x:v>Active name match</x:v>
      </x:c>
      <x:c r="G22" t="n">
        <x:v>1</x:v>
      </x:c>
      <x:c r="H22" t="n">
        <x:v>0</x:v>
      </x:c>
      <x:c r="I22" t="str">
        <x:v>4768224</x:v>
      </x:c>
      <x:c r="J22" t="str">
        <x:v>500A EAST 87TH STREET PARENT C LLC</x:v>
      </x:c>
      <x:c r="K22" s="55" t="n">
        <x:v>42158</x:v>
      </x:c>
      <x:c r="L22" t="str">
        <x:v>New York</x:v>
      </x:c>
      <x:c r="M22" t="str">
        <x:v>New York</x:v>
      </x:c>
      <x:c r="N22" t="str">
        <x:v>DOMESTIC LIMITED LIABILITY COMPANY</x:v>
      </x:c>
      <x:c r="O22" t="str">
        <x:v>C/O ALSCOT REALTY LLC</x:v>
      </x:c>
      <x:c r="P22" t="str">
        <x:v>1160 Midland Ave Suite 1H, Bronxville, NY, 10708</x:v>
      </x:c>
      <x:c r="Q22" t="str"/>
      <x:c r="R22" t="str"/>
      <x:c r="S22" t="str"/>
      <x:c r="T22" t="str"/>
      <x:c r="U22" t="str"/>
      <x:c r="V22" t="str"/>
      <x:c r="W22" t="str"/>
      <x:c r="X22" t="str"/>
      <x:c r="Y22" t="str">
        <x:v>https://data.ny.gov/Economic-Development/Active-Corporations-Beginning-1800/n9v6-gdp6</x:v>
      </x:c>
    </x:row>
    <x:row r="23">
      <x:c r="A23" t="str">
        <x:v>DOS-3-008</x:v>
      </x:c>
      <x:c r="B23" t="n">
        <x:v>3</x:v>
      </x:c>
      <x:c r="C23" t="str">
        <x:v>420 LEXINGTON AVENUE, NEW YORK, NY, 10170, US</x:v>
      </x:c>
      <x:c r="D23" t="str">
        <x:v>50 EAST 72 OWNER LLC</x:v>
      </x:c>
      <x:c r="E23" t="str">
        <x:v>50 EAST 72 OWNER LLC</x:v>
      </x:c>
      <x:c r="F23" t="str">
        <x:v>No active DOS match</x:v>
      </x:c>
      <x:c r="G23" t="n">
        <x:v>0</x:v>
      </x:c>
      <x:c r="H23" t="n">
        <x:v>0</x:v>
      </x:c>
      <x:c r="I23" t="str"/>
      <x:c r="J23" t="str"/>
      <x:c r="K23" s="55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>
        <x:v>https://data.ny.gov/Economic-Development/Active-Corporations-Beginning-1800/n9v6-gdp6</x:v>
      </x:c>
    </x:row>
    <x:row r="24">
      <x:c r="A24" t="str">
        <x:v>DOS-3-008</x:v>
      </x:c>
      <x:c r="B24" t="n">
        <x:v>3</x:v>
      </x:c>
      <x:c r="C24" t="str">
        <x:v>420 LEXINGTON AVENUE, NEW YORK, NY, 10170, US</x:v>
      </x:c>
      <x:c r="D24" t="str">
        <x:v>SLG 220 NEWS LESSEE LLC</x:v>
      </x:c>
      <x:c r="E24" t="str">
        <x:v>SLG 220 NEWS LESSEE LLC</x:v>
      </x:c>
      <x:c r="F24" t="str">
        <x:v>Active name match</x:v>
      </x:c>
      <x:c r="G24" t="n">
        <x:v>1</x:v>
      </x:c>
      <x:c r="H24" t="n">
        <x:v>0</x:v>
      </x:c>
      <x:c r="I24" t="str">
        <x:v>4946159</x:v>
      </x:c>
      <x:c r="J24" t="str">
        <x:v>SLG 220 NEWS LESSEE LLC</x:v>
      </x:c>
      <x:c r="K24" s="55" t="n">
        <x:v>42502</x:v>
      </x:c>
      <x:c r="L24" t="str">
        <x:v>New York</x:v>
      </x:c>
      <x:c r="M24" t="str">
        <x:v>Delaware</x:v>
      </x:c>
      <x:c r="N24" t="str">
        <x:v>FOREIGN LIMITED LIABILITY COMPANY</x:v>
      </x:c>
      <x:c r="O24" t="str">
        <x:v>C/O CORPORATION SERVICE COMPANY</x:v>
      </x:c>
      <x:c r="P24" t="str">
        <x:v>80 STATE STREET, ALBANY, NY, 12207</x:v>
      </x:c>
      <x:c r="Q24" t="str"/>
      <x:c r="R24" t="str"/>
      <x:c r="S24" t="str">
        <x:v>CORPORATION SERVICE COMPANY</x:v>
      </x:c>
      <x:c r="T24" t="str">
        <x:v>80 STATE ST., ALBANY, NEW YORK, 122072543</x:v>
      </x:c>
      <x:c r="U24" t="str"/>
      <x:c r="V24" t="str"/>
      <x:c r="W24" t="str"/>
      <x:c r="X24" t="str"/>
      <x:c r="Y24" t="str">
        <x:v>https://data.ny.gov/Economic-Development/Active-Corporations-Beginning-1800/n9v6-gdp6</x:v>
      </x:c>
    </x:row>
    <x:row r="25">
      <x:c r="A25" t="str">
        <x:v>DOS-3-008</x:v>
      </x:c>
      <x:c r="B25" t="n">
        <x:v>3</x:v>
      </x:c>
      <x:c r="C25" t="str">
        <x:v>420 LEXINGTON AVENUE, NEW YORK, NY, 10170, US</x:v>
      </x:c>
      <x:c r="D25" t="str">
        <x:v>SLG 810 SEVENTH LESSEE LLC</x:v>
      </x:c>
      <x:c r="E25" t="str">
        <x:v>SLG 810 SEVENTH LESSEE LLC</x:v>
      </x:c>
      <x:c r="F25" t="str">
        <x:v>Active name match</x:v>
      </x:c>
      <x:c r="G25" t="n">
        <x:v>1</x:v>
      </x:c>
      <x:c r="H25" t="n">
        <x:v>0</x:v>
      </x:c>
      <x:c r="I25" t="str">
        <x:v>3466286</x:v>
      </x:c>
      <x:c r="J25" t="str">
        <x:v>SLG 810 SEVENTH LESSEE LLC</x:v>
      </x:c>
      <x:c r="K25" s="55" t="n">
        <x:v>39105</x:v>
      </x:c>
      <x:c r="L25" t="str">
        <x:v>New York</x:v>
      </x:c>
      <x:c r="M25" t="str">
        <x:v>Delaware</x:v>
      </x:c>
      <x:c r="N25" t="str">
        <x:v>FOREIGN LIMITED LIABILITY COMPANY</x:v>
      </x:c>
      <x:c r="O25" t="str">
        <x:v>C/O CORPORATION SERVICE COMPANY</x:v>
      </x:c>
      <x:c r="P25" t="str">
        <x:v>80 STATE STREET, ALBANY, NY, 12207</x:v>
      </x:c>
      <x:c r="Q25" t="str"/>
      <x:c r="R25" t="str"/>
      <x:c r="S25" t="str">
        <x:v>CORPORATION SERVICE COMPANY</x:v>
      </x:c>
      <x:c r="T25" t="str">
        <x:v>80 STATE STreet, ALBANY, NEW YORK, 12207</x:v>
      </x:c>
      <x:c r="U25" t="str"/>
      <x:c r="V25" t="str"/>
      <x:c r="W25" t="str"/>
      <x:c r="X25" t="str"/>
      <x:c r="Y25" t="str">
        <x:v>https://data.ny.gov/Economic-Development/Active-Corporations-Beginning-1800/n9v6-gdp6</x:v>
      </x:c>
    </x:row>
    <x:row r="26">
      <x:c r="A26" t="str">
        <x:v>DOS-3-009</x:v>
      </x:c>
      <x:c r="B26" t="n">
        <x:v>3</x:v>
      </x:c>
      <x:c r="C26" t="str">
        <x:v>299 BEDFORD AVENUE, BROOKLYN, NY, 11211, US</x:v>
      </x:c>
      <x:c r="D26" t="str">
        <x:v>BAY RIDGE LUXURY CONDOS LLC</x:v>
      </x:c>
      <x:c r="E26" t="str">
        <x:v>BAY RIDGE LUXURY CONDOS LLC</x:v>
      </x:c>
      <x:c r="F26" t="str">
        <x:v>Active name match</x:v>
      </x:c>
      <x:c r="G26" t="n">
        <x:v>1</x:v>
      </x:c>
      <x:c r="H26" t="n">
        <x:v>0</x:v>
      </x:c>
      <x:c r="I26" t="str">
        <x:v>7659818</x:v>
      </x:c>
      <x:c r="J26" t="str">
        <x:v>BAY RIDGE LUXURY CONDOS LLC</x:v>
      </x:c>
      <x:c r="K26" s="55" t="n">
        <x:v>45853</x:v>
      </x:c>
      <x:c r="L26" t="str">
        <x:v>Kings</x:v>
      </x:c>
      <x:c r="M26" t="str">
        <x:v>New York</x:v>
      </x:c>
      <x:c r="N26" t="str">
        <x:v>DOMESTIC LIMITED LIABILITY COMPANY</x:v>
      </x:c>
      <x:c r="O26" t="str">
        <x:v>BAY RIDGE LUXURY CONDOS LLC</x:v>
      </x:c>
      <x:c r="P26" t="str">
        <x:v>436 97 STREET, BROOKLYN, NY, 11209</x:v>
      </x:c>
      <x:c r="Q26" t="str"/>
      <x:c r="R26" t="str"/>
      <x:c r="S26" t="str"/>
      <x:c r="T26" t="str"/>
      <x:c r="U26" t="str"/>
      <x:c r="V26" t="str"/>
      <x:c r="W26" t="str"/>
      <x:c r="X26" t="str"/>
      <x:c r="Y26" t="str">
        <x:v>https://data.ny.gov/Economic-Development/Active-Corporations-Beginning-1800/n9v6-gdp6</x:v>
      </x:c>
    </x:row>
    <x:row r="27">
      <x:c r="A27" t="str">
        <x:v>DOS-3-009</x:v>
      </x:c>
      <x:c r="B27" t="n">
        <x:v>3</x:v>
      </x:c>
      <x:c r="C27" t="str">
        <x:v>299 BEDFORD AVENUE, BROOKLYN, NY, 11211, US</x:v>
      </x:c>
      <x:c r="D27" t="str">
        <x:v>GOVLI HOLDINGS LLC</x:v>
      </x:c>
      <x:c r="E27" t="str">
        <x:v>GOVLI HOLDINGS LLC</x:v>
      </x:c>
      <x:c r="F27" t="str">
        <x:v>Active name match</x:v>
      </x:c>
      <x:c r="G27" t="n">
        <x:v>1</x:v>
      </x:c>
      <x:c r="H27" t="n">
        <x:v>0</x:v>
      </x:c>
      <x:c r="I27" t="str">
        <x:v>5688993</x:v>
      </x:c>
      <x:c r="J27" t="str">
        <x:v>GOVLI HOLDINGS LLC</x:v>
      </x:c>
      <x:c r="K27" s="55" t="n">
        <x:v>43844</x:v>
      </x:c>
      <x:c r="L27" t="str">
        <x:v>Nassau</x:v>
      </x:c>
      <x:c r="M27" t="str">
        <x:v>New York</x:v>
      </x:c>
      <x:c r="N27" t="str">
        <x:v>DOMESTIC LIMITED LIABILITY COMPANY</x:v>
      </x:c>
      <x:c r="O27" t="str">
        <x:v>ROSEN LAW LLC</x:v>
      </x:c>
      <x:c r="P27" t="str">
        <x:v>216 LAKEVILLE ROAD, GREAT NECK, NY, 11020</x:v>
      </x:c>
      <x:c r="Q27" t="str"/>
      <x:c r="R27" t="str"/>
      <x:c r="S27" t="str"/>
      <x:c r="T27" t="str"/>
      <x:c r="U27" t="str"/>
      <x:c r="V27" t="str"/>
      <x:c r="W27" t="str"/>
      <x:c r="X27" t="str"/>
      <x:c r="Y27" t="str">
        <x:v>https://data.ny.gov/Economic-Development/Active-Corporations-Beginning-1800/n9v6-gdp6</x:v>
      </x:c>
    </x:row>
    <x:row r="28">
      <x:c r="A28" t="str">
        <x:v>DOS-3-009</x:v>
      </x:c>
      <x:c r="B28" t="n">
        <x:v>3</x:v>
      </x:c>
      <x:c r="C28" t="str">
        <x:v>299 BEDFORD AVENUE, BROOKLYN, NY, 11211, US</x:v>
      </x:c>
      <x:c r="D28" t="str">
        <x:v>SUPER APARTMENTS LLC</x:v>
      </x:c>
      <x:c r="E28" t="str">
        <x:v>SUPER APARTMENTS LLC</x:v>
      </x:c>
      <x:c r="F28" t="str">
        <x:v>Active name match</x:v>
      </x:c>
      <x:c r="G28" t="n">
        <x:v>1</x:v>
      </x:c>
      <x:c r="H28" t="n">
        <x:v>0</x:v>
      </x:c>
      <x:c r="I28" t="str">
        <x:v>3732924</x:v>
      </x:c>
      <x:c r="J28" t="str">
        <x:v>SUPER APARTMENTS LLC</x:v>
      </x:c>
      <x:c r="K28" s="55" t="n">
        <x:v>39738</x:v>
      </x:c>
      <x:c r="L28" t="str">
        <x:v>Kings</x:v>
      </x:c>
      <x:c r="M28" t="str">
        <x:v>New York</x:v>
      </x:c>
      <x:c r="N28" t="str">
        <x:v>DOMESTIC LIMITED LIABILITY COMPANY</x:v>
      </x:c>
      <x:c r="O28" t="str">
        <x:v>C/O ROSEN LAW LLC</x:v>
      </x:c>
      <x:c r="P28" t="str">
        <x:v>216 LAKEVILLE ROAD, GREAT NECK, NY, 11020</x:v>
      </x:c>
      <x:c r="Q28" t="str"/>
      <x:c r="R28" t="str"/>
      <x:c r="S28" t="str"/>
      <x:c r="T28" t="str"/>
      <x:c r="U28" t="str"/>
      <x:c r="V28" t="str"/>
      <x:c r="W28" t="str"/>
      <x:c r="X28" t="str"/>
      <x:c r="Y28" t="str">
        <x:v>https://data.ny.gov/Economic-Development/Active-Corporations-Beginning-1800/n9v6-gdp6</x:v>
      </x:c>
    </x:row>
    <x:row r="29">
      <x:c r="A29" t="str">
        <x:v>DOS-3-010</x:v>
      </x:c>
      <x:c r="B29" t="n">
        <x:v>3</x:v>
      </x:c>
      <x:c r="C29" t="str">
        <x:v>37 WEST 65TH STREET, NEW YORK, NY, 10023, US</x:v>
      </x:c>
      <x:c r="D29" t="str">
        <x:v>116 DEVELOPMENT EQUITIES LLC</x:v>
      </x:c>
      <x:c r="E29" t="str">
        <x:v>116 DEVELOPMENT EQUITIES LLC</x:v>
      </x:c>
      <x:c r="F29" t="str">
        <x:v>Active name match</x:v>
      </x:c>
      <x:c r="G29" t="n">
        <x:v>1</x:v>
      </x:c>
      <x:c r="H29" t="n">
        <x:v>0</x:v>
      </x:c>
      <x:c r="I29" t="str">
        <x:v>2509355</x:v>
      </x:c>
      <x:c r="J29" t="str">
        <x:v>116 DEVELOPMENT EQUITIES LLC</x:v>
      </x:c>
      <x:c r="K29" s="55" t="n">
        <x:v>36658</x:v>
      </x:c>
      <x:c r="L29" t="str">
        <x:v>New York</x:v>
      </x:c>
      <x:c r="M29" t="str">
        <x:v>New York</x:v>
      </x:c>
      <x:c r="N29" t="str">
        <x:v>DOMESTIC LIMITED LIABILITY COMPANY</x:v>
      </x:c>
      <x:c r="O29" t="str">
        <x:v>116 DEVELOPMENT EQUITIES LLC</x:v>
      </x:c>
      <x:c r="P29" t="str">
        <x:v>C/O K&amp;R REALTY MANAGEMENT, 316 W 118TH ST, NEW YORK, NY, 10026</x:v>
      </x:c>
      <x:c r="Q29" t="str"/>
      <x:c r="R29" t="str"/>
      <x:c r="S29" t="str"/>
      <x:c r="T29" t="str"/>
      <x:c r="U29" t="str"/>
      <x:c r="V29" t="str"/>
      <x:c r="W29" t="str"/>
      <x:c r="X29" t="str"/>
      <x:c r="Y29" t="str">
        <x:v>https://data.ny.gov/Economic-Development/Active-Corporations-Beginning-1800/n9v6-gdp6</x:v>
      </x:c>
    </x:row>
    <x:row r="30">
      <x:c r="A30" t="str">
        <x:v>DOS-3-010</x:v>
      </x:c>
      <x:c r="B30" t="n">
        <x:v>3</x:v>
      </x:c>
      <x:c r="C30" t="str">
        <x:v>37 WEST 65TH STREET, NEW YORK, NY, 10023, US</x:v>
      </x:c>
      <x:c r="D30" t="str">
        <x:v>2173 EQUITIES LLC</x:v>
      </x:c>
      <x:c r="E30" t="str">
        <x:v>2173 EQUITIES LLC</x:v>
      </x:c>
      <x:c r="F30" t="str">
        <x:v>Active name match</x:v>
      </x:c>
      <x:c r="G30" t="n">
        <x:v>1</x:v>
      </x:c>
      <x:c r="H30" t="n">
        <x:v>0</x:v>
      </x:c>
      <x:c r="I30" t="str">
        <x:v>3957439</x:v>
      </x:c>
      <x:c r="J30" t="str">
        <x:v>2173 EQUITIES LLC</x:v>
      </x:c>
      <x:c r="K30" s="55" t="n">
        <x:v>40332</x:v>
      </x:c>
      <x:c r="L30" t="str">
        <x:v>New York</x:v>
      </x:c>
      <x:c r="M30" t="str">
        <x:v>Delaware</x:v>
      </x:c>
      <x:c r="N30" t="str">
        <x:v>FOREIGN LIMITED LIABILITY COMPANY</x:v>
      </x:c>
      <x:c r="O30" t="str">
        <x:v>2173 EQUITIES LLC</x:v>
      </x:c>
      <x:c r="P30" t="str">
        <x:v>316 WEST 118TH ST, 4TH FL, NEW YORK, NY, 10026</x:v>
      </x:c>
      <x:c r="Q30" t="str"/>
      <x:c r="R30" t="str"/>
      <x:c r="S30" t="str"/>
      <x:c r="T30" t="str"/>
      <x:c r="U30" t="str"/>
      <x:c r="V30" t="str"/>
      <x:c r="W30" t="str"/>
      <x:c r="X30" t="str"/>
      <x:c r="Y30" t="str">
        <x:v>https://data.ny.gov/Economic-Development/Active-Corporations-Beginning-1800/n9v6-gdp6</x:v>
      </x:c>
    </x:row>
    <x:row r="31">
      <x:c r="A31" t="str">
        <x:v>DOS-3-010</x:v>
      </x:c>
      <x:c r="B31" t="n">
        <x:v>3</x:v>
      </x:c>
      <x:c r="C31" t="str">
        <x:v>37 WEST 65TH STREET, NEW YORK, NY, 10023, US</x:v>
      </x:c>
      <x:c r="D31" t="str">
        <x:v>BROWNSTONE PARKING LLC</x:v>
      </x:c>
      <x:c r="E31" t="str">
        <x:v>BROWNSTONE PARKING LLC</x:v>
      </x:c>
      <x:c r="F31" t="str">
        <x:v>Active name match</x:v>
      </x:c>
      <x:c r="G31" t="n">
        <x:v>1</x:v>
      </x:c>
      <x:c r="H31" t="n">
        <x:v>0</x:v>
      </x:c>
      <x:c r="I31" t="str">
        <x:v>3166116</x:v>
      </x:c>
      <x:c r="J31" t="str">
        <x:v>BROWNSTONE PARKING LLC</x:v>
      </x:c>
      <x:c r="K31" s="55" t="n">
        <x:v>38400</x:v>
      </x:c>
      <x:c r="L31" t="str">
        <x:v>Bronx</x:v>
      </x:c>
      <x:c r="M31" t="str">
        <x:v>New York</x:v>
      </x:c>
      <x:c r="N31" t="str">
        <x:v>DOMESTIC LIMITED LIABILITY COMPANY</x:v>
      </x:c>
      <x:c r="O31" t="str">
        <x:v>BROWNSTONE PARKING LLC</x:v>
      </x:c>
      <x:c r="P31" t="str">
        <x:v>310 W 120TH ST, NEW YORK, NY, 10027</x:v>
      </x:c>
      <x:c r="Q31" t="str"/>
      <x:c r="R31" t="str"/>
      <x:c r="S31" t="str"/>
      <x:c r="T31" t="str"/>
      <x:c r="U31" t="str"/>
      <x:c r="V31" t="str"/>
      <x:c r="W31" t="str"/>
      <x:c r="X31" t="str"/>
      <x:c r="Y31" t="str">
        <x:v>https://data.ny.gov/Economic-Development/Active-Corporations-Beginning-1800/n9v6-gdp6</x:v>
      </x:c>
    </x:row>
    <x:row r="32">
      <x:c r="A32" t="str">
        <x:v>DOS-3-011</x:v>
      </x:c>
      <x:c r="B32" t="n">
        <x:v>3</x:v>
      </x:c>
      <x:c r="C32" t="str">
        <x:v>152 RUTLEDGE STREET, BROOKLYN, NY, 11211, US</x:v>
      </x:c>
      <x:c r="D32" t="str">
        <x:v>25 ISRAEL ZUPNICK DRIVE LLC</x:v>
      </x:c>
      <x:c r="E32" t="str">
        <x:v>25 ISRAEL ZUPNICK DRIVE LLC</x:v>
      </x:c>
      <x:c r="F32" t="str">
        <x:v>No active DOS match</x:v>
      </x:c>
      <x:c r="G32" t="n">
        <x:v>0</x:v>
      </x:c>
      <x:c r="H32" t="n">
        <x:v>0</x:v>
      </x:c>
      <x:c r="I32" t="str"/>
      <x:c r="J32" t="str"/>
      <x:c r="K32" s="55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>
        <x:v>https://data.ny.gov/Economic-Development/Active-Corporations-Beginning-1800/n9v6-gdp6</x:v>
      </x:c>
    </x:row>
    <x:row r="33">
      <x:c r="A33" t="str">
        <x:v>DOS-3-011</x:v>
      </x:c>
      <x:c r="B33" t="n">
        <x:v>3</x:v>
      </x:c>
      <x:c r="C33" t="str">
        <x:v>152 RUTLEDGE STREET, BROOKLYN, NY, 11211, US</x:v>
      </x:c>
      <x:c r="D33" t="str">
        <x:v>431 MARCY AVENUE LLC</x:v>
      </x:c>
      <x:c r="E33" t="str">
        <x:v>431 MARCY AVENUE LLC</x:v>
      </x:c>
      <x:c r="F33" t="str">
        <x:v>Address-corroborated active match</x:v>
      </x:c>
      <x:c r="G33" t="n">
        <x:v>1</x:v>
      </x:c>
      <x:c r="H33" t="n">
        <x:v>2</x:v>
      </x:c>
      <x:c r="I33" t="str">
        <x:v>3874634</x:v>
      </x:c>
      <x:c r="J33" t="str">
        <x:v>431 MARCY AVENUE LLC</x:v>
      </x:c>
      <x:c r="K33" s="55" t="n">
        <x:v>40120</x:v>
      </x:c>
      <x:c r="L33" t="str">
        <x:v>Kings</x:v>
      </x:c>
      <x:c r="M33" t="str">
        <x:v>New York</x:v>
      </x:c>
      <x:c r="N33" t="str">
        <x:v>DOMESTIC LIMITED LIABILITY COMPANY</x:v>
      </x:c>
      <x:c r="O33" t="str">
        <x:v>431 MARCY AVENUE LLC</x:v>
      </x:c>
      <x:c r="P33" t="str">
        <x:v>152 RUTLEDGE ST, BROOKLYN, NY, 11211</x:v>
      </x:c>
      <x:c r="Q33" t="str"/>
      <x:c r="R33" t="str"/>
      <x:c r="S33" t="str"/>
      <x:c r="T33" t="str"/>
      <x:c r="U33" t="str"/>
      <x:c r="V33" t="str"/>
      <x:c r="W33" t="str"/>
      <x:c r="X33" t="str"/>
      <x:c r="Y33" t="str">
        <x:v>https://data.ny.gov/Economic-Development/Active-Corporations-Beginning-1800/n9v6-gdp6</x:v>
      </x:c>
    </x:row>
    <x:row r="34">
      <x:c r="A34" t="str">
        <x:v>DOS-3-011</x:v>
      </x:c>
      <x:c r="B34" t="n">
        <x:v>3</x:v>
      </x:c>
      <x:c r="C34" t="str">
        <x:v>152 RUTLEDGE STREET, BROOKLYN, NY, 11211, US</x:v>
      </x:c>
      <x:c r="D34" t="str">
        <x:v>HATZLACHA LLC</x:v>
      </x:c>
      <x:c r="E34" t="str">
        <x:v>HATZLACHA, LLC</x:v>
      </x:c>
      <x:c r="F34" t="str">
        <x:v>Address-corroborated active match</x:v>
      </x:c>
      <x:c r="G34" t="n">
        <x:v>1</x:v>
      </x:c>
      <x:c r="H34" t="n">
        <x:v>2</x:v>
      </x:c>
      <x:c r="I34" t="str">
        <x:v>2884990</x:v>
      </x:c>
      <x:c r="J34" t="str">
        <x:v>HATZLACHA, LLC</x:v>
      </x:c>
      <x:c r="K34" s="55" t="n">
        <x:v>37700</x:v>
      </x:c>
      <x:c r="L34" t="str">
        <x:v>Kings</x:v>
      </x:c>
      <x:c r="M34" t="str">
        <x:v>New York</x:v>
      </x:c>
      <x:c r="N34" t="str">
        <x:v>DOMESTIC LIMITED LIABILITY COMPANY</x:v>
      </x:c>
      <x:c r="O34" t="str">
        <x:v>HATZLACHA, LLC</x:v>
      </x:c>
      <x:c r="P34" t="str">
        <x:v>152 RUTLEDGE ST, BROOKLYN, NY, 112118005</x:v>
      </x:c>
      <x:c r="Q34" t="str"/>
      <x:c r="R34" t="str"/>
      <x:c r="S34" t="str"/>
      <x:c r="T34" t="str"/>
      <x:c r="U34" t="str"/>
      <x:c r="V34" t="str"/>
      <x:c r="W34" t="str"/>
      <x:c r="X34" t="str"/>
      <x:c r="Y34" t="str">
        <x:v>https://data.ny.gov/Economic-Development/Active-Corporations-Beginning-1800/n9v6-gdp6</x:v>
      </x:c>
    </x:row>
    <x:row r="35">
      <x:c r="A35" t="str">
        <x:v>DOS-3-012</x:v>
      </x:c>
      <x:c r="B35" t="n">
        <x:v>3</x:v>
      </x:c>
      <x:c r="C35" t="str">
        <x:v>1652 PARK AVENUE, SUITE LL, NEW YORK, NY, 10035, US</x:v>
      </x:c>
      <x:c r="D35" t="str">
        <x:v>BROOKLYN PARK TERRACE LLC</x:v>
      </x:c>
      <x:c r="E35" t="str">
        <x:v>BROOKLYN PARK TERRACE LLC</x:v>
      </x:c>
      <x:c r="F35" t="str">
        <x:v>Address-corroborated active match</x:v>
      </x:c>
      <x:c r="G35" t="n">
        <x:v>1</x:v>
      </x:c>
      <x:c r="H35" t="n">
        <x:v>2</x:v>
      </x:c>
      <x:c r="I35" t="str">
        <x:v>5334783</x:v>
      </x:c>
      <x:c r="J35" t="str">
        <x:v>BROOKLYN PARK TERRACE, LLC</x:v>
      </x:c>
      <x:c r="K35" s="55" t="n">
        <x:v>43223</x:v>
      </x:c>
      <x:c r="L35" t="str">
        <x:v>New York</x:v>
      </x:c>
      <x:c r="M35" t="str">
        <x:v>New York</x:v>
      </x:c>
      <x:c r="N35" t="str">
        <x:v>DOMESTIC LIMITED LIABILITY COMPANY</x:v>
      </x:c>
      <x:c r="O35" t="str">
        <x:v>BROOKLYN PARK TERRACE, LLC</x:v>
      </x:c>
      <x:c r="P35" t="str">
        <x:v>1652 PARK AVENUE, SUITE LL, NEW YORK, NY, 10035</x:v>
      </x:c>
      <x:c r="Q35" t="str"/>
      <x:c r="R35" t="str"/>
      <x:c r="S35" t="str"/>
      <x:c r="T35" t="str"/>
      <x:c r="U35" t="str"/>
      <x:c r="V35" t="str"/>
      <x:c r="W35" t="str"/>
      <x:c r="X35" t="str"/>
      <x:c r="Y35" t="str">
        <x:v>https://data.ny.gov/Economic-Development/Active-Corporations-Beginning-1800/n9v6-gdp6</x:v>
      </x:c>
    </x:row>
    <x:row r="36">
      <x:c r="A36" t="str">
        <x:v>DOS-3-012</x:v>
      </x:c>
      <x:c r="B36" t="n">
        <x:v>3</x:v>
      </x:c>
      <x:c r="C36" t="str">
        <x:v>1652 PARK AVENUE, SUITE LL, NEW YORK, NY, 10035, US</x:v>
      </x:c>
      <x:c r="D36" t="str">
        <x:v>CLAREMONT HOMES LLC</x:v>
      </x:c>
      <x:c r="E36" t="str">
        <x:v>CLAREMONT HOMES, LLC</x:v>
      </x:c>
      <x:c r="F36" t="str">
        <x:v>Address-corroborated active match</x:v>
      </x:c>
      <x:c r="G36" t="n">
        <x:v>1</x:v>
      </x:c>
      <x:c r="H36" t="n">
        <x:v>2</x:v>
      </x:c>
      <x:c r="I36" t="str">
        <x:v>5377710</x:v>
      </x:c>
      <x:c r="J36" t="str">
        <x:v>CLAREMONT HOMES, LLC</x:v>
      </x:c>
      <x:c r="K36" s="55" t="n">
        <x:v>43299</x:v>
      </x:c>
      <x:c r="L36" t="str">
        <x:v>New York</x:v>
      </x:c>
      <x:c r="M36" t="str">
        <x:v>New York</x:v>
      </x:c>
      <x:c r="N36" t="str">
        <x:v>DOMESTIC LIMITED LIABILITY COMPANY</x:v>
      </x:c>
      <x:c r="O36" t="str">
        <x:v>CLAREMONT HOMES, LLC</x:v>
      </x:c>
      <x:c r="P36" t="str">
        <x:v>1652 PARK AVENUE, SUITE LL, NEW YORK, NY, 10035</x:v>
      </x:c>
      <x:c r="Q36" t="str"/>
      <x:c r="R36" t="str"/>
      <x:c r="S36" t="str"/>
      <x:c r="T36" t="str"/>
      <x:c r="U36" t="str"/>
      <x:c r="V36" t="str"/>
      <x:c r="W36" t="str"/>
      <x:c r="X36" t="str"/>
      <x:c r="Y36" t="str">
        <x:v>https://data.ny.gov/Economic-Development/Active-Corporations-Beginning-1800/n9v6-gdp6</x:v>
      </x:c>
    </x:row>
    <x:row r="37">
      <x:c r="A37" t="str">
        <x:v>DOS-3-012</x:v>
      </x:c>
      <x:c r="B37" t="n">
        <x:v>3</x:v>
      </x:c>
      <x:c r="C37" t="str">
        <x:v>1652 PARK AVENUE, SUITE LL, NEW YORK, NY, 10035, US</x:v>
      </x:c>
      <x:c r="D37" t="str">
        <x:v>LENOX TWINS LLC</x:v>
      </x:c>
      <x:c r="E37" t="str">
        <x:v>LENOX TWINS, LLC</x:v>
      </x:c>
      <x:c r="F37" t="str">
        <x:v>Active name match</x:v>
      </x:c>
      <x:c r="G37" t="n">
        <x:v>1</x:v>
      </x:c>
      <x:c r="H37" t="n">
        <x:v>0</x:v>
      </x:c>
      <x:c r="I37" t="str">
        <x:v>5431145</x:v>
      </x:c>
      <x:c r="J37" t="str">
        <x:v>LENOX TWINS, LLC</x:v>
      </x:c>
      <x:c r="K37" s="55" t="n">
        <x:v>43397</x:v>
      </x:c>
      <x:c r="L37" t="str">
        <x:v>New York</x:v>
      </x:c>
      <x:c r="M37" t="str">
        <x:v>New York</x:v>
      </x:c>
      <x:c r="N37" t="str">
        <x:v>DOMESTIC LIMITED LIABILITY COMPANY</x:v>
      </x:c>
      <x:c r="O37" t="str">
        <x:v>LENOX TWINS LLC</x:v>
      </x:c>
      <x:c r="P37" t="str">
        <x:v>11 Grace Avenue, Suite 405, Great Neck, NY, 11021</x:v>
      </x:c>
      <x:c r="Q37" t="str"/>
      <x:c r="R37" t="str"/>
      <x:c r="S37" t="str"/>
      <x:c r="T37" t="str"/>
      <x:c r="U37" t="str"/>
      <x:c r="V37" t="str"/>
      <x:c r="W37" t="str"/>
      <x:c r="X37" t="str"/>
      <x:c r="Y37" t="str">
        <x:v>https://data.ny.gov/Economic-Development/Active-Corporations-Beginning-1800/n9v6-gdp6</x:v>
      </x:c>
    </x:row>
    <x:row r="38">
      <x:c r="A38" t="str">
        <x:v>DOS-3-013</x:v>
      </x:c>
      <x:c r="B38" t="n">
        <x:v>3</x:v>
      </x:c>
      <x:c r="C38" t="str">
        <x:v>112-15 NORTHERN BOULEVARD #2, CORONA, NY, 11368, US</x:v>
      </x:c>
      <x:c r="D38" t="str">
        <x:v>CITIVIEW GARAGE LLC</x:v>
      </x:c>
      <x:c r="E38" t="str">
        <x:v>CITIVIEW GARAGE, LLC</x:v>
      </x:c>
      <x:c r="F38" t="str">
        <x:v>Active name match</x:v>
      </x:c>
      <x:c r="G38" t="n">
        <x:v>1</x:v>
      </x:c>
      <x:c r="H38" t="n">
        <x:v>1</x:v>
      </x:c>
      <x:c r="I38" t="str">
        <x:v>6584988</x:v>
      </x:c>
      <x:c r="J38" t="str">
        <x:v>CITIVIEW GARAGE, LLC</x:v>
      </x:c>
      <x:c r="K38" s="55" t="n">
        <x:v>44813</x:v>
      </x:c>
      <x:c r="L38" t="str">
        <x:v>Queens</x:v>
      </x:c>
      <x:c r="M38" t="str">
        <x:v>New York</x:v>
      </x:c>
      <x:c r="N38" t="str">
        <x:v>DOMESTIC LIMITED LIABILITY COMPANY</x:v>
      </x:c>
      <x:c r="O38" t="str">
        <x:v>THE LIMITED LIABILITY COMPANY</x:v>
      </x:c>
      <x:c r="P38" t="str">
        <x:v>112-15 Northern Blvd #2, Corona, NY, 11368</x:v>
      </x:c>
      <x:c r="Q38" t="str"/>
      <x:c r="R38" t="str"/>
      <x:c r="S38" t="str"/>
      <x:c r="T38" t="str"/>
      <x:c r="U38" t="str"/>
      <x:c r="V38" t="str"/>
      <x:c r="W38" t="str"/>
      <x:c r="X38" t="str"/>
      <x:c r="Y38" t="str">
        <x:v>https://data.ny.gov/Economic-Development/Active-Corporations-Beginning-1800/n9v6-gdp6</x:v>
      </x:c>
    </x:row>
    <x:row r="39">
      <x:c r="A39" t="str">
        <x:v>DOS-3-013</x:v>
      </x:c>
      <x:c r="B39" t="n">
        <x:v>3</x:v>
      </x:c>
      <x:c r="C39" t="str">
        <x:v>112-15 NORTHERN BOULEVARD #2, CORONA, NY, 11368, US</x:v>
      </x:c>
      <x:c r="D39" t="str">
        <x:v>CITIVIEW RETAIL LLC</x:v>
      </x:c>
      <x:c r="E39" t="str">
        <x:v>CITIVIEW RETAIL, LLC</x:v>
      </x:c>
      <x:c r="F39" t="str">
        <x:v>Active name match</x:v>
      </x:c>
      <x:c r="G39" t="n">
        <x:v>1</x:v>
      </x:c>
      <x:c r="H39" t="n">
        <x:v>1</x:v>
      </x:c>
      <x:c r="I39" t="str">
        <x:v>6584993</x:v>
      </x:c>
      <x:c r="J39" t="str">
        <x:v>CITIVIEW RETAIL, LLC</x:v>
      </x:c>
      <x:c r="K39" s="55" t="n">
        <x:v>44813</x:v>
      </x:c>
      <x:c r="L39" t="str">
        <x:v>Queens</x:v>
      </x:c>
      <x:c r="M39" t="str">
        <x:v>New York</x:v>
      </x:c>
      <x:c r="N39" t="str">
        <x:v>DOMESTIC LIMITED LIABILITY COMPANY</x:v>
      </x:c>
      <x:c r="O39" t="str">
        <x:v>THE LIMITED LIABILITY COMPANY</x:v>
      </x:c>
      <x:c r="P39" t="str">
        <x:v>112-15 Northern Blvd #2, Corona, NY, 11368</x:v>
      </x:c>
      <x:c r="Q39" t="str"/>
      <x:c r="R39" t="str"/>
      <x:c r="S39" t="str"/>
      <x:c r="T39" t="str"/>
      <x:c r="U39" t="str"/>
      <x:c r="V39" t="str"/>
      <x:c r="W39" t="str"/>
      <x:c r="X39" t="str"/>
      <x:c r="Y39" t="str">
        <x:v>https://data.ny.gov/Economic-Development/Active-Corporations-Beginning-1800/n9v6-gdp6</x:v>
      </x:c>
    </x:row>
    <x:row r="40">
      <x:c r="A40" t="str">
        <x:v>DOS-3-013</x:v>
      </x:c>
      <x:c r="B40" t="n">
        <x:v>3</x:v>
      </x:c>
      <x:c r="C40" t="str">
        <x:v>112-15 NORTHERN BOULEVARD #2, CORONA, NY, 11368, US</x:v>
      </x:c>
      <x:c r="D40" t="str">
        <x:v>COURT SQUARE PROPERTY LLC</x:v>
      </x:c>
      <x:c r="E40" t="str">
        <x:v>COURT SQUARE PROPERTY LLC</x:v>
      </x:c>
      <x:c r="F40" t="str">
        <x:v>Active name match</x:v>
      </x:c>
      <x:c r="G40" t="n">
        <x:v>1</x:v>
      </x:c>
      <x:c r="H40" t="n">
        <x:v>1</x:v>
      </x:c>
      <x:c r="I40" t="str">
        <x:v>6554752</x:v>
      </x:c>
      <x:c r="J40" t="str">
        <x:v>COURT SQUARE PROPERTY LLC</x:v>
      </x:c>
      <x:c r="K40" s="55" t="n">
        <x:v>44776</x:v>
      </x:c>
      <x:c r="L40" t="str">
        <x:v>Queens</x:v>
      </x:c>
      <x:c r="M40" t="str">
        <x:v>New York</x:v>
      </x:c>
      <x:c r="N40" t="str">
        <x:v>DOMESTIC LIMITED LIABILITY COMPANY</x:v>
      </x:c>
      <x:c r="O40" t="str">
        <x:v>JIASHU XU</x:v>
      </x:c>
      <x:c r="P40" t="str">
        <x:v>112-15 Northern Blvd, #2, Corona, NY, 11368</x:v>
      </x:c>
      <x:c r="Q40" t="str"/>
      <x:c r="R40" t="str"/>
      <x:c r="S40" t="str"/>
      <x:c r="T40" t="str"/>
      <x:c r="U40" t="str"/>
      <x:c r="V40" t="str"/>
      <x:c r="W40" t="str"/>
      <x:c r="X40" t="str"/>
      <x:c r="Y40" t="str">
        <x:v>https://data.ny.gov/Economic-Development/Active-Corporations-Beginning-1800/n9v6-gdp6</x:v>
      </x:c>
    </x:row>
    <x:row r="41">
      <x:c r="A41" t="str">
        <x:v>DOS-3-014</x:v>
      </x:c>
      <x:c r="B41" t="n">
        <x:v>3</x:v>
      </x:c>
      <x:c r="C41" t="str">
        <x:v>39 HEYWARD STREET, BROOKLYN, NY, 11211, US</x:v>
      </x:c>
      <x:c r="D41" t="str">
        <x:v>200 WALLABOUT LLC</x:v>
      </x:c>
      <x:c r="E41" t="str">
        <x:v>200 WALLABOUT LLC</x:v>
      </x:c>
      <x:c r="F41" t="str">
        <x:v>Active name match</x:v>
      </x:c>
      <x:c r="G41" t="n">
        <x:v>1</x:v>
      </x:c>
      <x:c r="H41" t="n">
        <x:v>0</x:v>
      </x:c>
      <x:c r="I41" t="str">
        <x:v>3910411</x:v>
      </x:c>
      <x:c r="J41" t="str">
        <x:v>200 WALLABOUT LLC</x:v>
      </x:c>
      <x:c r="K41" s="55" t="n">
        <x:v>40218</x:v>
      </x:c>
      <x:c r="L41" t="str">
        <x:v>Kings</x:v>
      </x:c>
      <x:c r="M41" t="str">
        <x:v>New York</x:v>
      </x:c>
      <x:c r="N41" t="str">
        <x:v>DOMESTIC LIMITED LIABILITY COMPANY</x:v>
      </x:c>
      <x:c r="O41" t="str">
        <x:v>200 WALLABOUT LLC</x:v>
      </x:c>
      <x:c r="P41" t="str">
        <x:v>505 FLUSHING AVENUE # 1D, BROOKLYN, NY, 11205</x:v>
      </x:c>
      <x:c r="Q41" t="str"/>
      <x:c r="R41" t="str"/>
      <x:c r="S41" t="str"/>
      <x:c r="T41" t="str"/>
      <x:c r="U41" t="str"/>
      <x:c r="V41" t="str"/>
      <x:c r="W41" t="str"/>
      <x:c r="X41" t="str"/>
      <x:c r="Y41" t="str">
        <x:v>https://data.ny.gov/Economic-Development/Active-Corporations-Beginning-1800/n9v6-gdp6</x:v>
      </x:c>
    </x:row>
    <x:row r="42">
      <x:c r="A42" t="str">
        <x:v>DOS-3-014</x:v>
      </x:c>
      <x:c r="B42" t="n">
        <x:v>3</x:v>
      </x:c>
      <x:c r="C42" t="str">
        <x:v>39 HEYWARD STREET, BROOKLYN, NY, 11211, US</x:v>
      </x:c>
      <x:c r="D42" t="str">
        <x:v>210 WALLABOUT LLC</x:v>
      </x:c>
      <x:c r="E42" t="str">
        <x:v>210 WALLABOUT LLC</x:v>
      </x:c>
      <x:c r="F42" t="str">
        <x:v>Active name match</x:v>
      </x:c>
      <x:c r="G42" t="n">
        <x:v>1</x:v>
      </x:c>
      <x:c r="H42" t="n">
        <x:v>0</x:v>
      </x:c>
      <x:c r="I42" t="str">
        <x:v>3911685</x:v>
      </x:c>
      <x:c r="J42" t="str">
        <x:v>210 WALLABOUT LLC</x:v>
      </x:c>
      <x:c r="K42" s="55" t="n">
        <x:v>40220</x:v>
      </x:c>
      <x:c r="L42" t="str">
        <x:v>Kings</x:v>
      </x:c>
      <x:c r="M42" t="str">
        <x:v>New York</x:v>
      </x:c>
      <x:c r="N42" t="str">
        <x:v>DOMESTIC LIMITED LIABILITY COMPANY</x:v>
      </x:c>
      <x:c r="O42" t="str">
        <x:v>210 WALLABOUT LLC</x:v>
      </x:c>
      <x:c r="P42" t="str">
        <x:v>505 FLUSHING AVENUE # 1D, BROOKLYN, NY, 11205</x:v>
      </x:c>
      <x:c r="Q42" t="str"/>
      <x:c r="R42" t="str"/>
      <x:c r="S42" t="str"/>
      <x:c r="T42" t="str"/>
      <x:c r="U42" t="str"/>
      <x:c r="V42" t="str"/>
      <x:c r="W42" t="str"/>
      <x:c r="X42" t="str"/>
      <x:c r="Y42" t="str">
        <x:v>https://data.ny.gov/Economic-Development/Active-Corporations-Beginning-1800/n9v6-gdp6</x:v>
      </x:c>
    </x:row>
    <x:row r="43">
      <x:c r="A43" t="str">
        <x:v>DOS-3-014</x:v>
      </x:c>
      <x:c r="B43" t="n">
        <x:v>3</x:v>
      </x:c>
      <x:c r="C43" t="str">
        <x:v>39 HEYWARD STREET, BROOKLYN, NY, 11211, US</x:v>
      </x:c>
      <x:c r="D43" t="str">
        <x:v>HOPE STREET HOLDINGS LLC</x:v>
      </x:c>
      <x:c r="E43" t="str">
        <x:v>HOPE STREET HOLDINGS LLC</x:v>
      </x:c>
      <x:c r="F43" t="str">
        <x:v>Active name match</x:v>
      </x:c>
      <x:c r="G43" t="n">
        <x:v>1</x:v>
      </x:c>
      <x:c r="H43" t="n">
        <x:v>0</x:v>
      </x:c>
      <x:c r="I43" t="str">
        <x:v>3327527</x:v>
      </x:c>
      <x:c r="J43" t="str">
        <x:v>HOPE STREET HOLDINGS, LLC</x:v>
      </x:c>
      <x:c r="K43" s="55" t="n">
        <x:v>38777</x:v>
      </x:c>
      <x:c r="L43" t="str">
        <x:v>Kings</x:v>
      </x:c>
      <x:c r="M43" t="str">
        <x:v>New York</x:v>
      </x:c>
      <x:c r="N43" t="str">
        <x:v>DOMESTIC LIMITED LIABILITY COMPANY</x:v>
      </x:c>
      <x:c r="O43" t="str">
        <x:v>HOPE STREET HOLDINGS, LLC</x:v>
      </x:c>
      <x:c r="P43" t="str">
        <x:v>505 FLUSHING AVENUE #1D, BROOKLYN, NY, 11205</x:v>
      </x:c>
      <x:c r="Q43" t="str"/>
      <x:c r="R43" t="str"/>
      <x:c r="S43" t="str"/>
      <x:c r="T43" t="str"/>
      <x:c r="U43" t="str"/>
      <x:c r="V43" t="str"/>
      <x:c r="W43" t="str"/>
      <x:c r="X43" t="str"/>
      <x:c r="Y43" t="str">
        <x:v>https://data.ny.gov/Economic-Development/Active-Corporations-Beginning-1800/n9v6-gdp6</x:v>
      </x:c>
    </x:row>
    <x:row r="44">
      <x:c r="A44" t="str">
        <x:v>DOS-3-015</x:v>
      </x:c>
      <x:c r="B44" t="n">
        <x:v>3</x:v>
      </x:c>
      <x:c r="C44" t="str">
        <x:v>97-14 ATLANTIC AVENUE, OZONE PARK, NY, 11416, US</x:v>
      </x:c>
      <x:c r="D44" t="str">
        <x:v>20 50 POWELL STREET LLC</x:v>
      </x:c>
      <x:c r="E44" t="str">
        <x:v>20-50 POWELL STREET LLC</x:v>
      </x:c>
      <x:c r="F44" t="str">
        <x:v>Address-corroborated active match</x:v>
      </x:c>
      <x:c r="G44" t="n">
        <x:v>1</x:v>
      </x:c>
      <x:c r="H44" t="n">
        <x:v>2</x:v>
      </x:c>
      <x:c r="I44" t="str">
        <x:v>4312573</x:v>
      </x:c>
      <x:c r="J44" t="str">
        <x:v>20-50 POWELL STREET LLC</x:v>
      </x:c>
      <x:c r="K44" s="55" t="n">
        <x:v>41206</x:v>
      </x:c>
      <x:c r="L44" t="str">
        <x:v>Queens</x:v>
      </x:c>
      <x:c r="M44" t="str">
        <x:v>New York</x:v>
      </x:c>
      <x:c r="N44" t="str">
        <x:v>DOMESTIC LIMITED LIABILITY COMPANY</x:v>
      </x:c>
      <x:c r="O44" t="str">
        <x:v>20-50 POWELL STREET LLC</x:v>
      </x:c>
      <x:c r="P44" t="str">
        <x:v>97-14 ATLANTIC AVENUE, OZONE PARK, NY, 11416</x:v>
      </x:c>
      <x:c r="Q44" t="str"/>
      <x:c r="R44" t="str"/>
      <x:c r="S44" t="str"/>
      <x:c r="T44" t="str"/>
      <x:c r="U44" t="str"/>
      <x:c r="V44" t="str"/>
      <x:c r="W44" t="str"/>
      <x:c r="X44" t="str"/>
      <x:c r="Y44" t="str">
        <x:v>https://data.ny.gov/Economic-Development/Active-Corporations-Beginning-1800/n9v6-gdp6</x:v>
      </x:c>
    </x:row>
    <x:row r="45">
      <x:c r="A45" t="str">
        <x:v>DOS-3-015</x:v>
      </x:c>
      <x:c r="B45" t="n">
        <x:v>3</x:v>
      </x:c>
      <x:c r="C45" t="str">
        <x:v>97-14 ATLANTIC AVENUE, OZONE PARK, NY, 11416, US</x:v>
      </x:c>
      <x:c r="D45" t="str">
        <x:v>28 POWELL STREET LLC</x:v>
      </x:c>
      <x:c r="E45" t="str">
        <x:v>28 POWELL STREET, LLC</x:v>
      </x:c>
      <x:c r="F45" t="str">
        <x:v>Address-corroborated active match</x:v>
      </x:c>
      <x:c r="G45" t="n">
        <x:v>1</x:v>
      </x:c>
      <x:c r="H45" t="n">
        <x:v>2</x:v>
      </x:c>
      <x:c r="I45" t="str">
        <x:v>4312492</x:v>
      </x:c>
      <x:c r="J45" t="str">
        <x:v>28 POWELL STREET LLC</x:v>
      </x:c>
      <x:c r="K45" s="55" t="n">
        <x:v>41206</x:v>
      </x:c>
      <x:c r="L45" t="str">
        <x:v>Queens</x:v>
      </x:c>
      <x:c r="M45" t="str">
        <x:v>New York</x:v>
      </x:c>
      <x:c r="N45" t="str">
        <x:v>DOMESTIC LIMITED LIABILITY COMPANY</x:v>
      </x:c>
      <x:c r="O45" t="str">
        <x:v>CONTROLLER</x:v>
      </x:c>
      <x:c r="P45" t="str">
        <x:v>97-14 ATLANTIC AVENUE, OZONE PARK, NY, 11416</x:v>
      </x:c>
      <x:c r="Q45" t="str"/>
      <x:c r="R45" t="str"/>
      <x:c r="S45" t="str"/>
      <x:c r="T45" t="str"/>
      <x:c r="U45" t="str"/>
      <x:c r="V45" t="str"/>
      <x:c r="W45" t="str"/>
      <x:c r="X45" t="str"/>
      <x:c r="Y45" t="str">
        <x:v>https://data.ny.gov/Economic-Development/Active-Corporations-Beginning-1800/n9v6-gdp6</x:v>
      </x:c>
    </x:row>
    <x:row r="46">
      <x:c r="A46" t="str">
        <x:v>DOS-3-015</x:v>
      </x:c>
      <x:c r="B46" t="n">
        <x:v>3</x:v>
      </x:c>
      <x:c r="C46" t="str">
        <x:v>97-14 ATLANTIC AVENUE, OZONE PARK, NY, 11416, US</x:v>
      </x:c>
      <x:c r="D46" t="str">
        <x:v>95 01 98TH ST LLC</x:v>
      </x:c>
      <x:c r="E46" t="str">
        <x:v>95-01 98TH ST. LLC</x:v>
      </x:c>
      <x:c r="F46" t="str">
        <x:v>Address-corroborated active match</x:v>
      </x:c>
      <x:c r="G46" t="n">
        <x:v>1</x:v>
      </x:c>
      <x:c r="H46" t="n">
        <x:v>2</x:v>
      </x:c>
      <x:c r="I46" t="str">
        <x:v>4151119</x:v>
      </x:c>
      <x:c r="J46" t="str">
        <x:v>95-01 98TH ST. LLC</x:v>
      </x:c>
      <x:c r="K46" s="55" t="n">
        <x:v>40823</x:v>
      </x:c>
      <x:c r="L46" t="str">
        <x:v>Queens</x:v>
      </x:c>
      <x:c r="M46" t="str">
        <x:v>New York</x:v>
      </x:c>
      <x:c r="N46" t="str">
        <x:v>DOMESTIC LIMITED LIABILITY COMPANY</x:v>
      </x:c>
      <x:c r="O46" t="str">
        <x:v>CONTROLLER</x:v>
      </x:c>
      <x:c r="P46" t="str">
        <x:v>97-14 ATLANTIC AVENUE, OZONE PARK, NY, 11416</x:v>
      </x:c>
      <x:c r="Q46" t="str"/>
      <x:c r="R46" t="str"/>
      <x:c r="S46" t="str"/>
      <x:c r="T46" t="str"/>
      <x:c r="U46" t="str"/>
      <x:c r="V46" t="str"/>
      <x:c r="W46" t="str"/>
      <x:c r="X46" t="str"/>
      <x:c r="Y46" t="str">
        <x:v>https://data.ny.gov/Economic-Development/Active-Corporations-Beginning-1800/n9v6-gdp6</x:v>
      </x:c>
    </x:row>
    <x:row r="47">
      <x:c r="A47" t="str">
        <x:v>DOS-3-016</x:v>
      </x:c>
      <x:c r="B47" t="n">
        <x:v>3</x:v>
      </x:c>
      <x:c r="C47" t="str">
        <x:v>1 HESS PLAZA, WOODBRIDGE, NJ, 07095, US</x:v>
      </x:c>
      <x:c r="D47" t="str">
        <x:v>HESS REATAIL STORES LLC</x:v>
      </x:c>
      <x:c r="E47" t="str">
        <x:v>HESS REATAIL STORES LLC</x:v>
      </x:c>
      <x:c r="F47" t="str">
        <x:v>No active DOS match</x:v>
      </x:c>
      <x:c r="G47" t="n">
        <x:v>0</x:v>
      </x:c>
      <x:c r="H47" t="n">
        <x:v>0</x:v>
      </x:c>
      <x:c r="I47" t="str"/>
      <x:c r="J47" t="str"/>
      <x:c r="K47" s="55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>
        <x:v>https://data.ny.gov/Economic-Development/Active-Corporations-Beginning-1800/n9v6-gdp6</x:v>
      </x:c>
    </x:row>
    <x:row r="48">
      <x:c r="A48" t="str">
        <x:v>DOS-3-016</x:v>
      </x:c>
      <x:c r="B48" t="n">
        <x:v>3</x:v>
      </x:c>
      <x:c r="C48" t="str">
        <x:v>1 HESS PLAZA, WOODBRIDGE, NJ, 07095, US</x:v>
      </x:c>
      <x:c r="D48" t="str">
        <x:v>HESS REATIL STORES LLC</x:v>
      </x:c>
      <x:c r="E48" t="str">
        <x:v>HESS REATIL STORES LLC</x:v>
      </x:c>
      <x:c r="F48" t="str">
        <x:v>No active DOS match</x:v>
      </x:c>
      <x:c r="G48" t="n">
        <x:v>0</x:v>
      </x:c>
      <x:c r="H48" t="n">
        <x:v>0</x:v>
      </x:c>
      <x:c r="I48" t="str"/>
      <x:c r="J48" t="str"/>
      <x:c r="K48" s="55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>
        <x:v>https://data.ny.gov/Economic-Development/Active-Corporations-Beginning-1800/n9v6-gdp6</x:v>
      </x:c>
    </x:row>
    <x:row r="49">
      <x:c r="A49" t="str">
        <x:v>DOS-3-016</x:v>
      </x:c>
      <x:c r="B49" t="n">
        <x:v>3</x:v>
      </x:c>
      <x:c r="C49" t="str">
        <x:v>1 HESS PLAZA, WOODBRIDGE, NJ, 07095, US</x:v>
      </x:c>
      <x:c r="D49" t="str">
        <x:v>HESS RETAIL STORES LLC</x:v>
      </x:c>
      <x:c r="E49" t="str">
        <x:v>HESS RETAIL STORES LLC</x:v>
      </x:c>
      <x:c r="F49" t="str">
        <x:v>No active DOS match</x:v>
      </x:c>
      <x:c r="G49" t="n">
        <x:v>0</x:v>
      </x:c>
      <x:c r="H49" t="n">
        <x:v>0</x:v>
      </x:c>
      <x:c r="I49" t="str"/>
      <x:c r="J49" t="str"/>
      <x:c r="K49" s="55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>
        <x:v>https://data.ny.gov/Economic-Development/Active-Corporations-Beginning-1800/n9v6-gdp6</x:v>
      </x:c>
    </x:row>
    <x:row r="50">
      <x:c r="A50" t="str">
        <x:v>DOS-3-017</x:v>
      </x:c>
      <x:c r="B50" t="n">
        <x:v>3</x:v>
      </x:c>
      <x:c r="C50" t="str">
        <x:v>1501 ST. LAWRENCE AVENUE, BRONX, NY, 10460, US</x:v>
      </x:c>
      <x:c r="D50" t="str">
        <x:v>2712 HOLLAND AVE LLC</x:v>
      </x:c>
      <x:c r="E50" t="str">
        <x:v>2712 HOLLAND AVE LLC</x:v>
      </x:c>
      <x:c r="F50" t="str">
        <x:v>Active name match</x:v>
      </x:c>
      <x:c r="G50" t="n">
        <x:v>1</x:v>
      </x:c>
      <x:c r="H50" t="n">
        <x:v>0</x:v>
      </x:c>
      <x:c r="I50" t="str">
        <x:v>7676443</x:v>
      </x:c>
      <x:c r="J50" t="str">
        <x:v>2712 HOLLAND AVE LLC</x:v>
      </x:c>
      <x:c r="K50" s="55" t="n">
        <x:v>45873</x:v>
      </x:c>
      <x:c r="L50" t="str">
        <x:v>Queens</x:v>
      </x:c>
      <x:c r="M50" t="str">
        <x:v>New York</x:v>
      </x:c>
      <x:c r="N50" t="str">
        <x:v>DOMESTIC LIMITED LIABILITY COMPANY</x:v>
      </x:c>
      <x:c r="O50" t="str">
        <x:v>SUNIL K. AGARWAL, P.C.</x:v>
      </x:c>
      <x:c r="P50" t="str">
        <x:v>118-35 QUEENS BOULEVARD, SUITE 1610, FOREST HILLS, NY, 11375</x:v>
      </x:c>
      <x:c r="Q50" t="str"/>
      <x:c r="R50" t="str"/>
      <x:c r="S50" t="str"/>
      <x:c r="T50" t="str"/>
      <x:c r="U50" t="str"/>
      <x:c r="V50" t="str"/>
      <x:c r="W50" t="str"/>
      <x:c r="X50" t="str"/>
      <x:c r="Y50" t="str">
        <x:v>https://data.ny.gov/Economic-Development/Active-Corporations-Beginning-1800/n9v6-gdp6</x:v>
      </x:c>
    </x:row>
    <x:row r="51">
      <x:c r="A51" t="str">
        <x:v>DOS-3-017</x:v>
      </x:c>
      <x:c r="B51" t="n">
        <x:v>3</x:v>
      </x:c>
      <x:c r="C51" t="str">
        <x:v>1501 ST. LAWRENCE AVENUE, BRONX, NY, 10460, US</x:v>
      </x:c>
      <x:c r="D51" t="str">
        <x:v>JET 219 LLC</x:v>
      </x:c>
      <x:c r="E51" t="str">
        <x:v>JET 219 LLC</x:v>
      </x:c>
      <x:c r="F51" t="str">
        <x:v>Address-corroborated active match</x:v>
      </x:c>
      <x:c r="G51" t="n">
        <x:v>1</x:v>
      </x:c>
      <x:c r="H51" t="n">
        <x:v>2</x:v>
      </x:c>
      <x:c r="I51" t="str">
        <x:v>3630490</x:v>
      </x:c>
      <x:c r="J51" t="str">
        <x:v>JET 219 LLC</x:v>
      </x:c>
      <x:c r="K51" s="55" t="n">
        <x:v>39490</x:v>
      </x:c>
      <x:c r="L51" t="str">
        <x:v>Westchester</x:v>
      </x:c>
      <x:c r="M51" t="str">
        <x:v>New York</x:v>
      </x:c>
      <x:c r="N51" t="str">
        <x:v>DOMESTIC LIMITED LIABILITY COMPANY</x:v>
      </x:c>
      <x:c r="O51" t="str">
        <x:v>RAY TOTARAM</x:v>
      </x:c>
      <x:c r="P51" t="str">
        <x:v>1501 ST. LAWRENCE AVE., BRONX, NY, 10460</x:v>
      </x:c>
      <x:c r="Q51" t="str"/>
      <x:c r="R51" t="str"/>
      <x:c r="S51" t="str"/>
      <x:c r="T51" t="str"/>
      <x:c r="U51" t="str"/>
      <x:c r="V51" t="str"/>
      <x:c r="W51" t="str"/>
      <x:c r="X51" t="str"/>
      <x:c r="Y51" t="str">
        <x:v>https://data.ny.gov/Economic-Development/Active-Corporations-Beginning-1800/n9v6-gdp6</x:v>
      </x:c>
    </x:row>
    <x:row r="52">
      <x:c r="A52" t="str">
        <x:v>DOS-3-017</x:v>
      </x:c>
      <x:c r="B52" t="n">
        <x:v>3</x:v>
      </x:c>
      <x:c r="C52" t="str">
        <x:v>1501 ST. LAWRENCE AVENUE, BRONX, NY, 10460, US</x:v>
      </x:c>
      <x:c r="D52" t="str">
        <x:v>TOP NOTCH 19 LLC</x:v>
      </x:c>
      <x:c r="E52" t="str">
        <x:v>TOP NOTCH 19 LLC</x:v>
      </x:c>
      <x:c r="F52" t="str">
        <x:v>Address-corroborated active match</x:v>
      </x:c>
      <x:c r="G52" t="n">
        <x:v>1</x:v>
      </x:c>
      <x:c r="H52" t="n">
        <x:v>2</x:v>
      </x:c>
      <x:c r="I52" t="str">
        <x:v>4088565</x:v>
      </x:c>
      <x:c r="J52" t="str">
        <x:v>TOP NOTCH 19 LLC</x:v>
      </x:c>
      <x:c r="K52" s="55" t="n">
        <x:v>40665</x:v>
      </x:c>
      <x:c r="L52" t="str">
        <x:v>Westchester</x:v>
      </x:c>
      <x:c r="M52" t="str">
        <x:v>New York</x:v>
      </x:c>
      <x:c r="N52" t="str">
        <x:v>DOMESTIC LIMITED LIABILITY COMPANY</x:v>
      </x:c>
      <x:c r="O52" t="str">
        <x:v>HETRI TOTARAM</x:v>
      </x:c>
      <x:c r="P52" t="str">
        <x:v>1501 ST LAWRENCE AVE., BRONX, NY, 10460</x:v>
      </x:c>
      <x:c r="Q52" t="str"/>
      <x:c r="R52" t="str"/>
      <x:c r="S52" t="str"/>
      <x:c r="T52" t="str"/>
      <x:c r="U52" t="str"/>
      <x:c r="V52" t="str"/>
      <x:c r="W52" t="str"/>
      <x:c r="X52" t="str"/>
      <x:c r="Y52" t="str">
        <x:v>https://data.ny.gov/Economic-Development/Active-Corporations-Beginning-1800/n9v6-gdp6</x:v>
      </x:c>
    </x:row>
    <x:row r="53">
      <x:c r="A53" t="str">
        <x:v>DOS-3-018</x:v>
      </x:c>
      <x:c r="B53" t="n">
        <x:v>3</x:v>
      </x:c>
      <x:c r="C53" t="str">
        <x:v>177 CONCORD STREET, SUITE 100, BROOKLYN, NY, 11201, US</x:v>
      </x:c>
      <x:c r="D53" t="str">
        <x:v>BROOK 140 LLC</x:v>
      </x:c>
      <x:c r="E53" t="str">
        <x:v>BROOK 140 LLC</x:v>
      </x:c>
      <x:c r="F53" t="str">
        <x:v>Active name match</x:v>
      </x:c>
      <x:c r="G53" t="n">
        <x:v>1</x:v>
      </x:c>
      <x:c r="H53" t="n">
        <x:v>1</x:v>
      </x:c>
      <x:c r="I53" t="str">
        <x:v>4706400</x:v>
      </x:c>
      <x:c r="J53" t="str">
        <x:v>BROOK 140 LLC</x:v>
      </x:c>
      <x:c r="K53" s="55" t="n">
        <x:v>42041</x:v>
      </x:c>
      <x:c r="L53" t="str">
        <x:v>Kings</x:v>
      </x:c>
      <x:c r="M53" t="str">
        <x:v>New York</x:v>
      </x:c>
      <x:c r="N53" t="str">
        <x:v>DOMESTIC LIMITED LIABILITY COMPANY</x:v>
      </x:c>
      <x:c r="O53" t="str">
        <x:v>BROOK 140 LLC</x:v>
      </x:c>
      <x:c r="P53" t="str">
        <x:v>177 CONCORD ST. SUITE #100, BROOKLYN, NY, 11201</x:v>
      </x:c>
      <x:c r="Q53" t="str"/>
      <x:c r="R53" t="str"/>
      <x:c r="S53" t="str"/>
      <x:c r="T53" t="str"/>
      <x:c r="U53" t="str"/>
      <x:c r="V53" t="str"/>
      <x:c r="W53" t="str"/>
      <x:c r="X53" t="str"/>
      <x:c r="Y53" t="str">
        <x:v>https://data.ny.gov/Economic-Development/Active-Corporations-Beginning-1800/n9v6-gdp6</x:v>
      </x:c>
    </x:row>
    <x:row r="54">
      <x:c r="A54" t="str">
        <x:v>DOS-3-018</x:v>
      </x:c>
      <x:c r="B54" t="n">
        <x:v>3</x:v>
      </x:c>
      <x:c r="C54" t="str">
        <x:v>177 CONCORD STREET, SUITE 100, BROOKLYN, NY, 11201, US</x:v>
      </x:c>
      <x:c r="D54" t="str">
        <x:v>LIEBSTA 1610 LLC</x:v>
      </x:c>
      <x:c r="E54" t="str">
        <x:v>LIEBSTA 1610, LLC.</x:v>
      </x:c>
      <x:c r="F54" t="str">
        <x:v>Active name match</x:v>
      </x:c>
      <x:c r="G54" t="n">
        <x:v>1</x:v>
      </x:c>
      <x:c r="H54" t="n">
        <x:v>0</x:v>
      </x:c>
      <x:c r="I54" t="str">
        <x:v>4538452</x:v>
      </x:c>
      <x:c r="J54" t="str">
        <x:v>LIEBSTA 1610, LLC</x:v>
      </x:c>
      <x:c r="K54" s="55" t="n">
        <x:v>41702</x:v>
      </x:c>
      <x:c r="L54" t="str">
        <x:v>Rockland</x:v>
      </x:c>
      <x:c r="M54" t="str">
        <x:v>New York</x:v>
      </x:c>
      <x:c r="N54" t="str">
        <x:v>DOMESTIC LIMITED LIABILITY COMPANY</x:v>
      </x:c>
      <x:c r="O54" t="str">
        <x:v>LIEBSTA 1610, LLC</x:v>
      </x:c>
      <x:c r="P54" t="str">
        <x:v>219 ROCKAWAY TURNPIKE, FL 1, LAWRENCE, NY, 11559</x:v>
      </x:c>
      <x:c r="Q54" t="str"/>
      <x:c r="R54" t="str"/>
      <x:c r="S54" t="str"/>
      <x:c r="T54" t="str"/>
      <x:c r="U54" t="str"/>
      <x:c r="V54" t="str"/>
      <x:c r="W54" t="str"/>
      <x:c r="X54" t="str"/>
      <x:c r="Y54" t="str">
        <x:v>https://data.ny.gov/Economic-Development/Active-Corporations-Beginning-1800/n9v6-gdp6</x:v>
      </x:c>
    </x:row>
    <x:row r="55">
      <x:c r="A55" t="str">
        <x:v>DOS-3-018</x:v>
      </x:c>
      <x:c r="B55" t="n">
        <x:v>3</x:v>
      </x:c>
      <x:c r="C55" t="str">
        <x:v>177 CONCORD STREET, SUITE 100, BROOKLYN, NY, 11201, US</x:v>
      </x:c>
      <x:c r="D55" t="str">
        <x:v>SANTORINI PARKING LLC</x:v>
      </x:c>
      <x:c r="E55" t="str">
        <x:v>SANTORINI PARKING LLC</x:v>
      </x:c>
      <x:c r="F55" t="str">
        <x:v>Active name match</x:v>
      </x:c>
      <x:c r="G55" t="n">
        <x:v>1</x:v>
      </x:c>
      <x:c r="H55" t="n">
        <x:v>1</x:v>
      </x:c>
      <x:c r="I55" t="str">
        <x:v>5047949</x:v>
      </x:c>
      <x:c r="J55" t="str">
        <x:v>SANTORINI PARKING LLC</x:v>
      </x:c>
      <x:c r="K55" s="55" t="n">
        <x:v>42709</x:v>
      </x:c>
      <x:c r="L55" t="str">
        <x:v>Kings</x:v>
      </x:c>
      <x:c r="M55" t="str">
        <x:v>New York</x:v>
      </x:c>
      <x:c r="N55" t="str">
        <x:v>DOMESTIC LIMITED LIABILITY COMPANY</x:v>
      </x:c>
      <x:c r="O55" t="str">
        <x:v>SANTORINI PARKING LLC</x:v>
      </x:c>
      <x:c r="P55" t="str">
        <x:v>177 CONCORD ST. SUITE#100, BROOKLYN, NY, 11201</x:v>
      </x:c>
      <x:c r="Q55" t="str"/>
      <x:c r="R55" t="str"/>
      <x:c r="S55" t="str"/>
      <x:c r="T55" t="str"/>
      <x:c r="U55" t="str"/>
      <x:c r="V55" t="str"/>
      <x:c r="W55" t="str"/>
      <x:c r="X55" t="str"/>
      <x:c r="Y55" t="str">
        <x:v>https://data.ny.gov/Economic-Development/Active-Corporations-Beginning-1800/n9v6-gdp6</x:v>
      </x:c>
    </x:row>
    <x:row r="56">
      <x:c r="A56" t="str">
        <x:v>DOS-3-019</x:v>
      </x:c>
      <x:c r="B56" t="n">
        <x:v>3</x:v>
      </x:c>
      <x:c r="C56" t="str">
        <x:v>124-19 METROPOLITAN AVE, KEW GARDENS, NY, 11415, US</x:v>
      </x:c>
      <x:c r="D56" t="str">
        <x:v>217 JAMS LLC</x:v>
      </x:c>
      <x:c r="E56" t="str">
        <x:v>217 JAMS LLC</x:v>
      </x:c>
      <x:c r="F56" t="str">
        <x:v>No active DOS match</x:v>
      </x:c>
      <x:c r="G56" t="n">
        <x:v>0</x:v>
      </x:c>
      <x:c r="H56" t="n">
        <x:v>0</x:v>
      </x:c>
      <x:c r="I56" t="str"/>
      <x:c r="J56" t="str"/>
      <x:c r="K56" s="55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>
        <x:v>https://data.ny.gov/Economic-Development/Active-Corporations-Beginning-1800/n9v6-gdp6</x:v>
      </x:c>
    </x:row>
    <x:row r="57">
      <x:c r="A57" t="str">
        <x:v>DOS-3-019</x:v>
      </x:c>
      <x:c r="B57" t="n">
        <x:v>3</x:v>
      </x:c>
      <x:c r="C57" t="str">
        <x:v>124-19 METROPOLITAN AVE, KEW GARDENS, NY, 11415, US</x:v>
      </x:c>
      <x:c r="D57" t="str">
        <x:v>267 DENTON AVE N LLC</x:v>
      </x:c>
      <x:c r="E57" t="str">
        <x:v>267 DENTON AVE N LLC</x:v>
      </x:c>
      <x:c r="F57" t="str">
        <x:v>Active name match</x:v>
      </x:c>
      <x:c r="G57" t="n">
        <x:v>1</x:v>
      </x:c>
      <x:c r="H57" t="n">
        <x:v>0</x:v>
      </x:c>
      <x:c r="I57" t="str">
        <x:v>5165300</x:v>
      </x:c>
      <x:c r="J57" t="str">
        <x:v>267 DENTON AVE N LLC</x:v>
      </x:c>
      <x:c r="K57" s="55" t="n">
        <x:v>42921</x:v>
      </x:c>
      <x:c r="L57" t="str">
        <x:v>Nassau</x:v>
      </x:c>
      <x:c r="M57" t="str">
        <x:v>New York</x:v>
      </x:c>
      <x:c r="N57" t="str">
        <x:v>DOMESTIC LIMITED LIABILITY COMPANY</x:v>
      </x:c>
      <x:c r="O57" t="str">
        <x:v>MATTHEW KERN</x:v>
      </x:c>
      <x:c r="P57" t="str">
        <x:v>1581 Franklin Ave, PO BOX 149, GARDEN CITY, NY, 11530</x:v>
      </x:c>
      <x:c r="Q57" t="str"/>
      <x:c r="R57" t="str"/>
      <x:c r="S57" t="str"/>
      <x:c r="T57" t="str"/>
      <x:c r="U57" t="str"/>
      <x:c r="V57" t="str"/>
      <x:c r="W57" t="str"/>
      <x:c r="X57" t="str"/>
      <x:c r="Y57" t="str">
        <x:v>https://data.ny.gov/Economic-Development/Active-Corporations-Beginning-1800/n9v6-gdp6</x:v>
      </x:c>
    </x:row>
    <x:row r="58">
      <x:c r="A58" t="str">
        <x:v>DOS-3-019</x:v>
      </x:c>
      <x:c r="B58" t="n">
        <x:v>3</x:v>
      </x:c>
      <x:c r="C58" t="str">
        <x:v>124-19 METROPOLITAN AVE, KEW GARDENS, NY, 11415, US</x:v>
      </x:c>
      <x:c r="D58" t="str">
        <x:v>FULTON DEV LLC</x:v>
      </x:c>
      <x:c r="E58" t="str">
        <x:v>FULTON DEV LLC</x:v>
      </x:c>
      <x:c r="F58" t="str">
        <x:v>Active name match</x:v>
      </x:c>
      <x:c r="G58" t="n">
        <x:v>1</x:v>
      </x:c>
      <x:c r="H58" t="n">
        <x:v>0</x:v>
      </x:c>
      <x:c r="I58" t="str">
        <x:v>6687704</x:v>
      </x:c>
      <x:c r="J58" t="str">
        <x:v>FULTON DEV LLC</x:v>
      </x:c>
      <x:c r="K58" s="55" t="n">
        <x:v>44929</x:v>
      </x:c>
      <x:c r="L58" t="str">
        <x:v>Suffolk</x:v>
      </x:c>
      <x:c r="M58" t="str">
        <x:v>New York</x:v>
      </x:c>
      <x:c r="N58" t="str">
        <x:v>DOMESTIC LIMITED LIABILITY COMPANY</x:v>
      </x:c>
      <x:c r="O58" t="str">
        <x:v>SINGER &amp; FALK</x:v>
      </x:c>
      <x:c r="P58" t="str">
        <x:v>48 SO SERVICE ROAD, STE 404, MELVILLE, NY, 11747</x:v>
      </x:c>
      <x:c r="Q58" t="str"/>
      <x:c r="R58" t="str"/>
      <x:c r="S58" t="str"/>
      <x:c r="T58" t="str"/>
      <x:c r="U58" t="str"/>
      <x:c r="V58" t="str"/>
      <x:c r="W58" t="str"/>
      <x:c r="X58" t="str"/>
      <x:c r="Y58" t="str">
        <x:v>https://data.ny.gov/Economic-Development/Active-Corporations-Beginning-1800/n9v6-gdp6</x:v>
      </x:c>
    </x:row>
    <x:row r="59">
      <x:c r="A59" t="str">
        <x:v>DOS-3-020</x:v>
      </x:c>
      <x:c r="B59" t="n">
        <x:v>3</x:v>
      </x:c>
      <x:c r="C59" t="str">
        <x:v>266 BROADWAY SUITE 301, BROOKLYN, NY, 11211, US | 266 BROADWAY, SUITE 301, BROOKLYN, NY, 11211, US</x:v>
      </x:c>
      <x:c r="D59" t="str">
        <x:v>334 LORIMER LLC</x:v>
      </x:c>
      <x:c r="E59" t="str">
        <x:v>334 LORIMER LLC</x:v>
      </x:c>
      <x:c r="F59" t="str">
        <x:v>Address-corroborated active match</x:v>
      </x:c>
      <x:c r="G59" t="n">
        <x:v>1</x:v>
      </x:c>
      <x:c r="H59" t="n">
        <x:v>2</x:v>
      </x:c>
      <x:c r="I59" t="str">
        <x:v>4681201</x:v>
      </x:c>
      <x:c r="J59" t="str">
        <x:v>334 LORIMER LLC</x:v>
      </x:c>
      <x:c r="K59" s="55" t="n">
        <x:v>41989</x:v>
      </x:c>
      <x:c r="L59" t="str">
        <x:v>Kings</x:v>
      </x:c>
      <x:c r="M59" t="str">
        <x:v>New York</x:v>
      </x:c>
      <x:c r="N59" t="str">
        <x:v>DOMESTIC LIMITED LIABILITY COMPANY</x:v>
      </x:c>
      <x:c r="O59" t="str">
        <x:v>334 LORIMER LLC</x:v>
      </x:c>
      <x:c r="P59" t="str">
        <x:v>266 BROADWAY, SUITE 301, BROOKLYN, NY, 11211</x:v>
      </x:c>
      <x:c r="Q59" t="str"/>
      <x:c r="R59" t="str"/>
      <x:c r="S59" t="str"/>
      <x:c r="T59" t="str"/>
      <x:c r="U59" t="str"/>
      <x:c r="V59" t="str"/>
      <x:c r="W59" t="str"/>
      <x:c r="X59" t="str"/>
      <x:c r="Y59" t="str">
        <x:v>https://data.ny.gov/Economic-Development/Active-Corporations-Beginning-1800/n9v6-gdp6</x:v>
      </x:c>
    </x:row>
    <x:row r="60">
      <x:c r="A60" t="str">
        <x:v>DOS-3-020</x:v>
      </x:c>
      <x:c r="B60" t="n">
        <x:v>3</x:v>
      </x:c>
      <x:c r="C60" t="str">
        <x:v>266 BROADWAY SUITE 301, BROOKLYN, NY, 11211, US | 266 BROADWAY, SUITE 301, BROOKLYN, NY, 11211, US</x:v>
      </x:c>
      <x:c r="D60" t="str">
        <x:v>FLUSHING AND LITTLE NASSAU LLC</x:v>
      </x:c>
      <x:c r="E60" t="str">
        <x:v>FLUSHING &amp; LITTLE NASSAU LLC</x:v>
      </x:c>
      <x:c r="F60" t="str">
        <x:v>Address-corroborated active match</x:v>
      </x:c>
      <x:c r="G60" t="n">
        <x:v>1</x:v>
      </x:c>
      <x:c r="H60" t="n">
        <x:v>2</x:v>
      </x:c>
      <x:c r="I60" t="str">
        <x:v>5761319</x:v>
      </x:c>
      <x:c r="J60" t="str">
        <x:v>FLUSHING &amp; LITTLE NASSAU LLC</x:v>
      </x:c>
      <x:c r="K60" s="55" t="n">
        <x:v>43986</x:v>
      </x:c>
      <x:c r="L60" t="str">
        <x:v>Kings</x:v>
      </x:c>
      <x:c r="M60" t="str">
        <x:v>Delaware</x:v>
      </x:c>
      <x:c r="N60" t="str">
        <x:v>FOREIGN LIMITED LIABILITY COMPANY</x:v>
      </x:c>
      <x:c r="O60" t="str">
        <x:v>FLUSHING &amp; LITTLE NASSAU LLC</x:v>
      </x:c>
      <x:c r="P60" t="str">
        <x:v>266 BROADWAY, SUITE 301, BROOKLYN, NY, 11211</x:v>
      </x:c>
      <x:c r="Q60" t="str"/>
      <x:c r="R60" t="str"/>
      <x:c r="S60" t="str"/>
      <x:c r="T60" t="str"/>
      <x:c r="U60" t="str"/>
      <x:c r="V60" t="str"/>
      <x:c r="W60" t="str"/>
      <x:c r="X60" t="str"/>
      <x:c r="Y60" t="str">
        <x:v>https://data.ny.gov/Economic-Development/Active-Corporations-Beginning-1800/n9v6-gdp6</x:v>
      </x:c>
    </x:row>
    <x:row r="61">
      <x:c r="A61" t="str">
        <x:v>DOS-3-020</x:v>
      </x:c>
      <x:c r="B61" t="n">
        <x:v>3</x:v>
      </x:c>
      <x:c r="C61" t="str">
        <x:v>266 BROADWAY SUITE 301, BROOKLYN, NY, 11211, US | 266 BROADWAY, SUITE 301, BROOKLYN, NY, 11211, US</x:v>
      </x:c>
      <x:c r="D61" t="str">
        <x:v>FRANKLIN BEDFORD LLC</x:v>
      </x:c>
      <x:c r="E61" t="str">
        <x:v>FRANKLIN BEDFORD LLC</x:v>
      </x:c>
      <x:c r="F61" t="str">
        <x:v>Address-corroborated active match</x:v>
      </x:c>
      <x:c r="G61" t="n">
        <x:v>1</x:v>
      </x:c>
      <x:c r="H61" t="n">
        <x:v>2</x:v>
      </x:c>
      <x:c r="I61" t="str">
        <x:v>4553453</x:v>
      </x:c>
      <x:c r="J61" t="str">
        <x:v>FRANKLIN BEDFORD LLC</x:v>
      </x:c>
      <x:c r="K61" s="55" t="n">
        <x:v>41729</x:v>
      </x:c>
      <x:c r="L61" t="str">
        <x:v>Kings</x:v>
      </x:c>
      <x:c r="M61" t="str">
        <x:v>New York</x:v>
      </x:c>
      <x:c r="N61" t="str">
        <x:v>DOMESTIC LIMITED LIABILITY COMPANY</x:v>
      </x:c>
      <x:c r="O61" t="str">
        <x:v>FRANKLIN BEDFORD LLC</x:v>
      </x:c>
      <x:c r="P61" t="str">
        <x:v>266 BROADWAY SUITE 301, BROOKLYN, NY, 11211</x:v>
      </x:c>
      <x:c r="Q61" t="str"/>
      <x:c r="R61" t="str"/>
      <x:c r="S61" t="str"/>
      <x:c r="T61" t="str"/>
      <x:c r="U61" t="str"/>
      <x:c r="V61" t="str"/>
      <x:c r="W61" t="str"/>
      <x:c r="X61" t="str"/>
      <x:c r="Y61" t="str">
        <x:v>https://data.ny.gov/Economic-Development/Active-Corporations-Beginning-1800/n9v6-gdp6</x:v>
      </x:c>
    </x:row>
    <x:row r="62">
      <x:c r="A62" t="str">
        <x:v>DOS-3-021</x:v>
      </x:c>
      <x:c r="B62" t="n">
        <x:v>3</x:v>
      </x:c>
      <x:c r="C62" t="str">
        <x:v>285 LOMBARDY STREET, BROOKLYN, NY, 11222, US</x:v>
      </x:c>
      <x:c r="D62" t="str">
        <x:v>31ST AVENUE ASTORIA LLC</x:v>
      </x:c>
      <x:c r="E62" t="str">
        <x:v>31ST AVENUE ASTORIA LLC</x:v>
      </x:c>
      <x:c r="F62" t="str">
        <x:v>Address-corroborated active match</x:v>
      </x:c>
      <x:c r="G62" t="n">
        <x:v>1</x:v>
      </x:c>
      <x:c r="H62" t="n">
        <x:v>2</x:v>
      </x:c>
      <x:c r="I62" t="str">
        <x:v>5370168</x:v>
      </x:c>
      <x:c r="J62" t="str">
        <x:v>31ST AVENUE ASTORIA LLC</x:v>
      </x:c>
      <x:c r="K62" s="55" t="n">
        <x:v>43284</x:v>
      </x:c>
      <x:c r="L62" t="str">
        <x:v>Kings</x:v>
      </x:c>
      <x:c r="M62" t="str">
        <x:v>New York</x:v>
      </x:c>
      <x:c r="N62" t="str">
        <x:v>DOMESTIC LIMITED LIABILITY COMPANY</x:v>
      </x:c>
      <x:c r="O62" t="str">
        <x:v>31ST AVENUE ASTORIA LLC</x:v>
      </x:c>
      <x:c r="P62" t="str">
        <x:v>285 LOMBARDY STREET, BROOKLYN, NY, 11222</x:v>
      </x:c>
      <x:c r="Q62" t="str"/>
      <x:c r="R62" t="str"/>
      <x:c r="S62" t="str"/>
      <x:c r="T62" t="str"/>
      <x:c r="U62" t="str"/>
      <x:c r="V62" t="str"/>
      <x:c r="W62" t="str"/>
      <x:c r="X62" t="str"/>
      <x:c r="Y62" t="str">
        <x:v>https://data.ny.gov/Economic-Development/Active-Corporations-Beginning-1800/n9v6-gdp6</x:v>
      </x:c>
    </x:row>
    <x:row r="63">
      <x:c r="A63" t="str">
        <x:v>DOS-3-021</x:v>
      </x:c>
      <x:c r="B63" t="n">
        <x:v>3</x:v>
      </x:c>
      <x:c r="C63" t="str">
        <x:v>285 LOMBARDY STREET, BROOKLYN, NY, 11222, US</x:v>
      </x:c>
      <x:c r="D63" t="str">
        <x:v>CLAY REALTY VENTURES LLC</x:v>
      </x:c>
      <x:c r="E63" t="str">
        <x:v>CLAY REALTY VENTURES LLC</x:v>
      </x:c>
      <x:c r="F63" t="str">
        <x:v>Address-corroborated active match</x:v>
      </x:c>
      <x:c r="G63" t="n">
        <x:v>1</x:v>
      </x:c>
      <x:c r="H63" t="n">
        <x:v>2</x:v>
      </x:c>
      <x:c r="I63" t="str">
        <x:v>5910725</x:v>
      </x:c>
      <x:c r="J63" t="str">
        <x:v>CLAY REALTY VENTURES LLC</x:v>
      </x:c>
      <x:c r="K63" s="55" t="n">
        <x:v>44202</x:v>
      </x:c>
      <x:c r="L63" t="str">
        <x:v>Kings</x:v>
      </x:c>
      <x:c r="M63" t="str">
        <x:v>New York</x:v>
      </x:c>
      <x:c r="N63" t="str">
        <x:v>DOMESTIC LIMITED LIABILITY COMPANY</x:v>
      </x:c>
      <x:c r="O63" t="str">
        <x:v>VINCENT ALI JR.</x:v>
      </x:c>
      <x:c r="P63" t="str">
        <x:v>285 LOMBARDY STREET, BROOKLYN, NY, 11222</x:v>
      </x:c>
      <x:c r="Q63" t="str"/>
      <x:c r="R63" t="str"/>
      <x:c r="S63" t="str"/>
      <x:c r="T63" t="str"/>
      <x:c r="U63" t="str"/>
      <x:c r="V63" t="str"/>
      <x:c r="W63" t="str"/>
      <x:c r="X63" t="str"/>
      <x:c r="Y63" t="str">
        <x:v>https://data.ny.gov/Economic-Development/Active-Corporations-Beginning-1800/n9v6-gdp6</x:v>
      </x:c>
    </x:row>
    <x:row r="64">
      <x:c r="A64" t="str">
        <x:v>DOS-3-021</x:v>
      </x:c>
      <x:c r="B64" t="n">
        <x:v>3</x:v>
      </x:c>
      <x:c r="C64" t="str">
        <x:v>285 LOMBARDY STREET, BROOKLYN, NY, 11222, US</x:v>
      </x:c>
      <x:c r="D64" t="str">
        <x:v>LOMBARDY STREET LLC</x:v>
      </x:c>
      <x:c r="E64" t="str">
        <x:v>LOMBARDY STREET, LLC</x:v>
      </x:c>
      <x:c r="F64" t="str">
        <x:v>Address-corroborated active match</x:v>
      </x:c>
      <x:c r="G64" t="n">
        <x:v>1</x:v>
      </x:c>
      <x:c r="H64" t="n">
        <x:v>2</x:v>
      </x:c>
      <x:c r="I64" t="str">
        <x:v>4316348</x:v>
      </x:c>
      <x:c r="J64" t="str">
        <x:v>LOMBARDY STREET, LLC</x:v>
      </x:c>
      <x:c r="K64" s="55" t="n">
        <x:v>41218</x:v>
      </x:c>
      <x:c r="L64" t="str">
        <x:v>Kings</x:v>
      </x:c>
      <x:c r="M64" t="str">
        <x:v>New York</x:v>
      </x:c>
      <x:c r="N64" t="str">
        <x:v>DOMESTIC LIMITED LIABILITY COMPANY</x:v>
      </x:c>
      <x:c r="O64" t="str">
        <x:v>LOMBARDY STREET, LLC</x:v>
      </x:c>
      <x:c r="P64" t="str">
        <x:v>285 LOMBARDY STREET, BROOKLYN, NY, 11222</x:v>
      </x:c>
      <x:c r="Q64" t="str"/>
      <x:c r="R64" t="str"/>
      <x:c r="S64" t="str"/>
      <x:c r="T64" t="str"/>
      <x:c r="U64" t="str"/>
      <x:c r="V64" t="str"/>
      <x:c r="W64" t="str"/>
      <x:c r="X64" t="str"/>
      <x:c r="Y64" t="str">
        <x:v>https://data.ny.gov/Economic-Development/Active-Corporations-Beginning-1800/n9v6-gdp6</x:v>
      </x:c>
    </x:row>
    <x:row r="65">
      <x:c r="A65" t="str">
        <x:v>DOS-3-022</x:v>
      </x:c>
      <x:c r="B65" t="n">
        <x:v>3</x:v>
      </x:c>
      <x:c r="C65" t="str">
        <x:v>3 WEST 57TH STREET, 7TH FLOOR, NEW YORK, NY, 10019, US</x:v>
      </x:c>
      <x:c r="D65" t="str">
        <x:v>1205 1215 FIRST AVE ANNEX LLC</x:v>
      </x:c>
      <x:c r="E65" t="str">
        <x:v>1205-1215 FIRST AVE ANNEX LLC</x:v>
      </x:c>
      <x:c r="F65" t="str">
        <x:v>Address-corroborated active match</x:v>
      </x:c>
      <x:c r="G65" t="n">
        <x:v>1</x:v>
      </x:c>
      <x:c r="H65" t="n">
        <x:v>2</x:v>
      </x:c>
      <x:c r="I65" t="str">
        <x:v>4773624</x:v>
      </x:c>
      <x:c r="J65" t="str">
        <x:v>1205-1215 FIRST AVE ANNEX LLC</x:v>
      </x:c>
      <x:c r="K65" s="55" t="n">
        <x:v>42167</x:v>
      </x:c>
      <x:c r="L65" t="str">
        <x:v>New York</x:v>
      </x:c>
      <x:c r="M65" t="str">
        <x:v>New York</x:v>
      </x:c>
      <x:c r="N65" t="str">
        <x:v>DOMESTIC LIMITED LIABILITY COMPANY</x:v>
      </x:c>
      <x:c r="O65" t="str">
        <x:v>1205-1215 FIRST AVE ANNEX LLC</x:v>
      </x:c>
      <x:c r="P65" t="str">
        <x:v>3 WEST 57TH STREET, NEW YORK, NY, 10019</x:v>
      </x:c>
      <x:c r="Q65" t="str"/>
      <x:c r="R65" t="str"/>
      <x:c r="S65" t="str"/>
      <x:c r="T65" t="str"/>
      <x:c r="U65" t="str"/>
      <x:c r="V65" t="str"/>
      <x:c r="W65" t="str"/>
      <x:c r="X65" t="str"/>
      <x:c r="Y65" t="str">
        <x:v>https://data.ny.gov/Economic-Development/Active-Corporations-Beginning-1800/n9v6-gdp6</x:v>
      </x:c>
    </x:row>
    <x:row r="66">
      <x:c r="A66" t="str">
        <x:v>DOS-3-022</x:v>
      </x:c>
      <x:c r="B66" t="n">
        <x:v>3</x:v>
      </x:c>
      <x:c r="C66" t="str">
        <x:v>3 WEST 57TH STREET, 7TH FLOOR, NEW YORK, NY, 10019, US</x:v>
      </x:c>
      <x:c r="D66" t="str">
        <x:v>KH KERMAN PROPERTIES LLC</x:v>
      </x:c>
      <x:c r="E66" t="str">
        <x:v>KH KERMAN PROPERTIES LLC</x:v>
      </x:c>
      <x:c r="F66" t="str">
        <x:v>Address-corroborated active match</x:v>
      </x:c>
      <x:c r="G66" t="n">
        <x:v>1</x:v>
      </x:c>
      <x:c r="H66" t="n">
        <x:v>2</x:v>
      </x:c>
      <x:c r="I66" t="str">
        <x:v>6456803</x:v>
      </x:c>
      <x:c r="J66" t="str">
        <x:v>KH KERMAN PROPERTIES LLC</x:v>
      </x:c>
      <x:c r="K66" s="55" t="n">
        <x:v>44663</x:v>
      </x:c>
      <x:c r="L66" t="str">
        <x:v>New York</x:v>
      </x:c>
      <x:c r="M66" t="str">
        <x:v>New York</x:v>
      </x:c>
      <x:c r="N66" t="str">
        <x:v>DOMESTIC LIMITED LIABILITY COMPANY</x:v>
      </x:c>
      <x:c r="O66" t="str">
        <x:v>THE LIMITED LIABILITY COMPANY</x:v>
      </x:c>
      <x:c r="P66" t="str">
        <x:v>3 West 57th Street, 7th Floor, New York, NY, 10019</x:v>
      </x:c>
      <x:c r="Q66" t="str"/>
      <x:c r="R66" t="str"/>
      <x:c r="S66" t="str"/>
      <x:c r="T66" t="str"/>
      <x:c r="U66" t="str"/>
      <x:c r="V66" t="str"/>
      <x:c r="W66" t="str"/>
      <x:c r="X66" t="str"/>
      <x:c r="Y66" t="str">
        <x:v>https://data.ny.gov/Economic-Development/Active-Corporations-Beginning-1800/n9v6-gdp6</x:v>
      </x:c>
    </x:row>
    <x:row r="67">
      <x:c r="A67" t="str">
        <x:v>DOS-3-022</x:v>
      </x:c>
      <x:c r="B67" t="n">
        <x:v>3</x:v>
      </x:c>
      <x:c r="C67" t="str">
        <x:v>3 WEST 57TH STREET, 7TH FLOOR, NEW YORK, NY, 10019, US</x:v>
      </x:c>
      <x:c r="D67" t="str">
        <x:v>KH TRAFALGAR PROPERTIES LLC</x:v>
      </x:c>
      <x:c r="E67" t="str">
        <x:v>KH TRAFALGAR PROPERTIES LLC</x:v>
      </x:c>
      <x:c r="F67" t="str">
        <x:v>Address-corroborated active match</x:v>
      </x:c>
      <x:c r="G67" t="n">
        <x:v>1</x:v>
      </x:c>
      <x:c r="H67" t="n">
        <x:v>2</x:v>
      </x:c>
      <x:c r="I67" t="str">
        <x:v>6456792</x:v>
      </x:c>
      <x:c r="J67" t="str">
        <x:v>KH TRAFALGAR PROPERTIES LLC</x:v>
      </x:c>
      <x:c r="K67" s="55" t="n">
        <x:v>44663</x:v>
      </x:c>
      <x:c r="L67" t="str">
        <x:v>New York</x:v>
      </x:c>
      <x:c r="M67" t="str">
        <x:v>New York</x:v>
      </x:c>
      <x:c r="N67" t="str">
        <x:v>DOMESTIC LIMITED LIABILITY COMPANY</x:v>
      </x:c>
      <x:c r="O67" t="str">
        <x:v>THE LIMITED LIABILITY COMPANY</x:v>
      </x:c>
      <x:c r="P67" t="str">
        <x:v>3 West 57th Street, 7th Floor, New York, NY, 10019</x:v>
      </x:c>
      <x:c r="Q67" t="str"/>
      <x:c r="R67" t="str"/>
      <x:c r="S67" t="str"/>
      <x:c r="T67" t="str"/>
      <x:c r="U67" t="str"/>
      <x:c r="V67" t="str"/>
      <x:c r="W67" t="str"/>
      <x:c r="X67" t="str"/>
      <x:c r="Y67" t="str">
        <x:v>https://data.ny.gov/Economic-Development/Active-Corporations-Beginning-1800/n9v6-gdp6</x:v>
      </x:c>
    </x:row>
    <x:row r="68">
      <x:c r="A68" t="str">
        <x:v>DOS-3-023</x:v>
      </x:c>
      <x:c r="B68" t="n">
        <x:v>3</x:v>
      </x:c>
      <x:c r="C68" t="str">
        <x:v>2 MARBRIDGE LANE, LAWRENCE, NY, 11559, US</x:v>
      </x:c>
      <x:c r="D68" t="str">
        <x:v>DAVE FRIEDMAN 1 LLC</x:v>
      </x:c>
      <x:c r="E68" t="str">
        <x:v>DAVE FRIEDMAN 1, LLC</x:v>
      </x:c>
      <x:c r="F68" t="str">
        <x:v>Active name match</x:v>
      </x:c>
      <x:c r="G68" t="n">
        <x:v>1</x:v>
      </x:c>
      <x:c r="H68" t="n">
        <x:v>0</x:v>
      </x:c>
      <x:c r="I68" t="str">
        <x:v>4312515</x:v>
      </x:c>
      <x:c r="J68" t="str">
        <x:v>DAVE FRIEDMAN 1, LLC</x:v>
      </x:c>
      <x:c r="K68" s="55" t="n">
        <x:v>41206</x:v>
      </x:c>
      <x:c r="L68" t="str">
        <x:v>New York</x:v>
      </x:c>
      <x:c r="M68" t="str">
        <x:v>New York</x:v>
      </x:c>
      <x:c r="N68" t="str">
        <x:v>DOMESTIC LIMITED LIABILITY COMPANY</x:v>
      </x:c>
      <x:c r="O68" t="str">
        <x:v>C/O MAX MARKUS KATZ, P.C.</x:v>
      </x:c>
      <x:c r="P68" t="str">
        <x:v>88 UNIVERSITY PLACE, NEW YORK, NY, 10003</x:v>
      </x:c>
      <x:c r="Q68" t="str"/>
      <x:c r="R68" t="str"/>
      <x:c r="S68" t="str"/>
      <x:c r="T68" t="str"/>
      <x:c r="U68" t="str"/>
      <x:c r="V68" t="str"/>
      <x:c r="W68" t="str"/>
      <x:c r="X68" t="str"/>
      <x:c r="Y68" t="str">
        <x:v>https://data.ny.gov/Economic-Development/Active-Corporations-Beginning-1800/n9v6-gdp6</x:v>
      </x:c>
    </x:row>
    <x:row r="69">
      <x:c r="A69" t="str">
        <x:v>DOS-3-023</x:v>
      </x:c>
      <x:c r="B69" t="n">
        <x:v>3</x:v>
      </x:c>
      <x:c r="C69" t="str">
        <x:v>2 MARBRIDGE LANE, LAWRENCE, NY, 11559, US</x:v>
      </x:c>
      <x:c r="D69" t="str">
        <x:v>DAVE FRIEDMAN 2 LLC</x:v>
      </x:c>
      <x:c r="E69" t="str">
        <x:v>DAVE FRIEDMAN 2, LLC</x:v>
      </x:c>
      <x:c r="F69" t="str">
        <x:v>Active name match</x:v>
      </x:c>
      <x:c r="G69" t="n">
        <x:v>1</x:v>
      </x:c>
      <x:c r="H69" t="n">
        <x:v>0</x:v>
      </x:c>
      <x:c r="I69" t="str">
        <x:v>4312528</x:v>
      </x:c>
      <x:c r="J69" t="str">
        <x:v>DAVE FRIEDMAN 2. LLC</x:v>
      </x:c>
      <x:c r="K69" s="55" t="n">
        <x:v>41206</x:v>
      </x:c>
      <x:c r="L69" t="str">
        <x:v>New York</x:v>
      </x:c>
      <x:c r="M69" t="str">
        <x:v>New York</x:v>
      </x:c>
      <x:c r="N69" t="str">
        <x:v>DOMESTIC LIMITED LIABILITY COMPANY</x:v>
      </x:c>
      <x:c r="O69" t="str">
        <x:v>C/O MAX MARKUS KATZ, P.C.</x:v>
      </x:c>
      <x:c r="P69" t="str">
        <x:v>88 UNIVERSITY PLACE, NEW YORK, NY, 10003</x:v>
      </x:c>
      <x:c r="Q69" t="str"/>
      <x:c r="R69" t="str"/>
      <x:c r="S69" t="str"/>
      <x:c r="T69" t="str"/>
      <x:c r="U69" t="str"/>
      <x:c r="V69" t="str"/>
      <x:c r="W69" t="str"/>
      <x:c r="X69" t="str"/>
      <x:c r="Y69" t="str">
        <x:v>https://data.ny.gov/Economic-Development/Active-Corporations-Beginning-1800/n9v6-gdp6</x:v>
      </x:c>
    </x:row>
    <x:row r="70">
      <x:c r="A70" t="str">
        <x:v>DOS-3-023</x:v>
      </x:c>
      <x:c r="B70" t="n">
        <x:v>3</x:v>
      </x:c>
      <x:c r="C70" t="str">
        <x:v>2 MARBRIDGE LANE, LAWRENCE, NY, 11559, US</x:v>
      </x:c>
      <x:c r="D70" t="str">
        <x:v>DAVE FRIEDMAN 3 LLC</x:v>
      </x:c>
      <x:c r="E70" t="str">
        <x:v>DAVE FRIEDMAN 3, LLC</x:v>
      </x:c>
      <x:c r="F70" t="str">
        <x:v>Active name match</x:v>
      </x:c>
      <x:c r="G70" t="n">
        <x:v>1</x:v>
      </x:c>
      <x:c r="H70" t="n">
        <x:v>0</x:v>
      </x:c>
      <x:c r="I70" t="str">
        <x:v>4312507</x:v>
      </x:c>
      <x:c r="J70" t="str">
        <x:v>DAVE FRIEDMAN 3, LLC</x:v>
      </x:c>
      <x:c r="K70" s="55" t="n">
        <x:v>41206</x:v>
      </x:c>
      <x:c r="L70" t="str">
        <x:v>Nassau</x:v>
      </x:c>
      <x:c r="M70" t="str">
        <x:v>New York</x:v>
      </x:c>
      <x:c r="N70" t="str">
        <x:v>DOMESTIC LIMITED LIABILITY COMPANY</x:v>
      </x:c>
      <x:c r="O70" t="str">
        <x:v>c/o max markus katz, p.c.</x:v>
      </x:c>
      <x:c r="P70" t="str">
        <x:v>124 cedarhurst avenue, CEDARHURST, NY, 11516</x:v>
      </x:c>
      <x:c r="Q70" t="str"/>
      <x:c r="R70" t="str"/>
      <x:c r="S70" t="str"/>
      <x:c r="T70" t="str"/>
      <x:c r="U70" t="str"/>
      <x:c r="V70" t="str"/>
      <x:c r="W70" t="str"/>
      <x:c r="X70" t="str"/>
      <x:c r="Y70" t="str">
        <x:v>https://data.ny.gov/Economic-Development/Active-Corporations-Beginning-1800/n9v6-gdp6</x:v>
      </x:c>
    </x:row>
    <x:row r="71">
      <x:c r="A71" t="str">
        <x:v>DOS-3-024</x:v>
      </x:c>
      <x:c r="B71" t="n">
        <x:v>3</x:v>
      </x:c>
      <x:c r="C71" t="str">
        <x:v>36-36 MAIN STREET, FLUSHING, NY, 11354, US</x:v>
      </x:c>
      <x:c r="D71" t="str">
        <x:v>6517 18 AVE LLC</x:v>
      </x:c>
      <x:c r="E71" t="str">
        <x:v>6517 18 AVE LLC</x:v>
      </x:c>
      <x:c r="F71" t="str">
        <x:v>Active name match</x:v>
      </x:c>
      <x:c r="G71" t="n">
        <x:v>1</x:v>
      </x:c>
      <x:c r="H71" t="n">
        <x:v>1</x:v>
      </x:c>
      <x:c r="I71" t="str">
        <x:v>6333899</x:v>
      </x:c>
      <x:c r="J71" t="str">
        <x:v>6517 18 AVE LLC</x:v>
      </x:c>
      <x:c r="K71" s="55" t="n">
        <x:v>44523</x:v>
      </x:c>
      <x:c r="L71" t="str">
        <x:v>Queens</x:v>
      </x:c>
      <x:c r="M71" t="str">
        <x:v>New York</x:v>
      </x:c>
      <x:c r="N71" t="str">
        <x:v>DOMESTIC LIMITED LIABILITY COMPANY</x:v>
      </x:c>
      <x:c r="O71" t="str">
        <x:v>6517 18 AVE LLC</x:v>
      </x:c>
      <x:c r="P71" t="str">
        <x:v>3636 MAIN STREET, FLUSHING, NY, 11354</x:v>
      </x:c>
      <x:c r="Q71" t="str"/>
      <x:c r="R71" t="str"/>
      <x:c r="S71" t="str"/>
      <x:c r="T71" t="str"/>
      <x:c r="U71" t="str"/>
      <x:c r="V71" t="str"/>
      <x:c r="W71" t="str"/>
      <x:c r="X71" t="str"/>
      <x:c r="Y71" t="str">
        <x:v>https://data.ny.gov/Economic-Development/Active-Corporations-Beginning-1800/n9v6-gdp6</x:v>
      </x:c>
    </x:row>
    <x:row r="72">
      <x:c r="A72" t="str">
        <x:v>DOS-3-024</x:v>
      </x:c>
      <x:c r="B72" t="n">
        <x:v>3</x:v>
      </x:c>
      <x:c r="C72" t="str">
        <x:v>36-36 MAIN STREET, FLUSHING, NY, 11354, US</x:v>
      </x:c>
      <x:c r="D72" t="str">
        <x:v>FSA 332 REALTY LLC</x:v>
      </x:c>
      <x:c r="E72" t="str">
        <x:v>FSA 332 REALTY LLC</x:v>
      </x:c>
      <x:c r="F72" t="str">
        <x:v>Active name match</x:v>
      </x:c>
      <x:c r="G72" t="n">
        <x:v>1</x:v>
      </x:c>
      <x:c r="H72" t="n">
        <x:v>1</x:v>
      </x:c>
      <x:c r="I72" t="str">
        <x:v>5167195</x:v>
      </x:c>
      <x:c r="J72" t="str">
        <x:v>FSA 332 REALTY LLC</x:v>
      </x:c>
      <x:c r="K72" s="55" t="n">
        <x:v>42926</x:v>
      </x:c>
      <x:c r="L72" t="str">
        <x:v>Queens</x:v>
      </x:c>
      <x:c r="M72" t="str">
        <x:v>New York</x:v>
      </x:c>
      <x:c r="N72" t="str">
        <x:v>DOMESTIC LIMITED LIABILITY COMPANY</x:v>
      </x:c>
      <x:c r="O72" t="str">
        <x:v>FSA 332 REALTY LLC</x:v>
      </x:c>
      <x:c r="P72" t="str">
        <x:v>3636 MAIN STREET, FLUSHING, NY, 11354</x:v>
      </x:c>
      <x:c r="Q72" t="str"/>
      <x:c r="R72" t="str"/>
      <x:c r="S72" t="str"/>
      <x:c r="T72" t="str"/>
      <x:c r="U72" t="str"/>
      <x:c r="V72" t="str"/>
      <x:c r="W72" t="str"/>
      <x:c r="X72" t="str"/>
      <x:c r="Y72" t="str">
        <x:v>https://data.ny.gov/Economic-Development/Active-Corporations-Beginning-1800/n9v6-gdp6</x:v>
      </x:c>
    </x:row>
    <x:row r="73">
      <x:c r="A73" t="str">
        <x:v>DOS-3-024</x:v>
      </x:c>
      <x:c r="B73" t="n">
        <x:v>3</x:v>
      </x:c>
      <x:c r="C73" t="str">
        <x:v>36-36 MAIN STREET, FLUSHING, NY, 11354, US</x:v>
      </x:c>
      <x:c r="D73" t="str">
        <x:v>FSA 556 REALTY LLC</x:v>
      </x:c>
      <x:c r="E73" t="str">
        <x:v>FSA 556 REALTY LLC</x:v>
      </x:c>
      <x:c r="F73" t="str">
        <x:v>Active name match</x:v>
      </x:c>
      <x:c r="G73" t="n">
        <x:v>1</x:v>
      </x:c>
      <x:c r="H73" t="n">
        <x:v>1</x:v>
      </x:c>
      <x:c r="I73" t="str">
        <x:v>5167192</x:v>
      </x:c>
      <x:c r="J73" t="str">
        <x:v>FSA 556 REALTY LLC</x:v>
      </x:c>
      <x:c r="K73" s="55" t="n">
        <x:v>42926</x:v>
      </x:c>
      <x:c r="L73" t="str">
        <x:v>Queens</x:v>
      </x:c>
      <x:c r="M73" t="str">
        <x:v>New York</x:v>
      </x:c>
      <x:c r="N73" t="str">
        <x:v>DOMESTIC LIMITED LIABILITY COMPANY</x:v>
      </x:c>
      <x:c r="O73" t="str">
        <x:v>FSA 556 REALTY LLC</x:v>
      </x:c>
      <x:c r="P73" t="str">
        <x:v>3636 MAIN STREET, FLUSHING, NY, 11354</x:v>
      </x:c>
      <x:c r="Q73" t="str"/>
      <x:c r="R73" t="str"/>
      <x:c r="S73" t="str"/>
      <x:c r="T73" t="str"/>
      <x:c r="U73" t="str"/>
      <x:c r="V73" t="str"/>
      <x:c r="W73" t="str"/>
      <x:c r="X73" t="str"/>
      <x:c r="Y73" t="str">
        <x:v>https://data.ny.gov/Economic-Development/Active-Corporations-Beginning-1800/n9v6-gdp6</x:v>
      </x:c>
    </x:row>
    <x:row r="74">
      <x:c r="A74" t="str">
        <x:v>DOS-3-025</x:v>
      </x:c>
      <x:c r="B74" t="n">
        <x:v>3</x:v>
      </x:c>
      <x:c r="C74" t="str">
        <x:v>50 SNEDIKER AVENUE, BROOKLYN, NY, 11207, US</x:v>
      </x:c>
      <x:c r="D74" t="str">
        <x:v>CLARENDON BRONX HOLDING LLC</x:v>
      </x:c>
      <x:c r="E74" t="str">
        <x:v>CLARENDON BRONX HOLDING, LLC</x:v>
      </x:c>
      <x:c r="F74" t="str">
        <x:v>Active name match</x:v>
      </x:c>
      <x:c r="G74" t="n">
        <x:v>1</x:v>
      </x:c>
      <x:c r="H74" t="n">
        <x:v>0</x:v>
      </x:c>
      <x:c r="I74" t="str">
        <x:v>4902804</x:v>
      </x:c>
      <x:c r="J74" t="str">
        <x:v>CLARENDON BRONX HOLDING, LLC</x:v>
      </x:c>
      <x:c r="K74" s="55" t="n">
        <x:v>42426</x:v>
      </x:c>
      <x:c r="L74" t="str">
        <x:v>Bronx</x:v>
      </x:c>
      <x:c r="M74" t="str">
        <x:v>New York</x:v>
      </x:c>
      <x:c r="N74" t="str">
        <x:v>DOMESTIC LIMITED LIABILITY COMPANY</x:v>
      </x:c>
      <x:c r="O74" t="str">
        <x:v>SILVERMAN SHIN &amp; SCHNEIDER PLLC</x:v>
      </x:c>
      <x:c r="P74" t="str">
        <x:v>111 BROADWAY, SUITE 1502, NEW YORK, NY, 10006</x:v>
      </x:c>
      <x:c r="Q74" t="str"/>
      <x:c r="R74" t="str"/>
      <x:c r="S74" t="str">
        <x:v>SILVERMAN SHIN &amp; BYRNE PLLC</x:v>
      </x:c>
      <x:c r="T74" t="str">
        <x:v>88 PINE STREET, NEW YORK, NEW YORK, 10005</x:v>
      </x:c>
      <x:c r="U74" t="str"/>
      <x:c r="V74" t="str"/>
      <x:c r="W74" t="str"/>
      <x:c r="X74" t="str"/>
      <x:c r="Y74" t="str">
        <x:v>https://data.ny.gov/Economic-Development/Active-Corporations-Beginning-1800/n9v6-gdp6</x:v>
      </x:c>
    </x:row>
    <x:row r="75">
      <x:c r="A75" t="str">
        <x:v>DOS-3-025</x:v>
      </x:c>
      <x:c r="B75" t="n">
        <x:v>3</x:v>
      </x:c>
      <x:c r="C75" t="str">
        <x:v>50 SNEDIKER AVENUE, BROOKLYN, NY, 11207, US</x:v>
      </x:c>
      <x:c r="D75" t="str">
        <x:v>CLARENDON BRONX REALTY LLC</x:v>
      </x:c>
      <x:c r="E75" t="str">
        <x:v>CLARENDON BRONX REALTY LLC</x:v>
      </x:c>
      <x:c r="F75" t="str">
        <x:v>Active name match</x:v>
      </x:c>
      <x:c r="G75" t="n">
        <x:v>1</x:v>
      </x:c>
      <x:c r="H75" t="n">
        <x:v>0</x:v>
      </x:c>
      <x:c r="I75" t="str">
        <x:v>4902809</x:v>
      </x:c>
      <x:c r="J75" t="str">
        <x:v>CLARENDON BRONX REALTY, LLC</x:v>
      </x:c>
      <x:c r="K75" s="55" t="n">
        <x:v>42426</x:v>
      </x:c>
      <x:c r="L75" t="str">
        <x:v>Bronx</x:v>
      </x:c>
      <x:c r="M75" t="str">
        <x:v>New York</x:v>
      </x:c>
      <x:c r="N75" t="str">
        <x:v>DOMESTIC LIMITED LIABILITY COMPANY</x:v>
      </x:c>
      <x:c r="O75" t="str">
        <x:v>SILVERMAN SHIN &amp; SCHNEIDER PLLC</x:v>
      </x:c>
      <x:c r="P75" t="str">
        <x:v>111 BROADWAY, SUITE 1502, NEW YORK, NY, 10006</x:v>
      </x:c>
      <x:c r="Q75" t="str"/>
      <x:c r="R75" t="str"/>
      <x:c r="S75" t="str">
        <x:v>SILVERMAN SHIN &amp; BYRNE PLLC</x:v>
      </x:c>
      <x:c r="T75" t="str">
        <x:v>88 PINE STREET, NEW YORK, NEW YORK, 10005</x:v>
      </x:c>
      <x:c r="U75" t="str"/>
      <x:c r="V75" t="str"/>
      <x:c r="W75" t="str"/>
      <x:c r="X75" t="str"/>
      <x:c r="Y75" t="str">
        <x:v>https://data.ny.gov/Economic-Development/Active-Corporations-Beginning-1800/n9v6-gdp6</x:v>
      </x:c>
    </x:row>
    <x:row r="76">
      <x:c r="A76" t="str">
        <x:v>DOS-3-025</x:v>
      </x:c>
      <x:c r="B76" t="n">
        <x:v>3</x:v>
      </x:c>
      <x:c r="C76" t="str">
        <x:v>50 SNEDIKER AVENUE, BROOKLYN, NY, 11207, US</x:v>
      </x:c>
      <x:c r="D76" t="str">
        <x:v>CLARENDON REALTY HOLDINGS LLC</x:v>
      </x:c>
      <x:c r="E76" t="str">
        <x:v>CLARENDON REALTY HOLDINGS, LLC</x:v>
      </x:c>
      <x:c r="F76" t="str">
        <x:v>Active name match</x:v>
      </x:c>
      <x:c r="G76" t="n">
        <x:v>1</x:v>
      </x:c>
      <x:c r="H76" t="n">
        <x:v>0</x:v>
      </x:c>
      <x:c r="I76" t="str">
        <x:v>3686665</x:v>
      </x:c>
      <x:c r="J76" t="str">
        <x:v>CLARENDON REALTY HOLDINGS, LLC</x:v>
      </x:c>
      <x:c r="K76" s="55" t="n">
        <x:v>39618</x:v>
      </x:c>
      <x:c r="L76" t="str">
        <x:v>Kings</x:v>
      </x:c>
      <x:c r="M76" t="str">
        <x:v>New York</x:v>
      </x:c>
      <x:c r="N76" t="str">
        <x:v>DOMESTIC LIMITED LIABILITY COMPANY</x:v>
      </x:c>
      <x:c r="O76" t="str">
        <x:v>SILVERMAN SHIN &amp; SCHNEIDER PLLC</x:v>
      </x:c>
      <x:c r="P76" t="str">
        <x:v>111 BROADWAY, SUITE 1502, NEW YORK, NY, 10006</x:v>
      </x:c>
      <x:c r="Q76" t="str"/>
      <x:c r="R76" t="str"/>
      <x:c r="S76" t="str"/>
      <x:c r="T76" t="str"/>
      <x:c r="U76" t="str"/>
      <x:c r="V76" t="str"/>
      <x:c r="W76" t="str"/>
      <x:c r="X76" t="str"/>
      <x:c r="Y76" t="str">
        <x:v>https://data.ny.gov/Economic-Development/Active-Corporations-Beginning-1800/n9v6-gdp6</x:v>
      </x:c>
    </x:row>
    <x:row r="77">
      <x:c r="A77" t="str">
        <x:v>DOS-3-026</x:v>
      </x:c>
      <x:c r="B77" t="n">
        <x:v>3</x:v>
      </x:c>
      <x:c r="C77" t="str">
        <x:v>118-60 218TH STREET, CAMBRIA HEIGHTS, NY, 11411, US</x:v>
      </x:c>
      <x:c r="D77" t="str">
        <x:v>2320 BEAUMONT AVE UNIT 3D LLC</x:v>
      </x:c>
      <x:c r="E77" t="str">
        <x:v>2320 BEAUMONT AVE UNIT 3D LLC</x:v>
      </x:c>
      <x:c r="F77" t="str">
        <x:v>Active name match</x:v>
      </x:c>
      <x:c r="G77" t="n">
        <x:v>1</x:v>
      </x:c>
      <x:c r="H77" t="n">
        <x:v>0</x:v>
      </x:c>
      <x:c r="I77" t="str">
        <x:v>4565879</x:v>
      </x:c>
      <x:c r="J77" t="str">
        <x:v>2320 BEAUMONT AVE UNIT 3D LLC</x:v>
      </x:c>
      <x:c r="K77" s="55" t="n">
        <x:v>41752</x:v>
      </x:c>
      <x:c r="L77" t="str">
        <x:v>Queens</x:v>
      </x:c>
      <x:c r="M77" t="str">
        <x:v>New York</x:v>
      </x:c>
      <x:c r="N77" t="str">
        <x:v>DOMESTIC LIMITED LIABILITY COMPANY</x:v>
      </x:c>
      <x:c r="O77" t="str">
        <x:v>ISKYO ARONOV</x:v>
      </x:c>
      <x:c r="P77" t="str">
        <x:v>116-55 Queens Blvd, Ste 206, Forest Hills, NY, 11375</x:v>
      </x:c>
      <x:c r="Q77" t="str"/>
      <x:c r="R77" t="str"/>
      <x:c r="S77" t="str"/>
      <x:c r="T77" t="str"/>
      <x:c r="U77" t="str"/>
      <x:c r="V77" t="str"/>
      <x:c r="W77" t="str"/>
      <x:c r="X77" t="str"/>
      <x:c r="Y77" t="str">
        <x:v>https://data.ny.gov/Economic-Development/Active-Corporations-Beginning-1800/n9v6-gdp6</x:v>
      </x:c>
    </x:row>
    <x:row r="78">
      <x:c r="A78" t="str">
        <x:v>DOS-3-026</x:v>
      </x:c>
      <x:c r="B78" t="n">
        <x:v>3</x:v>
      </x:c>
      <x:c r="C78" t="str">
        <x:v>118-60 218TH STREET, CAMBRIA HEIGHTS, NY, 11411, US</x:v>
      </x:c>
      <x:c r="D78" t="str">
        <x:v>2320 BEAUMONT AVENUE UNIT 3D LLC</x:v>
      </x:c>
      <x:c r="E78" t="str">
        <x:v>2320 BEAUMONT AVENUE UNIT 3D LLC</x:v>
      </x:c>
      <x:c r="F78" t="str">
        <x:v>No active DOS match</x:v>
      </x:c>
      <x:c r="G78" t="n">
        <x:v>0</x:v>
      </x:c>
      <x:c r="H78" t="n">
        <x:v>0</x:v>
      </x:c>
      <x:c r="I78" t="str"/>
      <x:c r="J78" t="str"/>
      <x:c r="K78" s="55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>
        <x:v>https://data.ny.gov/Economic-Development/Active-Corporations-Beginning-1800/n9v6-gdp6</x:v>
      </x:c>
    </x:row>
    <x:row r="79">
      <x:c r="A79" t="str">
        <x:v>DOS-3-026</x:v>
      </x:c>
      <x:c r="B79" t="n">
        <x:v>3</x:v>
      </x:c>
      <x:c r="C79" t="str">
        <x:v>118-60 218TH STREET, CAMBRIA HEIGHTS, NY, 11411, US</x:v>
      </x:c>
      <x:c r="D79" t="str">
        <x:v>BAINBRIDGE 1 HOLDINGS LLC</x:v>
      </x:c>
      <x:c r="E79" t="str">
        <x:v>BAINBRIDGE 1 HOLDINGS LLC</x:v>
      </x:c>
      <x:c r="F79" t="str">
        <x:v>Active name match</x:v>
      </x:c>
      <x:c r="G79" t="n">
        <x:v>1</x:v>
      </x:c>
      <x:c r="H79" t="n">
        <x:v>0</x:v>
      </x:c>
      <x:c r="I79" t="str">
        <x:v>4544947</x:v>
      </x:c>
      <x:c r="J79" t="str">
        <x:v>BAINBRIDGE 1 HOLDINGS LLC</x:v>
      </x:c>
      <x:c r="K79" s="55" t="n">
        <x:v>41712</x:v>
      </x:c>
      <x:c r="L79" t="str">
        <x:v>Queens</x:v>
      </x:c>
      <x:c r="M79" t="str">
        <x:v>New York</x:v>
      </x:c>
      <x:c r="N79" t="str">
        <x:v>DOMESTIC LIMITED LIABILITY COMPANY</x:v>
      </x:c>
      <x:c r="O79" t="str">
        <x:v>ISKYO ARONOV</x:v>
      </x:c>
      <x:c r="P79" t="str">
        <x:v>116-55 Queens Blvd, Ste 206, Forest Hills, NY, 11375</x:v>
      </x:c>
      <x:c r="Q79" t="str"/>
      <x:c r="R79" t="str"/>
      <x:c r="S79" t="str"/>
      <x:c r="T79" t="str"/>
      <x:c r="U79" t="str"/>
      <x:c r="V79" t="str"/>
      <x:c r="W79" t="str"/>
      <x:c r="X79" t="str"/>
      <x:c r="Y79" t="str">
        <x:v>https://data.ny.gov/Economic-Development/Active-Corporations-Beginning-1800/n9v6-gdp6</x:v>
      </x:c>
    </x:row>
    <x:row r="80">
      <x:c r="A80" t="str">
        <x:v>DOS-3-027</x:v>
      </x:c>
      <x:c r="B80" t="n">
        <x:v>3</x:v>
      </x:c>
      <x:c r="C80" t="str">
        <x:v>135-25 NORTHERN BOULEVARD, 2ND FLOOR, FLUSHING, NY, 11354, US</x:v>
      </x:c>
      <x:c r="D80" t="str">
        <x:v>FARRINGTON CAPITAL LLC</x:v>
      </x:c>
      <x:c r="E80" t="str">
        <x:v>FARRINGTON CAPITAL LLC</x:v>
      </x:c>
      <x:c r="F80" t="str">
        <x:v>Active name match</x:v>
      </x:c>
      <x:c r="G80" t="n">
        <x:v>1</x:v>
      </x:c>
      <x:c r="H80" t="n">
        <x:v>1</x:v>
      </x:c>
      <x:c r="I80" t="str">
        <x:v>7644582</x:v>
      </x:c>
      <x:c r="J80" t="str">
        <x:v>FARRINGTON CAPITAL LLC</x:v>
      </x:c>
      <x:c r="K80" s="55" t="n">
        <x:v>45832</x:v>
      </x:c>
      <x:c r="L80" t="str">
        <x:v>Queens</x:v>
      </x:c>
      <x:c r="M80" t="str">
        <x:v>New York</x:v>
      </x:c>
      <x:c r="N80" t="str">
        <x:v>DOMESTIC LIMITED LIABILITY COMPANY</x:v>
      </x:c>
      <x:c r="O80" t="str">
        <x:v>FARRINGTON CAPITAL LLC</x:v>
      </x:c>
      <x:c r="P80" t="str">
        <x:v>C:O/Xiangan Gong, Esq., 38-08 Union Street, Suite 2G, Flushing, NY, 11354</x:v>
      </x:c>
      <x:c r="Q80" t="str"/>
      <x:c r="R80" t="str"/>
      <x:c r="S80" t="str"/>
      <x:c r="T80" t="str"/>
      <x:c r="U80" t="str"/>
      <x:c r="V80" t="str"/>
      <x:c r="W80" t="str"/>
      <x:c r="X80" t="str"/>
      <x:c r="Y80" t="str">
        <x:v>https://data.ny.gov/Economic-Development/Active-Corporations-Beginning-1800/n9v6-gdp6</x:v>
      </x:c>
    </x:row>
    <x:row r="81">
      <x:c r="A81" t="str">
        <x:v>DOS-3-027</x:v>
      </x:c>
      <x:c r="B81" t="n">
        <x:v>3</x:v>
      </x:c>
      <x:c r="C81" t="str">
        <x:v>135-25 NORTHERN BOULEVARD, 2ND FLOOR, FLUSHING, NY, 11354, US</x:v>
      </x:c>
      <x:c r="D81" t="str">
        <x:v>GREENPOINT SUMMIT LLC</x:v>
      </x:c>
      <x:c r="E81" t="str">
        <x:v>GREENPOINT SUMMIT LLC</x:v>
      </x:c>
      <x:c r="F81" t="str">
        <x:v>Active name match</x:v>
      </x:c>
      <x:c r="G81" t="n">
        <x:v>1</x:v>
      </x:c>
      <x:c r="H81" t="n">
        <x:v>1</x:v>
      </x:c>
      <x:c r="I81" t="str">
        <x:v>6773409</x:v>
      </x:c>
      <x:c r="J81" t="str">
        <x:v>GREENPOINT SUMMIT LLC</x:v>
      </x:c>
      <x:c r="K81" s="55" t="n">
        <x:v>45008</x:v>
      </x:c>
      <x:c r="L81" t="str">
        <x:v>Queens</x:v>
      </x:c>
      <x:c r="M81" t="str">
        <x:v>New York</x:v>
      </x:c>
      <x:c r="N81" t="str">
        <x:v>DOMESTIC LIMITED LIABILITY COMPANY</x:v>
      </x:c>
      <x:c r="O81" t="str">
        <x:v>GREENPOINT SUMMIT LLC</x:v>
      </x:c>
      <x:c r="P81" t="str">
        <x:v>13525 NORTHERN BLVD 2FL, FLUSHING, NY, 11354</x:v>
      </x:c>
      <x:c r="Q81" t="str"/>
      <x:c r="R81" t="str"/>
      <x:c r="S81" t="str"/>
      <x:c r="T81" t="str"/>
      <x:c r="U81" t="str"/>
      <x:c r="V81" t="str"/>
      <x:c r="W81" t="str"/>
      <x:c r="X81" t="str"/>
      <x:c r="Y81" t="str">
        <x:v>https://data.ny.gov/Economic-Development/Active-Corporations-Beginning-1800/n9v6-gdp6</x:v>
      </x:c>
    </x:row>
    <x:row r="82">
      <x:c r="A82" t="str">
        <x:v>DOS-3-027</x:v>
      </x:c>
      <x:c r="B82" t="n">
        <x:v>3</x:v>
      </x:c>
      <x:c r="C82" t="str">
        <x:v>135-25 NORTHERN BOULEVARD, 2ND FLOOR, FLUSHING, NY, 11354, US</x:v>
      </x:c>
      <x:c r="D82" t="str">
        <x:v>MADISON 29 HOLDING LLC</x:v>
      </x:c>
      <x:c r="E82" t="str">
        <x:v>MADISON 29 HOLDING LLC</x:v>
      </x:c>
      <x:c r="F82" t="str">
        <x:v>Active name match</x:v>
      </x:c>
      <x:c r="G82" t="n">
        <x:v>1</x:v>
      </x:c>
      <x:c r="H82" t="n">
        <x:v>0</x:v>
      </x:c>
      <x:c r="I82" t="str">
        <x:v>7252095</x:v>
      </x:c>
      <x:c r="J82" t="str">
        <x:v>MADISON 29 HOLDING LLC</x:v>
      </x:c>
      <x:c r="K82" s="55" t="n">
        <x:v>45334</x:v>
      </x:c>
      <x:c r="L82" t="str">
        <x:v>Queens</x:v>
      </x:c>
      <x:c r="M82" t="str">
        <x:v>New York</x:v>
      </x:c>
      <x:c r="N82" t="str">
        <x:v>DOMESTIC LIMITED LIABILITY COMPANY</x:v>
      </x:c>
      <x:c r="O82" t="str">
        <x:v>MADISON 29 HOLDING LLC</x:v>
      </x:c>
      <x:c r="P82" t="str">
        <x:v>888 7th Avenue, 16th Fl, Suite 1608, New York, NY, 10106</x:v>
      </x:c>
      <x:c r="Q82" t="str"/>
      <x:c r="R82" t="str"/>
      <x:c r="S82" t="str"/>
      <x:c r="T82" t="str"/>
      <x:c r="U82" t="str"/>
      <x:c r="V82" t="str"/>
      <x:c r="W82" t="str"/>
      <x:c r="X82" t="str"/>
      <x:c r="Y82" t="str">
        <x:v>https://data.ny.gov/Economic-Development/Active-Corporations-Beginning-1800/n9v6-gdp6</x:v>
      </x:c>
    </x:row>
    <x:row r="83">
      <x:c r="A83" t="str">
        <x:v>DOS-3-028</x:v>
      </x:c>
      <x:c r="B83" t="n">
        <x:v>3</x:v>
      </x:c>
      <x:c r="C83" t="str">
        <x:v>160-09 HILLSIDE AVENUE, JAMAICA, NY, 11432, US</x:v>
      </x:c>
      <x:c r="D83" t="str">
        <x:v>ALEPH LLC</x:v>
      </x:c>
      <x:c r="E83" t="str">
        <x:v>ALEPH LLC</x:v>
      </x:c>
      <x:c r="F83" t="str">
        <x:v>Address-corroborated active match</x:v>
      </x:c>
      <x:c r="G83" t="n">
        <x:v>1</x:v>
      </x:c>
      <x:c r="H83" t="n">
        <x:v>2</x:v>
      </x:c>
      <x:c r="I83" t="str">
        <x:v>2716275</x:v>
      </x:c>
      <x:c r="J83" t="str">
        <x:v>ALEPH LLC</x:v>
      </x:c>
      <x:c r="K83" s="55" t="n">
        <x:v>37264</x:v>
      </x:c>
      <x:c r="L83" t="str">
        <x:v>Queens</x:v>
      </x:c>
      <x:c r="M83" t="str">
        <x:v>New York</x:v>
      </x:c>
      <x:c r="N83" t="str">
        <x:v>DOMESTIC LIMITED LIABILITY COMPANY</x:v>
      </x:c>
      <x:c r="O83" t="str">
        <x:v>SAEED BLOORIAN</x:v>
      </x:c>
      <x:c r="P83" t="str">
        <x:v>160-09 HILLSIDE AVENUE, QUEENS, NY, 11432</x:v>
      </x:c>
      <x:c r="Q83" t="str"/>
      <x:c r="R83" t="str"/>
      <x:c r="S83" t="str"/>
      <x:c r="T83" t="str"/>
      <x:c r="U83" t="str"/>
      <x:c r="V83" t="str"/>
      <x:c r="W83" t="str"/>
      <x:c r="X83" t="str"/>
      <x:c r="Y83" t="str">
        <x:v>https://data.ny.gov/Economic-Development/Active-Corporations-Beginning-1800/n9v6-gdp6</x:v>
      </x:c>
    </x:row>
    <x:row r="84">
      <x:c r="A84" t="str">
        <x:v>DOS-3-028</x:v>
      </x:c>
      <x:c r="B84" t="n">
        <x:v>3</x:v>
      </x:c>
      <x:c r="C84" t="str">
        <x:v>160-09 HILLSIDE AVENUE, JAMAICA, NY, 11432, US</x:v>
      </x:c>
      <x:c r="D84" t="str">
        <x:v>FIVE DEVELOPMENT LLC</x:v>
      </x:c>
      <x:c r="E84" t="str">
        <x:v>FIVE DEVELOPMENT LLC</x:v>
      </x:c>
      <x:c r="F84" t="str">
        <x:v>Address-corroborated active match</x:v>
      </x:c>
      <x:c r="G84" t="n">
        <x:v>1</x:v>
      </x:c>
      <x:c r="H84" t="n">
        <x:v>2</x:v>
      </x:c>
      <x:c r="I84" t="str">
        <x:v>3621846</x:v>
      </x:c>
      <x:c r="J84" t="str">
        <x:v>FIVE DEVELOPMENT LLC</x:v>
      </x:c>
      <x:c r="K84" s="55" t="n">
        <x:v>39471</x:v>
      </x:c>
      <x:c r="L84" t="str">
        <x:v>Nassau</x:v>
      </x:c>
      <x:c r="M84" t="str">
        <x:v>New York</x:v>
      </x:c>
      <x:c r="N84" t="str">
        <x:v>DOMESTIC LIMITED LIABILITY COMPANY</x:v>
      </x:c>
      <x:c r="O84" t="str">
        <x:v>FIVE DEVELOPMENT LLC</x:v>
      </x:c>
      <x:c r="P84" t="str">
        <x:v>160-09 HILLSIDE AVENUE, JAMAICA, NY, 11432</x:v>
      </x:c>
      <x:c r="Q84" t="str"/>
      <x:c r="R84" t="str"/>
      <x:c r="S84" t="str"/>
      <x:c r="T84" t="str"/>
      <x:c r="U84" t="str"/>
      <x:c r="V84" t="str"/>
      <x:c r="W84" t="str"/>
      <x:c r="X84" t="str"/>
      <x:c r="Y84" t="str">
        <x:v>https://data.ny.gov/Economic-Development/Active-Corporations-Beginning-1800/n9v6-gdp6</x:v>
      </x:c>
    </x:row>
    <x:row r="85">
      <x:c r="A85" t="str">
        <x:v>DOS-3-028</x:v>
      </x:c>
      <x:c r="B85" t="n">
        <x:v>3</x:v>
      </x:c>
      <x:c r="C85" t="str">
        <x:v>160-09 HILLSIDE AVENUE, JAMAICA, NY, 11432, US</x:v>
      </x:c>
      <x:c r="D85" t="str">
        <x:v>INWOOD HOME LLC</x:v>
      </x:c>
      <x:c r="E85" t="str">
        <x:v>INWOOD HOME LLC</x:v>
      </x:c>
      <x:c r="F85" t="str">
        <x:v>Address-corroborated active match</x:v>
      </x:c>
      <x:c r="G85" t="n">
        <x:v>1</x:v>
      </x:c>
      <x:c r="H85" t="n">
        <x:v>2</x:v>
      </x:c>
      <x:c r="I85" t="str">
        <x:v>3807087</x:v>
      </x:c>
      <x:c r="J85" t="str">
        <x:v>INWOOD HOME LLC</x:v>
      </x:c>
      <x:c r="K85" s="55" t="n">
        <x:v>39939</x:v>
      </x:c>
      <x:c r="L85" t="str">
        <x:v>Greene</x:v>
      </x:c>
      <x:c r="M85" t="str">
        <x:v>New York</x:v>
      </x:c>
      <x:c r="N85" t="str">
        <x:v>DOMESTIC LIMITED LIABILITY COMPANY</x:v>
      </x:c>
      <x:c r="O85" t="str">
        <x:v>INWWOD HOME LLC</x:v>
      </x:c>
      <x:c r="P85" t="str">
        <x:v>160-09 HILLSIDE AVENUE, JAMAICA, NY, 11432</x:v>
      </x:c>
      <x:c r="Q85" t="str"/>
      <x:c r="R85" t="str"/>
      <x:c r="S85" t="str"/>
      <x:c r="T85" t="str"/>
      <x:c r="U85" t="str"/>
      <x:c r="V85" t="str"/>
      <x:c r="W85" t="str"/>
      <x:c r="X85" t="str"/>
      <x:c r="Y85" t="str">
        <x:v>https://data.ny.gov/Economic-Development/Active-Corporations-Beginning-1800/n9v6-gdp6</x:v>
      </x:c>
    </x:row>
    <x:row r="86">
      <x:c r="A86" t="str">
        <x:v>DOS-3-029</x:v>
      </x:c>
      <x:c r="B86" t="n">
        <x:v>3</x:v>
      </x:c>
      <x:c r="C86" t="str">
        <x:v>18 WHITNEY CIRCLE, GLEN COVE, NY, 11542, US</x:v>
      </x:c>
      <x:c r="D86" t="str">
        <x:v>MK REALTY 1 LLC</x:v>
      </x:c>
      <x:c r="E86" t="str">
        <x:v>MK REALTY 1, LLC</x:v>
      </x:c>
      <x:c r="F86" t="str">
        <x:v>Active name match</x:v>
      </x:c>
      <x:c r="G86" t="n">
        <x:v>1</x:v>
      </x:c>
      <x:c r="H86" t="n">
        <x:v>0</x:v>
      </x:c>
      <x:c r="I86" t="str">
        <x:v>7186941</x:v>
      </x:c>
      <x:c r="J86" t="str">
        <x:v>MK REALTY 1 LLC</x:v>
      </x:c>
      <x:c r="K86" s="55" t="n">
        <x:v>45250</x:v>
      </x:c>
      <x:c r="L86" t="str">
        <x:v>Nassau</x:v>
      </x:c>
      <x:c r="M86" t="str">
        <x:v>New York</x:v>
      </x:c>
      <x:c r="N86" t="str">
        <x:v>DOMESTIC LIMITED LIABILITY COMPANY</x:v>
      </x:c>
      <x:c r="O86" t="str">
        <x:v>DAVID W. OLSEN, ESQ.</x:v>
      </x:c>
      <x:c r="P86" t="str">
        <x:v>PO Box 1680, Mattituck, NY, 11952</x:v>
      </x:c>
      <x:c r="Q86" t="str"/>
      <x:c r="R86" t="str"/>
      <x:c r="S86" t="str"/>
      <x:c r="T86" t="str"/>
      <x:c r="U86" t="str"/>
      <x:c r="V86" t="str"/>
      <x:c r="W86" t="str"/>
      <x:c r="X86" t="str"/>
      <x:c r="Y86" t="str">
        <x:v>https://data.ny.gov/Economic-Development/Active-Corporations-Beginning-1800/n9v6-gdp6</x:v>
      </x:c>
    </x:row>
    <x:row r="87">
      <x:c r="A87" t="str">
        <x:v>DOS-3-029</x:v>
      </x:c>
      <x:c r="B87" t="n">
        <x:v>3</x:v>
      </x:c>
      <x:c r="C87" t="str">
        <x:v>18 WHITNEY CIRCLE, GLEN COVE, NY, 11542, US</x:v>
      </x:c>
      <x:c r="D87" t="str">
        <x:v>MSZ REALTY 1 LLC</x:v>
      </x:c>
      <x:c r="E87" t="str">
        <x:v>MSZ REALTY 1, LLC</x:v>
      </x:c>
      <x:c r="F87" t="str">
        <x:v>Active name match</x:v>
      </x:c>
      <x:c r="G87" t="n">
        <x:v>1</x:v>
      </x:c>
      <x:c r="H87" t="n">
        <x:v>0</x:v>
      </x:c>
      <x:c r="I87" t="str">
        <x:v>7186933</x:v>
      </x:c>
      <x:c r="J87" t="str">
        <x:v>MSZ REALTY 1, LLC</x:v>
      </x:c>
      <x:c r="K87" s="55" t="n">
        <x:v>45250</x:v>
      </x:c>
      <x:c r="L87" t="str">
        <x:v>Nassau</x:v>
      </x:c>
      <x:c r="M87" t="str">
        <x:v>New York</x:v>
      </x:c>
      <x:c r="N87" t="str">
        <x:v>DOMESTIC LIMITED LIABILITY COMPANY</x:v>
      </x:c>
      <x:c r="O87" t="str">
        <x:v>DAVID W. OLSEN, ESQ.</x:v>
      </x:c>
      <x:c r="P87" t="str">
        <x:v>PO Box 1680, Mattituck, NY, 11952</x:v>
      </x:c>
      <x:c r="Q87" t="str"/>
      <x:c r="R87" t="str"/>
      <x:c r="S87" t="str"/>
      <x:c r="T87" t="str"/>
      <x:c r="U87" t="str"/>
      <x:c r="V87" t="str"/>
      <x:c r="W87" t="str"/>
      <x:c r="X87" t="str"/>
      <x:c r="Y87" t="str">
        <x:v>https://data.ny.gov/Economic-Development/Active-Corporations-Beginning-1800/n9v6-gdp6</x:v>
      </x:c>
    </x:row>
    <x:row r="88">
      <x:c r="A88" t="str">
        <x:v>DOS-3-029</x:v>
      </x:c>
      <x:c r="B88" t="n">
        <x:v>3</x:v>
      </x:c>
      <x:c r="C88" t="str">
        <x:v>18 WHITNEY CIRCLE, GLEN COVE, NY, 11542, US</x:v>
      </x:c>
      <x:c r="D88" t="str">
        <x:v>PAMENAR REALTY LLC</x:v>
      </x:c>
      <x:c r="E88" t="str">
        <x:v>PAMENAR REALTY LLC</x:v>
      </x:c>
      <x:c r="F88" t="str">
        <x:v>Address-corroborated active match</x:v>
      </x:c>
      <x:c r="G88" t="n">
        <x:v>1</x:v>
      </x:c>
      <x:c r="H88" t="n">
        <x:v>2</x:v>
      </x:c>
      <x:c r="I88" t="str">
        <x:v>5553185</x:v>
      </x:c>
      <x:c r="J88" t="str">
        <x:v>PAMENAR REALTY LLC</x:v>
      </x:c>
      <x:c r="K88" s="55" t="n">
        <x:v>43600</x:v>
      </x:c>
      <x:c r="L88" t="str">
        <x:v>Nassau</x:v>
      </x:c>
      <x:c r="M88" t="str">
        <x:v>New York</x:v>
      </x:c>
      <x:c r="N88" t="str">
        <x:v>DOMESTIC LIMITED LIABILITY COMPANY</x:v>
      </x:c>
      <x:c r="O88" t="str">
        <x:v>MANSOUR ZANDIEH</x:v>
      </x:c>
      <x:c r="P88" t="str">
        <x:v>18 WHITNEY CIRCLE, 18 Whitney Circle, GLEN COVE, NY, 11542</x:v>
      </x:c>
      <x:c r="Q88" t="str"/>
      <x:c r="R88" t="str"/>
      <x:c r="S88" t="str"/>
      <x:c r="T88" t="str"/>
      <x:c r="U88" t="str"/>
      <x:c r="V88" t="str"/>
      <x:c r="W88" t="str"/>
      <x:c r="X88" t="str"/>
      <x:c r="Y88" t="str">
        <x:v>https://data.ny.gov/Economic-Development/Active-Corporations-Beginning-1800/n9v6-gdp6</x:v>
      </x:c>
    </x:row>
    <x:row r="89">
      <x:c r="A89" t="str">
        <x:v>DOS-3-030</x:v>
      </x:c>
      <x:c r="B89" t="n">
        <x:v>3</x:v>
      </x:c>
      <x:c r="C89" t="str">
        <x:v>185 CLYMER STREET #401, BROOKLYN, NY, 11211, US | 185 CLYMER STREET, #401, BROOKLYN, NY, 11211, US</x:v>
      </x:c>
      <x:c r="D89" t="str">
        <x:v>85 4TH AVENUE LLC</x:v>
      </x:c>
      <x:c r="E89" t="str">
        <x:v>85 4TH AVENUE LLC</x:v>
      </x:c>
      <x:c r="F89" t="str">
        <x:v>Address-corroborated active match</x:v>
      </x:c>
      <x:c r="G89" t="n">
        <x:v>1</x:v>
      </x:c>
      <x:c r="H89" t="n">
        <x:v>2</x:v>
      </x:c>
      <x:c r="I89" t="str">
        <x:v>4138826</x:v>
      </x:c>
      <x:c r="J89" t="str">
        <x:v>85 4TH AVENUE LLC</x:v>
      </x:c>
      <x:c r="K89" s="55" t="n">
        <x:v>40793</x:v>
      </x:c>
      <x:c r="L89" t="str">
        <x:v>Rockland</x:v>
      </x:c>
      <x:c r="M89" t="str">
        <x:v>New York</x:v>
      </x:c>
      <x:c r="N89" t="str">
        <x:v>DOMESTIC LIMITED LIABILITY COMPANY</x:v>
      </x:c>
      <x:c r="O89" t="str">
        <x:v>HARRY EINHORN</x:v>
      </x:c>
      <x:c r="P89" t="str">
        <x:v>185 Clymer Street, 401, Brooklyn, NY, 11211</x:v>
      </x:c>
      <x:c r="Q89" t="str"/>
      <x:c r="R89" t="str"/>
      <x:c r="S89" t="str"/>
      <x:c r="T89" t="str"/>
      <x:c r="U89" t="str"/>
      <x:c r="V89" t="str"/>
      <x:c r="W89" t="str"/>
      <x:c r="X89" t="str"/>
      <x:c r="Y89" t="str">
        <x:v>https://data.ny.gov/Economic-Development/Active-Corporations-Beginning-1800/n9v6-gdp6</x:v>
      </x:c>
    </x:row>
    <x:row r="90">
      <x:c r="A90" t="str">
        <x:v>DOS-3-030</x:v>
      </x:c>
      <x:c r="B90" t="n">
        <x:v>3</x:v>
      </x:c>
      <x:c r="C90" t="str">
        <x:v>185 CLYMER STREET #401, BROOKLYN, NY, 11211, US | 185 CLYMER STREET, #401, BROOKLYN, NY, 11211, US</x:v>
      </x:c>
      <x:c r="D90" t="str">
        <x:v>EIN EQUITIES LLC</x:v>
      </x:c>
      <x:c r="E90" t="str">
        <x:v>EIN EQUITIES LLC</x:v>
      </x:c>
      <x:c r="F90" t="str">
        <x:v>Address-corroborated active match</x:v>
      </x:c>
      <x:c r="G90" t="n">
        <x:v>1</x:v>
      </x:c>
      <x:c r="H90" t="n">
        <x:v>2</x:v>
      </x:c>
      <x:c r="I90" t="str">
        <x:v>7726794</x:v>
      </x:c>
      <x:c r="J90" t="str">
        <x:v>EIN EQUITIES LLC</x:v>
      </x:c>
      <x:c r="K90" s="55" t="n">
        <x:v>45936</x:v>
      </x:c>
      <x:c r="L90" t="str">
        <x:v>Kings</x:v>
      </x:c>
      <x:c r="M90" t="str">
        <x:v>New York</x:v>
      </x:c>
      <x:c r="N90" t="str">
        <x:v>DOMESTIC LIMITED LIABILITY COMPANY</x:v>
      </x:c>
      <x:c r="O90" t="str">
        <x:v>Harry Einhorn</x:v>
      </x:c>
      <x:c r="P90" t="str">
        <x:v>185 Clymer Street, #401, Brooklyn, NY, 11211</x:v>
      </x:c>
      <x:c r="Q90" t="str"/>
      <x:c r="R90" t="str"/>
      <x:c r="S90" t="str"/>
      <x:c r="T90" t="str"/>
      <x:c r="U90" t="str"/>
      <x:c r="V90" t="str"/>
      <x:c r="W90" t="str"/>
      <x:c r="X90" t="str"/>
      <x:c r="Y90" t="str">
        <x:v>https://data.ny.gov/Economic-Development/Active-Corporations-Beginning-1800/n9v6-gdp6</x:v>
      </x:c>
    </x:row>
    <x:row r="91">
      <x:c r="A91" t="str">
        <x:v>DOS-3-030</x:v>
      </x:c>
      <x:c r="B91" t="n">
        <x:v>3</x:v>
      </x:c>
      <x:c r="C91" t="str">
        <x:v>185 CLYMER STREET #401, BROOKLYN, NY, 11211, US | 185 CLYMER STREET, #401, BROOKLYN, NY, 11211, US</x:v>
      </x:c>
      <x:c r="D91" t="str">
        <x:v>QUAY PLAZA LLC</x:v>
      </x:c>
      <x:c r="E91" t="str">
        <x:v>QUAY PLAZA LLC</x:v>
      </x:c>
      <x:c r="F91" t="str">
        <x:v>Address-corroborated active match</x:v>
      </x:c>
      <x:c r="G91" t="n">
        <x:v>1</x:v>
      </x:c>
      <x:c r="H91" t="n">
        <x:v>2</x:v>
      </x:c>
      <x:c r="I91" t="str">
        <x:v>4836631</x:v>
      </x:c>
      <x:c r="J91" t="str">
        <x:v>QUAY PLAZA LLC</x:v>
      </x:c>
      <x:c r="K91" s="55" t="n">
        <x:v>42297</x:v>
      </x:c>
      <x:c r="L91" t="str">
        <x:v>Rockland</x:v>
      </x:c>
      <x:c r="M91" t="str">
        <x:v>New York</x:v>
      </x:c>
      <x:c r="N91" t="str">
        <x:v>DOMESTIC LIMITED LIABILITY COMPANY</x:v>
      </x:c>
      <x:c r="O91" t="str">
        <x:v>QUAY PLAZA LLC</x:v>
      </x:c>
      <x:c r="P91" t="str">
        <x:v>185 Clymer Street, 401, Brooklyn, NY, 11211</x:v>
      </x:c>
      <x:c r="Q91" t="str"/>
      <x:c r="R91" t="str"/>
      <x:c r="S91" t="str"/>
      <x:c r="T91" t="str"/>
      <x:c r="U91" t="str"/>
      <x:c r="V91" t="str"/>
      <x:c r="W91" t="str"/>
      <x:c r="X91" t="str"/>
      <x:c r="Y91" t="str">
        <x:v>https://data.ny.gov/Economic-Development/Active-Corporations-Beginning-1800/n9v6-gdp6</x:v>
      </x:c>
    </x:row>
    <x:row r="92">
      <x:c r="A92" t="str">
        <x:v>DOS-3-031</x:v>
      </x:c>
      <x:c r="B92" t="n">
        <x:v>3</x:v>
      </x:c>
      <x:c r="C92" t="str">
        <x:v>200 PARK AVENUE, NEW YORK, NY, 10166, US | 200 PARK AVENUE,, NEW YORK, NY, 10166, US</x:v>
      </x:c>
      <x:c r="D92" t="str">
        <x:v>74 KENT OWNER LLC</x:v>
      </x:c>
      <x:c r="E92" t="str">
        <x:v>74 KENT OWNER LLC</x:v>
      </x:c>
      <x:c r="F92" t="str">
        <x:v>Active name match</x:v>
      </x:c>
      <x:c r="G92" t="n">
        <x:v>1</x:v>
      </x:c>
      <x:c r="H92" t="n">
        <x:v>0</x:v>
      </x:c>
      <x:c r="I92" t="str">
        <x:v>5060001</x:v>
      </x:c>
      <x:c r="J92" t="str">
        <x:v>74 KENT OWNER LLC</x:v>
      </x:c>
      <x:c r="K92" s="55" t="n">
        <x:v>42734</x:v>
      </x:c>
      <x:c r="L92" t="str">
        <x:v>New York</x:v>
      </x:c>
      <x:c r="M92" t="str">
        <x:v>Delaware</x:v>
      </x:c>
      <x:c r="N92" t="str">
        <x:v>FOREIGN LIMITED LIABILITY COMPANY</x:v>
      </x:c>
      <x:c r="O92" t="str">
        <x:v>C/O SIMEON DERENSHTEYN</x:v>
      </x:c>
      <x:c r="P92" t="str">
        <x:v>255 EAST 74TH STREET, APT. 23B, NEW YORK, NY, 10021</x:v>
      </x:c>
      <x:c r="Q92" t="str"/>
      <x:c r="R92" t="str"/>
      <x:c r="S92" t="str"/>
      <x:c r="T92" t="str"/>
      <x:c r="U92" t="str"/>
      <x:c r="V92" t="str"/>
      <x:c r="W92" t="str"/>
      <x:c r="X92" t="str"/>
      <x:c r="Y92" t="str">
        <x:v>https://data.ny.gov/Economic-Development/Active-Corporations-Beginning-1800/n9v6-gdp6</x:v>
      </x:c>
    </x:row>
    <x:row r="93">
      <x:c r="A93" t="str">
        <x:v>DOS-3-031</x:v>
      </x:c>
      <x:c r="B93" t="n">
        <x:v>3</x:v>
      </x:c>
      <x:c r="C93" t="str">
        <x:v>200 PARK AVENUE, NEW YORK, NY, 10166, US | 200 PARK AVENUE,, NEW YORK, NY, 10166, US</x:v>
      </x:c>
      <x:c r="D93" t="str">
        <x:v>N3N REALTY LLC</x:v>
      </x:c>
      <x:c r="E93" t="str">
        <x:v>N3N REALTY LLC</x:v>
      </x:c>
      <x:c r="F93" t="str">
        <x:v>Active name match</x:v>
      </x:c>
      <x:c r="G93" t="n">
        <x:v>1</x:v>
      </x:c>
      <x:c r="H93" t="n">
        <x:v>0</x:v>
      </x:c>
      <x:c r="I93" t="str">
        <x:v>5982917</x:v>
      </x:c>
      <x:c r="J93" t="str">
        <x:v>N3N REALTY LLC</x:v>
      </x:c>
      <x:c r="K93" s="55" t="n">
        <x:v>44293</x:v>
      </x:c>
      <x:c r="L93" t="str">
        <x:v>Queens</x:v>
      </x:c>
      <x:c r="M93" t="str">
        <x:v>New York</x:v>
      </x:c>
      <x:c r="N93" t="str">
        <x:v>DOMESTIC LIMITED LIABILITY COMPANY</x:v>
      </x:c>
      <x:c r="O93" t="str">
        <x:v>N3N REALTY LLC</x:v>
      </x:c>
      <x:c r="P93" t="str">
        <x:v>34-15 10TH STREET, ASTORIA, NY, 11106</x:v>
      </x:c>
      <x:c r="Q93" t="str"/>
      <x:c r="R93" t="str"/>
      <x:c r="S93" t="str"/>
      <x:c r="T93" t="str"/>
      <x:c r="U93" t="str"/>
      <x:c r="V93" t="str"/>
      <x:c r="W93" t="str"/>
      <x:c r="X93" t="str"/>
      <x:c r="Y93" t="str">
        <x:v>https://data.ny.gov/Economic-Development/Active-Corporations-Beginning-1800/n9v6-gdp6</x:v>
      </x:c>
    </x:row>
    <x:row r="94">
      <x:c r="A94" t="str">
        <x:v>DOS-3-031</x:v>
      </x:c>
      <x:c r="B94" t="n">
        <x:v>3</x:v>
      </x:c>
      <x:c r="C94" t="str">
        <x:v>200 PARK AVENUE, NEW YORK, NY, 10166, US | 200 PARK AVENUE,, NEW YORK, NY, 10166, US</x:v>
      </x:c>
      <x:c r="D94" t="str">
        <x:v>THOMPSON BROOME GEXSME LLC</x:v>
      </x:c>
      <x:c r="E94" t="str">
        <x:v>THOMPSON BROOME GEXSME LLC</x:v>
      </x:c>
      <x:c r="F94" t="str">
        <x:v>Active name match</x:v>
      </x:c>
      <x:c r="G94" t="n">
        <x:v>1</x:v>
      </x:c>
      <x:c r="H94" t="n">
        <x:v>0</x:v>
      </x:c>
      <x:c r="I94" t="str">
        <x:v>7606813</x:v>
      </x:c>
      <x:c r="J94" t="str">
        <x:v>THOMPSON BROOME GEXSME LLC</x:v>
      </x:c>
      <x:c r="K94" s="55" t="n">
        <x:v>45785</x:v>
      </x:c>
      <x:c r="L94" t="str">
        <x:v>Erie</x:v>
      </x:c>
      <x:c r="M94" t="str">
        <x:v>New York</x:v>
      </x:c>
      <x:c r="N94" t="str">
        <x:v>DOMESTIC LIMITED LIABILITY COMPANY</x:v>
      </x:c>
      <x:c r="O94" t="str">
        <x:v>SME CAPITAL VENTURES</x:v>
      </x:c>
      <x:c r="P94" t="str">
        <x:v>54 THOMPSON STREET, NEW YORK NY, NY, 10012</x:v>
      </x:c>
      <x:c r="Q94" t="str"/>
      <x:c r="R94" t="str"/>
      <x:c r="S94" t="str"/>
      <x:c r="T94" t="str"/>
      <x:c r="U94" t="str"/>
      <x:c r="V94" t="str"/>
      <x:c r="W94" t="str"/>
      <x:c r="X94" t="str"/>
      <x:c r="Y94" t="str">
        <x:v>https://data.ny.gov/Economic-Development/Active-Corporations-Beginning-1800/n9v6-gdp6</x:v>
      </x:c>
    </x:row>
    <x:row r="95">
      <x:c r="A95" t="str">
        <x:v>DOS-3-032</x:v>
      </x:c>
      <x:c r="B95" t="n">
        <x:v>3</x:v>
      </x:c>
      <x:c r="C95" t="str">
        <x:v>2266 EAST 2ND  STREET, BROOKLYN, NY, 11223, US | 2266 EAST 2ND STREET, BROOKLYN, NY, 11223, US</x:v>
      </x:c>
      <x:c r="D95" t="str">
        <x:v>ARYEH REALTY LLC</x:v>
      </x:c>
      <x:c r="E95" t="str">
        <x:v>ARYEH REALTY LLC</x:v>
      </x:c>
      <x:c r="F95" t="str">
        <x:v>Active name match</x:v>
      </x:c>
      <x:c r="G95" t="n">
        <x:v>1</x:v>
      </x:c>
      <x:c r="H95" t="n">
        <x:v>1</x:v>
      </x:c>
      <x:c r="I95" t="str">
        <x:v>2822906</x:v>
      </x:c>
      <x:c r="J95" t="str">
        <x:v>ARYEH REALTY LLC</x:v>
      </x:c>
      <x:c r="K95" s="55" t="n">
        <x:v>37544</x:v>
      </x:c>
      <x:c r="L95" t="str">
        <x:v>Nassau</x:v>
      </x:c>
      <x:c r="M95" t="str">
        <x:v>New York</x:v>
      </x:c>
      <x:c r="N95" t="str">
        <x:v>DOMESTIC LIMITED LIABILITY COMPANY</x:v>
      </x:c>
      <x:c r="O95" t="str">
        <x:v>ARYEH REALTY LLC</x:v>
      </x:c>
      <x:c r="P95" t="str">
        <x:v>2326 WEST STREET, BROOKLYN, NY, 11223</x:v>
      </x:c>
      <x:c r="Q95" t="str"/>
      <x:c r="R95" t="str"/>
      <x:c r="S95" t="str"/>
      <x:c r="T95" t="str"/>
      <x:c r="U95" t="str"/>
      <x:c r="V95" t="str"/>
      <x:c r="W95" t="str"/>
      <x:c r="X95" t="str"/>
      <x:c r="Y95" t="str">
        <x:v>https://data.ny.gov/Economic-Development/Active-Corporations-Beginning-1800/n9v6-gdp6</x:v>
      </x:c>
    </x:row>
    <x:row r="96">
      <x:c r="A96" t="str">
        <x:v>DOS-3-032</x:v>
      </x:c>
      <x:c r="B96" t="n">
        <x:v>3</x:v>
      </x:c>
      <x:c r="C96" t="str">
        <x:v>2266 EAST 2ND  STREET, BROOKLYN, NY, 11223, US | 2266 EAST 2ND STREET, BROOKLYN, NY, 11223, US</x:v>
      </x:c>
      <x:c r="D96" t="str">
        <x:v>ATLAS REALTY NY LLC</x:v>
      </x:c>
      <x:c r="E96" t="str">
        <x:v>ATLAS REALTY NY LLC</x:v>
      </x:c>
      <x:c r="F96" t="str">
        <x:v>Active name match</x:v>
      </x:c>
      <x:c r="G96" t="n">
        <x:v>1</x:v>
      </x:c>
      <x:c r="H96" t="n">
        <x:v>1</x:v>
      </x:c>
      <x:c r="I96" t="str">
        <x:v>5277911</x:v>
      </x:c>
      <x:c r="J96" t="str">
        <x:v>ATLAS REALTY NY LLC</x:v>
      </x:c>
      <x:c r="K96" s="55" t="n">
        <x:v>43131</x:v>
      </x:c>
      <x:c r="L96" t="str">
        <x:v>Albany</x:v>
      </x:c>
      <x:c r="M96" t="str">
        <x:v>New York</x:v>
      </x:c>
      <x:c r="N96" t="str">
        <x:v>DOMESTIC LIMITED LIABILITY COMPANY</x:v>
      </x:c>
      <x:c r="O96" t="str">
        <x:v>ATLAS REALTY NY LLC</x:v>
      </x:c>
      <x:c r="P96" t="str">
        <x:v>2326 WEST STREET, BROOKLYN, NY, 11223</x:v>
      </x:c>
      <x:c r="Q96" t="str"/>
      <x:c r="R96" t="str"/>
      <x:c r="S96" t="str"/>
      <x:c r="T96" t="str"/>
      <x:c r="U96" t="str"/>
      <x:c r="V96" t="str"/>
      <x:c r="W96" t="str"/>
      <x:c r="X96" t="str"/>
      <x:c r="Y96" t="str">
        <x:v>https://data.ny.gov/Economic-Development/Active-Corporations-Beginning-1800/n9v6-gdp6</x:v>
      </x:c>
    </x:row>
    <x:row r="97">
      <x:c r="A97" t="str">
        <x:v>DOS-3-032</x:v>
      </x:c>
      <x:c r="B97" t="n">
        <x:v>3</x:v>
      </x:c>
      <x:c r="C97" t="str">
        <x:v>2266 EAST 2ND  STREET, BROOKLYN, NY, 11223, US | 2266 EAST 2ND STREET, BROOKLYN, NY, 11223, US</x:v>
      </x:c>
      <x:c r="D97" t="str">
        <x:v>ORLY MANAGEMENT AND REALTY LLC</x:v>
      </x:c>
      <x:c r="E97" t="str">
        <x:v>ORLY MANAGEMENT AND REALTY LLC</x:v>
      </x:c>
      <x:c r="F97" t="str">
        <x:v>Active name match</x:v>
      </x:c>
      <x:c r="G97" t="n">
        <x:v>1</x:v>
      </x:c>
      <x:c r="H97" t="n">
        <x:v>1</x:v>
      </x:c>
      <x:c r="I97" t="str">
        <x:v>2772941</x:v>
      </x:c>
      <x:c r="J97" t="str">
        <x:v>ORLY MANAGEMENT AND REALTY,LLC</x:v>
      </x:c>
      <x:c r="K97" s="55" t="n">
        <x:v>37406</x:v>
      </x:c>
      <x:c r="L97" t="str">
        <x:v>Kings</x:v>
      </x:c>
      <x:c r="M97" t="str">
        <x:v>New York</x:v>
      </x:c>
      <x:c r="N97" t="str">
        <x:v>DOMESTIC LIMITED LIABILITY COMPANY</x:v>
      </x:c>
      <x:c r="O97" t="str">
        <x:v>ORLY MANAGEMENT AND REALTY,LLC</x:v>
      </x:c>
      <x:c r="P97" t="str">
        <x:v>2326 EAST 2ND STREET, BROOKLYN, NY, 11223</x:v>
      </x:c>
      <x:c r="Q97" t="str"/>
      <x:c r="R97" t="str"/>
      <x:c r="S97" t="str"/>
      <x:c r="T97" t="str"/>
      <x:c r="U97" t="str"/>
      <x:c r="V97" t="str"/>
      <x:c r="W97" t="str"/>
      <x:c r="X97" t="str"/>
      <x:c r="Y97" t="str">
        <x:v>https://data.ny.gov/Economic-Development/Active-Corporations-Beginning-1800/n9v6-gdp6</x:v>
      </x:c>
    </x:row>
    <x:row r="98">
      <x:c r="A98" t="str">
        <x:v>DOS-3-033</x:v>
      </x:c>
      <x:c r="B98" t="n">
        <x:v>3</x:v>
      </x:c>
      <x:c r="C98" t="str">
        <x:v>3020 CLUBHOUSE ROAD, MERRICK, NY, 11566, US</x:v>
      </x:c>
      <x:c r="D98" t="str">
        <x:v>483 58TH STREET LLC</x:v>
      </x:c>
      <x:c r="E98" t="str">
        <x:v>483 58TH STREET LLC</x:v>
      </x:c>
      <x:c r="F98" t="str">
        <x:v>No active DOS match</x:v>
      </x:c>
      <x:c r="G98" t="n">
        <x:v>0</x:v>
      </x:c>
      <x:c r="H98" t="n">
        <x:v>0</x:v>
      </x:c>
      <x:c r="I98" t="str"/>
      <x:c r="J98" t="str"/>
      <x:c r="K98" s="55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>
        <x:v>https://data.ny.gov/Economic-Development/Active-Corporations-Beginning-1800/n9v6-gdp6</x:v>
      </x:c>
    </x:row>
    <x:row r="99">
      <x:c r="A99" t="str">
        <x:v>DOS-3-033</x:v>
      </x:c>
      <x:c r="B99" t="n">
        <x:v>3</x:v>
      </x:c>
      <x:c r="C99" t="str">
        <x:v>3020 CLUBHOUSE ROAD, MERRICK, NY, 11566, US</x:v>
      </x:c>
      <x:c r="D99" t="str">
        <x:v>483 EAST 58TH STREET LLC</x:v>
      </x:c>
      <x:c r="E99" t="str">
        <x:v>483 EAST 58TH STREET LLC</x:v>
      </x:c>
      <x:c r="F99" t="str">
        <x:v>Address-corroborated active match</x:v>
      </x:c>
      <x:c r="G99" t="n">
        <x:v>1</x:v>
      </x:c>
      <x:c r="H99" t="n">
        <x:v>2</x:v>
      </x:c>
      <x:c r="I99" t="str">
        <x:v>6479098</x:v>
      </x:c>
      <x:c r="J99" t="str">
        <x:v>483 EAST 58TH STREET LLC</x:v>
      </x:c>
      <x:c r="K99" s="55" t="n">
        <x:v>44687</x:v>
      </x:c>
      <x:c r="L99" t="str">
        <x:v>Kings</x:v>
      </x:c>
      <x:c r="M99" t="str">
        <x:v>New York</x:v>
      </x:c>
      <x:c r="N99" t="str">
        <x:v>DOMESTIC LIMITED LIABILITY COMPANY</x:v>
      </x:c>
      <x:c r="O99" t="str">
        <x:v>483 EAST 58TH STREET LLC</x:v>
      </x:c>
      <x:c r="P99" t="str">
        <x:v>3020 clubhouse road, MERRICK, NY, 11566</x:v>
      </x:c>
      <x:c r="Q99" t="str"/>
      <x:c r="R99" t="str"/>
      <x:c r="S99" t="str"/>
      <x:c r="T99" t="str"/>
      <x:c r="U99" t="str"/>
      <x:c r="V99" t="str"/>
      <x:c r="W99" t="str"/>
      <x:c r="X99" t="str"/>
      <x:c r="Y99" t="str">
        <x:v>https://data.ny.gov/Economic-Development/Active-Corporations-Beginning-1800/n9v6-gdp6</x:v>
      </x:c>
    </x:row>
    <x:row r="100">
      <x:c r="A100" t="str">
        <x:v>DOS-3-033</x:v>
      </x:c>
      <x:c r="B100" t="n">
        <x:v>3</x:v>
      </x:c>
      <x:c r="C100" t="str">
        <x:v>3020 CLUBHOUSE ROAD, MERRICK, NY, 11566, US</x:v>
      </x:c>
      <x:c r="D100" t="str">
        <x:v>9802 DITMAS LLC</x:v>
      </x:c>
      <x:c r="E100" t="str">
        <x:v>9802 DITMAS LLC</x:v>
      </x:c>
      <x:c r="F100" t="str">
        <x:v>Address-corroborated active match</x:v>
      </x:c>
      <x:c r="G100" t="n">
        <x:v>1</x:v>
      </x:c>
      <x:c r="H100" t="n">
        <x:v>2</x:v>
      </x:c>
      <x:c r="I100" t="str">
        <x:v>7006644</x:v>
      </x:c>
      <x:c r="J100" t="str">
        <x:v>9802 DITMAS LLC</x:v>
      </x:c>
      <x:c r="K100" s="55" t="n">
        <x:v>45155</x:v>
      </x:c>
      <x:c r="L100" t="str">
        <x:v>Nassau</x:v>
      </x:c>
      <x:c r="M100" t="str">
        <x:v>New York</x:v>
      </x:c>
      <x:c r="N100" t="str">
        <x:v>DOMESTIC LIMITED LIABILITY COMPANY</x:v>
      </x:c>
      <x:c r="O100" t="str">
        <x:v>9802 DITMAS LLC</x:v>
      </x:c>
      <x:c r="P100" t="str">
        <x:v>3020 clubhouse road, MERRICK, NY, 11566</x:v>
      </x:c>
      <x:c r="Q100" t="str"/>
      <x:c r="R100" t="str"/>
      <x:c r="S100" t="str"/>
      <x:c r="T100" t="str"/>
      <x:c r="U100" t="str"/>
      <x:c r="V100" t="str"/>
      <x:c r="W100" t="str"/>
      <x:c r="X100" t="str"/>
      <x:c r="Y100" t="str">
        <x:v>https://data.ny.gov/Economic-Development/Active-Corporations-Beginning-1800/n9v6-gdp6</x:v>
      </x:c>
    </x:row>
    <x:row r="101">
      <x:c r="A101" t="str">
        <x:v>DOS-3-034</x:v>
      </x:c>
      <x:c r="B101" t="n">
        <x:v>3</x:v>
      </x:c>
      <x:c r="C101" t="str">
        <x:v>31-10 37TH AVENUE, SUITE 500, LONG ISLAND CITY, NY, 11101, US | 31-10 37TH AVENUE, SUITE 500,, LONG ISLAND CITY, NY, 11101, US</x:v>
      </x:c>
      <x:c r="D101" t="str">
        <x:v>255 AUDUBON AVENUE LLC</x:v>
      </x:c>
      <x:c r="E101" t="str">
        <x:v>255 AUDUBON AVENUE LLC</x:v>
      </x:c>
      <x:c r="F101" t="str">
        <x:v>Address-corroborated active match</x:v>
      </x:c>
      <x:c r="G101" t="n">
        <x:v>1</x:v>
      </x:c>
      <x:c r="H101" t="n">
        <x:v>2</x:v>
      </x:c>
      <x:c r="I101" t="str">
        <x:v>4207563</x:v>
      </x:c>
      <x:c r="J101" t="str">
        <x:v>255 AUDUBON AVENUE LLC</x:v>
      </x:c>
      <x:c r="K101" s="55" t="n">
        <x:v>40963</x:v>
      </x:c>
      <x:c r="L101" t="str">
        <x:v>Queens</x:v>
      </x:c>
      <x:c r="M101" t="str">
        <x:v>New York</x:v>
      </x:c>
      <x:c r="N101" t="str">
        <x:v>DOMESTIC LIMITED LIABILITY COMPANY</x:v>
      </x:c>
      <x:c r="O101" t="str">
        <x:v>255 AUDUBON AVENUE LLC</x:v>
      </x:c>
      <x:c r="P101" t="str">
        <x:v>31-10 37TH AVENUE SUITE 500, LONG ISLAND CITY, NY, 11101</x:v>
      </x:c>
      <x:c r="Q101" t="str"/>
      <x:c r="R101" t="str"/>
      <x:c r="S101" t="str"/>
      <x:c r="T101" t="str"/>
      <x:c r="U101" t="str"/>
      <x:c r="V101" t="str"/>
      <x:c r="W101" t="str"/>
      <x:c r="X101" t="str"/>
      <x:c r="Y101" t="str">
        <x:v>https://data.ny.gov/Economic-Development/Active-Corporations-Beginning-1800/n9v6-gdp6</x:v>
      </x:c>
    </x:row>
    <x:row r="102">
      <x:c r="A102" t="str">
        <x:v>DOS-3-034</x:v>
      </x:c>
      <x:c r="B102" t="n">
        <x:v>3</x:v>
      </x:c>
      <x:c r="C102" t="str">
        <x:v>31-10 37TH AVENUE, SUITE 500, LONG ISLAND CITY, NY, 11101, US | 31-10 37TH AVENUE, SUITE 500,, LONG ISLAND CITY, NY, 11101, US</x:v>
      </x:c>
      <x:c r="D102" t="str">
        <x:v>534 WEST 178 EQUITIES LLC</x:v>
      </x:c>
      <x:c r="E102" t="str">
        <x:v>534 WEST 178 EQUITIES, LLC</x:v>
      </x:c>
      <x:c r="F102" t="str">
        <x:v>Address-corroborated active match</x:v>
      </x:c>
      <x:c r="G102" t="n">
        <x:v>1</x:v>
      </x:c>
      <x:c r="H102" t="n">
        <x:v>2</x:v>
      </x:c>
      <x:c r="I102" t="str">
        <x:v>4433990</x:v>
      </x:c>
      <x:c r="J102" t="str">
        <x:v>534 WEST 178 EQUITIES, LLC</x:v>
      </x:c>
      <x:c r="K102" s="55" t="n">
        <x:v>41477</x:v>
      </x:c>
      <x:c r="L102" t="str">
        <x:v>New York</x:v>
      </x:c>
      <x:c r="M102" t="str">
        <x:v>New York</x:v>
      </x:c>
      <x:c r="N102" t="str">
        <x:v>DOMESTIC LIMITED LIABILITY COMPANY</x:v>
      </x:c>
      <x:c r="O102" t="str">
        <x:v>534 WEST 178 EQUITIES, LLC</x:v>
      </x:c>
      <x:c r="P102" t="str">
        <x:v>31-10 37TH AVENUE SUITE 500, LONG ISLAND CITY, NY, 11101</x:v>
      </x:c>
      <x:c r="Q102" t="str"/>
      <x:c r="R102" t="str"/>
      <x:c r="S102" t="str"/>
      <x:c r="T102" t="str"/>
      <x:c r="U102" t="str"/>
      <x:c r="V102" t="str"/>
      <x:c r="W102" t="str"/>
      <x:c r="X102" t="str"/>
      <x:c r="Y102" t="str">
        <x:v>https://data.ny.gov/Economic-Development/Active-Corporations-Beginning-1800/n9v6-gdp6</x:v>
      </x:c>
    </x:row>
    <x:row r="103">
      <x:c r="A103" t="str">
        <x:v>DOS-3-034</x:v>
      </x:c>
      <x:c r="B103" t="n">
        <x:v>3</x:v>
      </x:c>
      <x:c r="C103" t="str">
        <x:v>31-10 37TH AVENUE, SUITE 500, LONG ISLAND CITY, NY, 11101, US | 31-10 37TH AVENUE, SUITE 500,, LONG ISLAND CITY, NY, 11101, US</x:v>
      </x:c>
      <x:c r="D103" t="str">
        <x:v>GVS PROPERTIES IV LLC</x:v>
      </x:c>
      <x:c r="E103" t="str">
        <x:v>GVS PROPERTIES IV, LLC</x:v>
      </x:c>
      <x:c r="F103" t="str">
        <x:v>Active name match</x:v>
      </x:c>
      <x:c r="G103" t="n">
        <x:v>1</x:v>
      </x:c>
      <x:c r="H103" t="n">
        <x:v>1</x:v>
      </x:c>
      <x:c r="I103" t="str">
        <x:v>4335859</x:v>
      </x:c>
      <x:c r="J103" t="str">
        <x:v>GVS PROPERTIES IV, LLC</x:v>
      </x:c>
      <x:c r="K103" s="55" t="n">
        <x:v>41263</x:v>
      </x:c>
      <x:c r="L103" t="str">
        <x:v>New York</x:v>
      </x:c>
      <x:c r="M103" t="str">
        <x:v>New York</x:v>
      </x:c>
      <x:c r="N103" t="str">
        <x:v>DOMESTIC LIMITED LIABILITY COMPANY</x:v>
      </x:c>
      <x:c r="O103" t="str">
        <x:v>GVS PROPERTIES IV, LLC</x:v>
      </x:c>
      <x:c r="P103" t="str">
        <x:v>31-10 37TH AVENUE STE 500, LONG ISLAND CITY, NY, 11101</x:v>
      </x:c>
      <x:c r="Q103" t="str"/>
      <x:c r="R103" t="str"/>
      <x:c r="S103" t="str"/>
      <x:c r="T103" t="str"/>
      <x:c r="U103" t="str"/>
      <x:c r="V103" t="str"/>
      <x:c r="W103" t="str"/>
      <x:c r="X103" t="str"/>
      <x:c r="Y103" t="str">
        <x:v>https://data.ny.gov/Economic-Development/Active-Corporations-Beginning-1800/n9v6-gdp6</x:v>
      </x:c>
    </x:row>
    <x:row r="104">
      <x:c r="A104" t="str">
        <x:v>DOS-3-035</x:v>
      </x:c>
      <x:c r="B104" t="n">
        <x:v>3</x:v>
      </x:c>
      <x:c r="C104" t="str">
        <x:v>346 CENTRAL AVENUE, BROOKLYN, NY, 11221, US</x:v>
      </x:c>
      <x:c r="D104" t="str">
        <x:v>2010AL REALTY LLC</x:v>
      </x:c>
      <x:c r="E104" t="str">
        <x:v>2010AL REALTY LLC</x:v>
      </x:c>
      <x:c r="F104" t="str">
        <x:v>Address-corroborated active match</x:v>
      </x:c>
      <x:c r="G104" t="n">
        <x:v>1</x:v>
      </x:c>
      <x:c r="H104" t="n">
        <x:v>2</x:v>
      </x:c>
      <x:c r="I104" t="str">
        <x:v>4207938</x:v>
      </x:c>
      <x:c r="J104" t="str">
        <x:v>2010AL REALTY LLC</x:v>
      </x:c>
      <x:c r="K104" s="55" t="n">
        <x:v>40963</x:v>
      </x:c>
      <x:c r="L104" t="str">
        <x:v>Kings</x:v>
      </x:c>
      <x:c r="M104" t="str">
        <x:v>New York</x:v>
      </x:c>
      <x:c r="N104" t="str">
        <x:v>DOMESTIC LIMITED LIABILITY COMPANY</x:v>
      </x:c>
      <x:c r="O104" t="str">
        <x:v>2010AL REALTY LLC</x:v>
      </x:c>
      <x:c r="P104" t="str">
        <x:v>346 CENTRAL AVENUE, BROOKLYN, NY, 11221</x:v>
      </x:c>
      <x:c r="Q104" t="str"/>
      <x:c r="R104" t="str"/>
      <x:c r="S104" t="str"/>
      <x:c r="T104" t="str"/>
      <x:c r="U104" t="str"/>
      <x:c r="V104" t="str"/>
      <x:c r="W104" t="str"/>
      <x:c r="X104" t="str"/>
      <x:c r="Y104" t="str">
        <x:v>https://data.ny.gov/Economic-Development/Active-Corporations-Beginning-1800/n9v6-gdp6</x:v>
      </x:c>
    </x:row>
    <x:row r="105">
      <x:c r="A105" t="str">
        <x:v>DOS-3-035</x:v>
      </x:c>
      <x:c r="B105" t="n">
        <x:v>3</x:v>
      </x:c>
      <x:c r="C105" t="str">
        <x:v>346 CENTRAL AVENUE, BROOKLYN, NY, 11221, US</x:v>
      </x:c>
      <x:c r="D105" t="str">
        <x:v>A AND SB 1301 REALTY LLC</x:v>
      </x:c>
      <x:c r="E105" t="str">
        <x:v>A &amp; SB 1301 REALTY LLC</x:v>
      </x:c>
      <x:c r="F105" t="str">
        <x:v>Active name match</x:v>
      </x:c>
      <x:c r="G105" t="n">
        <x:v>1</x:v>
      </x:c>
      <x:c r="H105" t="n">
        <x:v>0</x:v>
      </x:c>
      <x:c r="I105" t="str">
        <x:v>3253787</x:v>
      </x:c>
      <x:c r="J105" t="str">
        <x:v>A &amp; SB 1301 REALTY LLC</x:v>
      </x:c>
      <x:c r="K105" s="55" t="n">
        <x:v>38603</x:v>
      </x:c>
      <x:c r="L105" t="str">
        <x:v>Kings</x:v>
      </x:c>
      <x:c r="M105" t="str">
        <x:v>New York</x:v>
      </x:c>
      <x:c r="N105" t="str">
        <x:v>DOMESTIC LIMITED LIABILITY COMPANY</x:v>
      </x:c>
      <x:c r="O105" t="str">
        <x:v>A &amp; SB 1301 REALTY LLC</x:v>
      </x:c>
      <x:c r="P105" t="str">
        <x:v>1301 CHURCH AVENUE, BROOKLYN, NY, 11226</x:v>
      </x:c>
      <x:c r="Q105" t="str"/>
      <x:c r="R105" t="str"/>
      <x:c r="S105" t="str"/>
      <x:c r="T105" t="str"/>
      <x:c r="U105" t="str"/>
      <x:c r="V105" t="str"/>
      <x:c r="W105" t="str"/>
      <x:c r="X105" t="str"/>
      <x:c r="Y105" t="str">
        <x:v>https://data.ny.gov/Economic-Development/Active-Corporations-Beginning-1800/n9v6-gdp6</x:v>
      </x:c>
    </x:row>
    <x:row r="106">
      <x:c r="A106" t="str">
        <x:v>DOS-3-035</x:v>
      </x:c>
      <x:c r="B106" t="n">
        <x:v>3</x:v>
      </x:c>
      <x:c r="C106" t="str">
        <x:v>346 CENTRAL AVENUE, BROOKLYN, NY, 11221, US</x:v>
      </x:c>
      <x:c r="D106" t="str">
        <x:v>REALTY 86 LLC</x:v>
      </x:c>
      <x:c r="E106" t="str">
        <x:v>REALTY 86 LLC</x:v>
      </x:c>
      <x:c r="F106" t="str">
        <x:v>Address-corroborated active match</x:v>
      </x:c>
      <x:c r="G106" t="n">
        <x:v>1</x:v>
      </x:c>
      <x:c r="H106" t="n">
        <x:v>2</x:v>
      </x:c>
      <x:c r="I106" t="str">
        <x:v>4750734</x:v>
      </x:c>
      <x:c r="J106" t="str">
        <x:v>REALTY 86 LLC</x:v>
      </x:c>
      <x:c r="K106" s="55" t="n">
        <x:v>42123</x:v>
      </x:c>
      <x:c r="L106" t="str">
        <x:v>Kings</x:v>
      </x:c>
      <x:c r="M106" t="str">
        <x:v>New York</x:v>
      </x:c>
      <x:c r="N106" t="str">
        <x:v>DOMESTIC LIMITED LIABILITY COMPANY</x:v>
      </x:c>
      <x:c r="O106" t="str">
        <x:v>REALTY 86 LLC</x:v>
      </x:c>
      <x:c r="P106" t="str">
        <x:v>346 CENTRAL AVENUE, BROOKLYN, NY, 11221</x:v>
      </x:c>
      <x:c r="Q106" t="str"/>
      <x:c r="R106" t="str"/>
      <x:c r="S106" t="str"/>
      <x:c r="T106" t="str"/>
      <x:c r="U106" t="str"/>
      <x:c r="V106" t="str"/>
      <x:c r="W106" t="str"/>
      <x:c r="X106" t="str"/>
      <x:c r="Y106" t="str">
        <x:v>https://data.ny.gov/Economic-Development/Active-Corporations-Beginning-1800/n9v6-gdp6</x:v>
      </x:c>
    </x:row>
    <x:row r="107">
      <x:c r="A107" t="str">
        <x:v>DOS-3-036</x:v>
      </x:c>
      <x:c r="B107" t="n">
        <x:v>3</x:v>
      </x:c>
      <x:c r="C107" t="str">
        <x:v>569 LEXINGTON AVENUE, PH, NEW YORK, NY, 10022, US</x:v>
      </x:c>
      <x:c r="D107" t="str">
        <x:v>MCN 119 COLUMBIA HEIGHTS OPERATOR LLC</x:v>
      </x:c>
      <x:c r="E107" t="str">
        <x:v>MCN 119 COLUMBIA HEIGHTS OPERATOR, LLC</x:v>
      </x:c>
      <x:c r="F107" t="str">
        <x:v>Active name match</x:v>
      </x:c>
      <x:c r="G107" t="n">
        <x:v>1</x:v>
      </x:c>
      <x:c r="H107" t="n">
        <x:v>0</x:v>
      </x:c>
      <x:c r="I107" t="str">
        <x:v>7710738</x:v>
      </x:c>
      <x:c r="J107" t="str">
        <x:v>MCN 119 COLUMBIA HEIGHTS OPERATOR, LLC</x:v>
      </x:c>
      <x:c r="K107" s="55" t="n">
        <x:v>45911</x:v>
      </x:c>
      <x:c r="L107" t="str">
        <x:v>New York</x:v>
      </x:c>
      <x:c r="M107" t="str">
        <x:v>Delaware</x:v>
      </x:c>
      <x:c r="N107" t="str">
        <x:v>FOREIGN LIMITED LIABILITY COMPANY</x:v>
      </x:c>
      <x:c r="O107" t="str">
        <x:v>COGENCY GLOBAL INC.</x:v>
      </x:c>
      <x:c r="P107" t="str">
        <x:v>122 EAST 42ND STREET, 18TH FLOOR, NEW YORK, NY, 10168</x:v>
      </x:c>
      <x:c r="Q107" t="str"/>
      <x:c r="R107" t="str"/>
      <x:c r="S107" t="str"/>
      <x:c r="T107" t="str"/>
      <x:c r="U107" t="str"/>
      <x:c r="V107" t="str"/>
      <x:c r="W107" t="str"/>
      <x:c r="X107" t="str"/>
      <x:c r="Y107" t="str">
        <x:v>https://data.ny.gov/Economic-Development/Active-Corporations-Beginning-1800/n9v6-gdp6</x:v>
      </x:c>
    </x:row>
    <x:row r="108">
      <x:c r="A108" t="str">
        <x:v>DOS-3-036</x:v>
      </x:c>
      <x:c r="B108" t="n">
        <x:v>3</x:v>
      </x:c>
      <x:c r="C108" t="str">
        <x:v>569 LEXINGTON AVENUE, PH, NEW YORK, NY, 10022, US</x:v>
      </x:c>
      <x:c r="D108" t="str">
        <x:v>MCN 569 LEXINGTON OPERATOR LLC</x:v>
      </x:c>
      <x:c r="E108" t="str">
        <x:v>MCN 569 LEXINGTON OPERATOR, LLC</x:v>
      </x:c>
      <x:c r="F108" t="str">
        <x:v>Active name match</x:v>
      </x:c>
      <x:c r="G108" t="n">
        <x:v>1</x:v>
      </x:c>
      <x:c r="H108" t="n">
        <x:v>0</x:v>
      </x:c>
      <x:c r="I108" t="str">
        <x:v>7514590</x:v>
      </x:c>
      <x:c r="J108" t="str">
        <x:v>MCN 569 LEXINGTON OPERATOR, LLC</x:v>
      </x:c>
      <x:c r="K108" s="55" t="n">
        <x:v>45678</x:v>
      </x:c>
      <x:c r="L108" t="str">
        <x:v>New York</x:v>
      </x:c>
      <x:c r="M108" t="str">
        <x:v>Delaware</x:v>
      </x:c>
      <x:c r="N108" t="str">
        <x:v>FOREIGN LIMITED LIABILITY COMPANY</x:v>
      </x:c>
      <x:c r="O108" t="str">
        <x:v>COGENCY GLOBAL INC.</x:v>
      </x:c>
      <x:c r="P108" t="str">
        <x:v>122 EAST 42ND STREET, 18TH FLOOR, NEW YORK, NY, 10168</x:v>
      </x:c>
      <x:c r="Q108" t="str"/>
      <x:c r="R108" t="str"/>
      <x:c r="S108" t="str"/>
      <x:c r="T108" t="str"/>
      <x:c r="U108" t="str"/>
      <x:c r="V108" t="str"/>
      <x:c r="W108" t="str"/>
      <x:c r="X108" t="str"/>
      <x:c r="Y108" t="str">
        <x:v>https://data.ny.gov/Economic-Development/Active-Corporations-Beginning-1800/n9v6-gdp6</x:v>
      </x:c>
    </x:row>
    <x:row r="109">
      <x:c r="A109" t="str">
        <x:v>DOS-3-036</x:v>
      </x:c>
      <x:c r="B109" t="n">
        <x:v>3</x:v>
      </x:c>
      <x:c r="C109" t="str">
        <x:v>569 LEXINGTON AVENUE, PH, NEW YORK, NY, 10022, US</x:v>
      </x:c>
      <x:c r="D109" t="str">
        <x:v>MCN 97 COLUMBIA HEIGHTS OPERATOR LLC</x:v>
      </x:c>
      <x:c r="E109" t="str">
        <x:v>MCN 97 COLUMBIA HEIGHTS OPERATOR, LLC</x:v>
      </x:c>
      <x:c r="F109" t="str">
        <x:v>Active name match</x:v>
      </x:c>
      <x:c r="G109" t="n">
        <x:v>1</x:v>
      </x:c>
      <x:c r="H109" t="n">
        <x:v>0</x:v>
      </x:c>
      <x:c r="I109" t="str">
        <x:v>7710737</x:v>
      </x:c>
      <x:c r="J109" t="str">
        <x:v>MCN 97 COLUMBIA HEIGHTS OPERATOR, LLC</x:v>
      </x:c>
      <x:c r="K109" s="55" t="n">
        <x:v>45911</x:v>
      </x:c>
      <x:c r="L109" t="str">
        <x:v>New York</x:v>
      </x:c>
      <x:c r="M109" t="str">
        <x:v>Delaware</x:v>
      </x:c>
      <x:c r="N109" t="str">
        <x:v>FOREIGN LIMITED LIABILITY COMPANY</x:v>
      </x:c>
      <x:c r="O109" t="str">
        <x:v>COGENCY GLOBAL INC.</x:v>
      </x:c>
      <x:c r="P109" t="str">
        <x:v>122 EAST 42ND STREET, 18TH FLOOR, NEW YORK, NY, 10168</x:v>
      </x:c>
      <x:c r="Q109" t="str"/>
      <x:c r="R109" t="str"/>
      <x:c r="S109" t="str"/>
      <x:c r="T109" t="str"/>
      <x:c r="U109" t="str"/>
      <x:c r="V109" t="str"/>
      <x:c r="W109" t="str"/>
      <x:c r="X109" t="str"/>
      <x:c r="Y109" t="str">
        <x:v>https://data.ny.gov/Economic-Development/Active-Corporations-Beginning-1800/n9v6-gdp6</x:v>
      </x:c>
    </x:row>
    <x:row r="110">
      <x:c r="A110" t="str">
        <x:v>DOS-3-037</x:v>
      </x:c>
      <x:c r="B110" t="n">
        <x:v>3</x:v>
      </x:c>
      <x:c r="C110" t="str">
        <x:v>1432 DORIS STREET, BRONX, NY, 10462, US</x:v>
      </x:c>
      <x:c r="D110" t="str">
        <x:v>BALLAGH PROPERTIES LLC</x:v>
      </x:c>
      <x:c r="E110" t="str">
        <x:v>BALLAGH PROPERTIES LLC</x:v>
      </x:c>
      <x:c r="F110" t="str">
        <x:v>Active name match</x:v>
      </x:c>
      <x:c r="G110" t="n">
        <x:v>1</x:v>
      </x:c>
      <x:c r="H110" t="n">
        <x:v>1</x:v>
      </x:c>
      <x:c r="I110" t="str">
        <x:v>5000455</x:v>
      </x:c>
      <x:c r="J110" t="str">
        <x:v>BALLAGH PROPERTIES LLC</x:v>
      </x:c>
      <x:c r="K110" s="55" t="n">
        <x:v>42611</x:v>
      </x:c>
      <x:c r="L110" t="str">
        <x:v>Bronx</x:v>
      </x:c>
      <x:c r="M110" t="str">
        <x:v>New York</x:v>
      </x:c>
      <x:c r="N110" t="str">
        <x:v>DOMESTIC LIMITED LIABILITY COMPANY</x:v>
      </x:c>
      <x:c r="O110" t="str">
        <x:v>BALLAGH PROPERTIES LLC</x:v>
      </x:c>
      <x:c r="P110" t="str">
        <x:v>1432 DORIS STREET, 1F, BRONX, NY, 10462</x:v>
      </x:c>
      <x:c r="Q110" t="str"/>
      <x:c r="R110" t="str"/>
      <x:c r="S110" t="str"/>
      <x:c r="T110" t="str"/>
      <x:c r="U110" t="str"/>
      <x:c r="V110" t="str"/>
      <x:c r="W110" t="str"/>
      <x:c r="X110" t="str"/>
      <x:c r="Y110" t="str">
        <x:v>https://data.ny.gov/Economic-Development/Active-Corporations-Beginning-1800/n9v6-gdp6</x:v>
      </x:c>
    </x:row>
    <x:row r="111">
      <x:c r="A111" t="str">
        <x:v>DOS-3-037</x:v>
      </x:c>
      <x:c r="B111" t="n">
        <x:v>3</x:v>
      </x:c>
      <x:c r="C111" t="str">
        <x:v>1432 DORIS STREET, BRONX, NY, 10462, US</x:v>
      </x:c>
      <x:c r="D111" t="str">
        <x:v>G G G PROPERTIES LLC</x:v>
      </x:c>
      <x:c r="E111" t="str">
        <x:v>G.G.G. PROPERTIES LLC</x:v>
      </x:c>
      <x:c r="F111" t="str">
        <x:v>Active name match</x:v>
      </x:c>
      <x:c r="G111" t="n">
        <x:v>1</x:v>
      </x:c>
      <x:c r="H111" t="n">
        <x:v>1</x:v>
      </x:c>
      <x:c r="I111" t="str">
        <x:v>3635749</x:v>
      </x:c>
      <x:c r="J111" t="str">
        <x:v>G.G.G. PROPERTIES LLC</x:v>
      </x:c>
      <x:c r="K111" s="55" t="n">
        <x:v>39503</x:v>
      </x:c>
      <x:c r="L111" t="str">
        <x:v>Bronx</x:v>
      </x:c>
      <x:c r="M111" t="str">
        <x:v>New York</x:v>
      </x:c>
      <x:c r="N111" t="str">
        <x:v>DOMESTIC LIMITED LIABILITY COMPANY</x:v>
      </x:c>
      <x:c r="O111" t="str">
        <x:v>G.G.G. PROPERTIES LLC</x:v>
      </x:c>
      <x:c r="P111" t="str">
        <x:v>1432 DORIS STREET - SUITE 1F, BRONX, NY, 10462</x:v>
      </x:c>
      <x:c r="Q111" t="str"/>
      <x:c r="R111" t="str"/>
      <x:c r="S111" t="str"/>
      <x:c r="T111" t="str"/>
      <x:c r="U111" t="str"/>
      <x:c r="V111" t="str"/>
      <x:c r="W111" t="str"/>
      <x:c r="X111" t="str"/>
      <x:c r="Y111" t="str">
        <x:v>https://data.ny.gov/Economic-Development/Active-Corporations-Beginning-1800/n9v6-gdp6</x:v>
      </x:c>
    </x:row>
    <x:row r="112">
      <x:c r="A112" t="str">
        <x:v>DOS-3-037</x:v>
      </x:c>
      <x:c r="B112" t="n">
        <x:v>3</x:v>
      </x:c>
      <x:c r="C112" t="str">
        <x:v>1432 DORIS STREET, BRONX, NY, 10462, US</x:v>
      </x:c>
      <x:c r="D112" t="str">
        <x:v>GORBYRNE LLC</x:v>
      </x:c>
      <x:c r="E112" t="str">
        <x:v>GORBYRNE LLC</x:v>
      </x:c>
      <x:c r="F112" t="str">
        <x:v>Address-corroborated active match</x:v>
      </x:c>
      <x:c r="G112" t="n">
        <x:v>1</x:v>
      </x:c>
      <x:c r="H112" t="n">
        <x:v>2</x:v>
      </x:c>
      <x:c r="I112" t="str">
        <x:v>5136126</x:v>
      </x:c>
      <x:c r="J112" t="str">
        <x:v>GORBYRNE LLC</x:v>
      </x:c>
      <x:c r="K112" s="55" t="n">
        <x:v>42867</x:v>
      </x:c>
      <x:c r="L112" t="str">
        <x:v>Bronx</x:v>
      </x:c>
      <x:c r="M112" t="str">
        <x:v>New York</x:v>
      </x:c>
      <x:c r="N112" t="str">
        <x:v>DOMESTIC LIMITED LIABILITY COMPANY</x:v>
      </x:c>
      <x:c r="O112" t="str">
        <x:v>GORBYRNE LLC</x:v>
      </x:c>
      <x:c r="P112" t="str">
        <x:v>1432 DORIS STREET, 1F, BRONX, NY, 10462</x:v>
      </x:c>
      <x:c r="Q112" t="str"/>
      <x:c r="R112" t="str"/>
      <x:c r="S112" t="str"/>
      <x:c r="T112" t="str"/>
      <x:c r="U112" t="str"/>
      <x:c r="V112" t="str"/>
      <x:c r="W112" t="str"/>
      <x:c r="X112" t="str"/>
      <x:c r="Y112" t="str">
        <x:v>https://data.ny.gov/Economic-Development/Active-Corporations-Beginning-1800/n9v6-gdp6</x:v>
      </x:c>
    </x:row>
    <x:row r="113">
      <x:c r="A113" t="str">
        <x:v>DOS-3-038</x:v>
      </x:c>
      <x:c r="B113" t="n">
        <x:v>3</x:v>
      </x:c>
      <x:c r="C113" t="str">
        <x:v>5 ASSEMBLY COURT, NEW CITY, NY, 10956, US</x:v>
      </x:c>
      <x:c r="D113" t="str">
        <x:v>COINDROP GROUP LLC</x:v>
      </x:c>
      <x:c r="E113" t="str">
        <x:v>COINDROP GROUP LLC</x:v>
      </x:c>
      <x:c r="F113" t="str">
        <x:v>Active name match</x:v>
      </x:c>
      <x:c r="G113" t="n">
        <x:v>1</x:v>
      </x:c>
      <x:c r="H113" t="n">
        <x:v>0</x:v>
      </x:c>
      <x:c r="I113" t="str">
        <x:v>6299299</x:v>
      </x:c>
      <x:c r="J113" t="str">
        <x:v>COINDROP GROUP LLC</x:v>
      </x:c>
      <x:c r="K113" s="55" t="n">
        <x:v>44477</x:v>
      </x:c>
      <x:c r="L113" t="str">
        <x:v>Kings</x:v>
      </x:c>
      <x:c r="M113" t="str">
        <x:v>New York</x:v>
      </x:c>
      <x:c r="N113" t="str">
        <x:v>DOMESTIC LIMITED LIABILITY COMPANY</x:v>
      </x:c>
      <x:c r="O113" t="str">
        <x:v>COINDROP GROUP LLC</x:v>
      </x:c>
      <x:c r="P113" t="str">
        <x:v>856 52nd street, #3a, BROOKLYN, NY, 11220</x:v>
      </x:c>
      <x:c r="Q113" t="str"/>
      <x:c r="R113" t="str"/>
      <x:c r="S113" t="str"/>
      <x:c r="T113" t="str"/>
      <x:c r="U113" t="str"/>
      <x:c r="V113" t="str"/>
      <x:c r="W113" t="str"/>
      <x:c r="X113" t="str"/>
      <x:c r="Y113" t="str">
        <x:v>https://data.ny.gov/Economic-Development/Active-Corporations-Beginning-1800/n9v6-gdp6</x:v>
      </x:c>
    </x:row>
    <x:row r="114">
      <x:c r="A114" t="str">
        <x:v>DOS-3-038</x:v>
      </x:c>
      <x:c r="B114" t="n">
        <x:v>3</x:v>
      </x:c>
      <x:c r="C114" t="str">
        <x:v>5 ASSEMBLY COURT, NEW CITY, NY, 10956, US</x:v>
      </x:c>
      <x:c r="D114" t="str">
        <x:v>FINELAND GROUP LLC</x:v>
      </x:c>
      <x:c r="E114" t="str">
        <x:v>FINELAND GROUP LLC</x:v>
      </x:c>
      <x:c r="F114" t="str">
        <x:v>Active name match</x:v>
      </x:c>
      <x:c r="G114" t="n">
        <x:v>1</x:v>
      </x:c>
      <x:c r="H114" t="n">
        <x:v>0</x:v>
      </x:c>
      <x:c r="I114" t="str">
        <x:v>5400070</x:v>
      </x:c>
      <x:c r="J114" t="str">
        <x:v>FINELAND GROUP LLC</x:v>
      </x:c>
      <x:c r="K114" s="55" t="n">
        <x:v>43339</x:v>
      </x:c>
      <x:c r="L114" t="str">
        <x:v>Richmond</x:v>
      </x:c>
      <x:c r="M114" t="str">
        <x:v>New York</x:v>
      </x:c>
      <x:c r="N114" t="str">
        <x:v>DOMESTIC LIMITED LIABILITY COMPANY</x:v>
      </x:c>
      <x:c r="O114" t="str">
        <x:v>FINELAND GROUP LLC</x:v>
      </x:c>
      <x:c r="P114" t="str">
        <x:v>2 GARDEN CIR, SYOSSET, NY, 11791</x:v>
      </x:c>
      <x:c r="Q114" t="str"/>
      <x:c r="R114" t="str"/>
      <x:c r="S114" t="str"/>
      <x:c r="T114" t="str"/>
      <x:c r="U114" t="str"/>
      <x:c r="V114" t="str"/>
      <x:c r="W114" t="str"/>
      <x:c r="X114" t="str"/>
      <x:c r="Y114" t="str">
        <x:v>https://data.ny.gov/Economic-Development/Active-Corporations-Beginning-1800/n9v6-gdp6</x:v>
      </x:c>
    </x:row>
    <x:row r="115">
      <x:c r="A115" t="str">
        <x:v>DOS-3-038</x:v>
      </x:c>
      <x:c r="B115" t="n">
        <x:v>3</x:v>
      </x:c>
      <x:c r="C115" t="str">
        <x:v>5 ASSEMBLY COURT, NEW CITY, NY, 10956, US</x:v>
      </x:c>
      <x:c r="D115" t="str">
        <x:v>STEPUP GROUP LLC</x:v>
      </x:c>
      <x:c r="E115" t="str">
        <x:v>STEPUP GROUP LLC</x:v>
      </x:c>
      <x:c r="F115" t="str">
        <x:v>Active name match</x:v>
      </x:c>
      <x:c r="G115" t="n">
        <x:v>1</x:v>
      </x:c>
      <x:c r="H115" t="n">
        <x:v>0</x:v>
      </x:c>
      <x:c r="I115" t="str">
        <x:v>6299320</x:v>
      </x:c>
      <x:c r="J115" t="str">
        <x:v>STEPUP GROUP LLC</x:v>
      </x:c>
      <x:c r="K115" s="55" t="n">
        <x:v>44477</x:v>
      </x:c>
      <x:c r="L115" t="str">
        <x:v>Kings</x:v>
      </x:c>
      <x:c r="M115" t="str">
        <x:v>New York</x:v>
      </x:c>
      <x:c r="N115" t="str">
        <x:v>DOMESTIC LIMITED LIABILITY COMPANY</x:v>
      </x:c>
      <x:c r="O115" t="str">
        <x:v>STEPUP GROUP LLC</x:v>
      </x:c>
      <x:c r="P115" t="str">
        <x:v>856 52nd street #4a, BROOKLYN, NY, 11220</x:v>
      </x:c>
      <x:c r="Q115" t="str"/>
      <x:c r="R115" t="str"/>
      <x:c r="S115" t="str"/>
      <x:c r="T115" t="str"/>
      <x:c r="U115" t="str"/>
      <x:c r="V115" t="str"/>
      <x:c r="W115" t="str"/>
      <x:c r="X115" t="str"/>
      <x:c r="Y115" t="str">
        <x:v>https://data.ny.gov/Economic-Development/Active-Corporations-Beginning-1800/n9v6-gdp6</x:v>
      </x:c>
    </x:row>
    <x:row r="116">
      <x:c r="A116" t="str">
        <x:v>DOS-3-039</x:v>
      </x:c>
      <x:c r="B116" t="n">
        <x:v>3</x:v>
      </x:c>
      <x:c r="C116" t="str">
        <x:v>59-29 72ND STREET, MASPETH, NY, 11378, US</x:v>
      </x:c>
      <x:c r="D116" t="str">
        <x:v>I B S CENTER LLC</x:v>
      </x:c>
      <x:c r="E116" t="str">
        <x:v>I.B.S. CENTER LLC</x:v>
      </x:c>
      <x:c r="F116" t="str">
        <x:v>Address-corroborated active match</x:v>
      </x:c>
      <x:c r="G116" t="n">
        <x:v>1</x:v>
      </x:c>
      <x:c r="H116" t="n">
        <x:v>2</x:v>
      </x:c>
      <x:c r="I116" t="str">
        <x:v>4324440</x:v>
      </x:c>
      <x:c r="J116" t="str">
        <x:v>I.B.S. CENTER LLC</x:v>
      </x:c>
      <x:c r="K116" s="55" t="n">
        <x:v>41240</x:v>
      </x:c>
      <x:c r="L116" t="str">
        <x:v>Nassau</x:v>
      </x:c>
      <x:c r="M116" t="str">
        <x:v>New York</x:v>
      </x:c>
      <x:c r="N116" t="str">
        <x:v>DOMESTIC LIMITED LIABILITY COMPANY</x:v>
      </x:c>
      <x:c r="O116" t="str">
        <x:v>I.B.S. CENTER LLC</x:v>
      </x:c>
      <x:c r="P116" t="str">
        <x:v>59-29 72ND STREET, MASPETH, NY, 11378</x:v>
      </x:c>
      <x:c r="Q116" t="str"/>
      <x:c r="R116" t="str"/>
      <x:c r="S116" t="str"/>
      <x:c r="T116" t="str"/>
      <x:c r="U116" t="str"/>
      <x:c r="V116" t="str"/>
      <x:c r="W116" t="str"/>
      <x:c r="X116" t="str"/>
      <x:c r="Y116" t="str">
        <x:v>https://data.ny.gov/Economic-Development/Active-Corporations-Beginning-1800/n9v6-gdp6</x:v>
      </x:c>
    </x:row>
    <x:row r="117">
      <x:c r="A117" t="str">
        <x:v>DOS-3-039</x:v>
      </x:c>
      <x:c r="B117" t="n">
        <x:v>3</x:v>
      </x:c>
      <x:c r="C117" t="str">
        <x:v>59-29 72ND STREET, MASPETH, NY, 11378, US</x:v>
      </x:c>
      <x:c r="D117" t="str">
        <x:v>L I C CENTER LLC</x:v>
      </x:c>
      <x:c r="E117" t="str">
        <x:v>L.I.C. CENTER LLC</x:v>
      </x:c>
      <x:c r="F117" t="str">
        <x:v>Address-corroborated active match</x:v>
      </x:c>
      <x:c r="G117" t="n">
        <x:v>1</x:v>
      </x:c>
      <x:c r="H117" t="n">
        <x:v>2</x:v>
      </x:c>
      <x:c r="I117" t="str">
        <x:v>4324402</x:v>
      </x:c>
      <x:c r="J117" t="str">
        <x:v>L.I.C. CENTER LLC</x:v>
      </x:c>
      <x:c r="K117" s="55" t="n">
        <x:v>41240</x:v>
      </x:c>
      <x:c r="L117" t="str">
        <x:v>Nassau</x:v>
      </x:c>
      <x:c r="M117" t="str">
        <x:v>New York</x:v>
      </x:c>
      <x:c r="N117" t="str">
        <x:v>DOMESTIC LIMITED LIABILITY COMPANY</x:v>
      </x:c>
      <x:c r="O117" t="str">
        <x:v>L.I.C. CENTER LLC</x:v>
      </x:c>
      <x:c r="P117" t="str">
        <x:v>59-29 72ND STREET, MASPETH, NY, 11378</x:v>
      </x:c>
      <x:c r="Q117" t="str"/>
      <x:c r="R117" t="str"/>
      <x:c r="S117" t="str"/>
      <x:c r="T117" t="str"/>
      <x:c r="U117" t="str"/>
      <x:c r="V117" t="str"/>
      <x:c r="W117" t="str"/>
      <x:c r="X117" t="str"/>
      <x:c r="Y117" t="str">
        <x:v>https://data.ny.gov/Economic-Development/Active-Corporations-Beginning-1800/n9v6-gdp6</x:v>
      </x:c>
    </x:row>
    <x:row r="118">
      <x:c r="A118" t="str">
        <x:v>DOS-3-039</x:v>
      </x:c>
      <x:c r="B118" t="n">
        <x:v>3</x:v>
      </x:c>
      <x:c r="C118" t="str">
        <x:v>59-29 72ND STREET, MASPETH, NY, 11378, US</x:v>
      </x:c>
      <x:c r="D118" t="str">
        <x:v>T L C CENTER LLC</x:v>
      </x:c>
      <x:c r="E118" t="str">
        <x:v>T.L.C CENTER LLC</x:v>
      </x:c>
      <x:c r="F118" t="str">
        <x:v>Address-corroborated active match</x:v>
      </x:c>
      <x:c r="G118" t="n">
        <x:v>1</x:v>
      </x:c>
      <x:c r="H118" t="n">
        <x:v>2</x:v>
      </x:c>
      <x:c r="I118" t="str">
        <x:v>4324425</x:v>
      </x:c>
      <x:c r="J118" t="str">
        <x:v>T.L.C. CENTER LLC</x:v>
      </x:c>
      <x:c r="K118" s="55" t="n">
        <x:v>41240</x:v>
      </x:c>
      <x:c r="L118" t="str">
        <x:v>Nassau</x:v>
      </x:c>
      <x:c r="M118" t="str">
        <x:v>New York</x:v>
      </x:c>
      <x:c r="N118" t="str">
        <x:v>DOMESTIC LIMITED LIABILITY COMPANY</x:v>
      </x:c>
      <x:c r="O118" t="str">
        <x:v>T.L.C. CENTER LLC</x:v>
      </x:c>
      <x:c r="P118" t="str">
        <x:v>59-29 72ND STREET, MASPETH, NY, 11378</x:v>
      </x:c>
      <x:c r="Q118" t="str"/>
      <x:c r="R118" t="str"/>
      <x:c r="S118" t="str"/>
      <x:c r="T118" t="str"/>
      <x:c r="U118" t="str"/>
      <x:c r="V118" t="str"/>
      <x:c r="W118" t="str"/>
      <x:c r="X118" t="str"/>
      <x:c r="Y118" t="str">
        <x:v>https://data.ny.gov/Economic-Development/Active-Corporations-Beginning-1800/n9v6-gdp6</x:v>
      </x:c>
    </x:row>
    <x:row r="119">
      <x:c r="A119" t="str">
        <x:v>DOS-3-040</x:v>
      </x:c>
      <x:c r="B119" t="n">
        <x:v>3</x:v>
      </x:c>
      <x:c r="C119" t="str">
        <x:v>826 BROADWAY, 11TH FLOOR, NEW YORK, NY, 10003, US</x:v>
      </x:c>
      <x:c r="D119" t="str">
        <x:v>J APARTMENTS LLC</x:v>
      </x:c>
      <x:c r="E119" t="str">
        <x:v>J APARTMENTS LLC</x:v>
      </x:c>
      <x:c r="F119" t="str">
        <x:v>Active name match</x:v>
      </x:c>
      <x:c r="G119" t="n">
        <x:v>1</x:v>
      </x:c>
      <x:c r="H119" t="n">
        <x:v>0</x:v>
      </x:c>
      <x:c r="I119" t="str">
        <x:v>3533640</x:v>
      </x:c>
      <x:c r="J119" t="str">
        <x:v>J APARTMENTS LLC</x:v>
      </x:c>
      <x:c r="K119" s="55" t="n">
        <x:v>39253</x:v>
      </x:c>
      <x:c r="L119" t="str">
        <x:v>New York</x:v>
      </x:c>
      <x:c r="M119" t="str">
        <x:v>New York</x:v>
      </x:c>
      <x:c r="N119" t="str">
        <x:v>DOMESTIC LIMITED LIABILITY COMPANY</x:v>
      </x:c>
      <x:c r="O119" t="str">
        <x:v>J APARTMENTS LLC</x:v>
      </x:c>
      <x:c r="P119" t="str">
        <x:v>128 WAVERLY AVENUE, BROOKLYN, NY, 11205</x:v>
      </x:c>
      <x:c r="Q119" t="str"/>
      <x:c r="R119" t="str"/>
      <x:c r="S119" t="str"/>
      <x:c r="T119" t="str"/>
      <x:c r="U119" t="str"/>
      <x:c r="V119" t="str"/>
      <x:c r="W119" t="str"/>
      <x:c r="X119" t="str"/>
      <x:c r="Y119" t="str">
        <x:v>https://data.ny.gov/Economic-Development/Active-Corporations-Beginning-1800/n9v6-gdp6</x:v>
      </x:c>
    </x:row>
    <x:row r="120">
      <x:c r="A120" t="str">
        <x:v>DOS-3-040</x:v>
      </x:c>
      <x:c r="B120" t="n">
        <x:v>3</x:v>
      </x:c>
      <x:c r="C120" t="str">
        <x:v>826 BROADWAY, 11TH FLOOR, NEW YORK, NY, 10003, US</x:v>
      </x:c>
      <x:c r="D120" t="str">
        <x:v>J RETAIL LLC</x:v>
      </x:c>
      <x:c r="E120" t="str">
        <x:v>J RETAIL LLC</x:v>
      </x:c>
      <x:c r="F120" t="str">
        <x:v>Active name match</x:v>
      </x:c>
      <x:c r="G120" t="n">
        <x:v>1</x:v>
      </x:c>
      <x:c r="H120" t="n">
        <x:v>1</x:v>
      </x:c>
      <x:c r="I120" t="str">
        <x:v>3531942</x:v>
      </x:c>
      <x:c r="J120" t="str">
        <x:v>J RETAIL LLC</x:v>
      </x:c>
      <x:c r="K120" s="55" t="n">
        <x:v>39248</x:v>
      </x:c>
      <x:c r="L120" t="str">
        <x:v>New York</x:v>
      </x:c>
      <x:c r="M120" t="str">
        <x:v>New York</x:v>
      </x:c>
      <x:c r="N120" t="str">
        <x:v>DOMESTIC LIMITED LIABILITY COMPANY</x:v>
      </x:c>
      <x:c r="O120" t="str">
        <x:v>C/O THE HUDSON COMPANIES</x:v>
      </x:c>
      <x:c r="P120" t="str">
        <x:v>INCORPORATED, 826 BROADWAY, 11TH FLOOR, NEW YORK, NY, 10003</x:v>
      </x:c>
      <x:c r="Q120" t="str"/>
      <x:c r="R120" t="str"/>
      <x:c r="S120" t="str"/>
      <x:c r="T120" t="str"/>
      <x:c r="U120" t="str"/>
      <x:c r="V120" t="str"/>
      <x:c r="W120" t="str"/>
      <x:c r="X120" t="str"/>
      <x:c r="Y120" t="str">
        <x:v>https://data.ny.gov/Economic-Development/Active-Corporations-Beginning-1800/n9v6-gdp6</x:v>
      </x:c>
    </x:row>
    <x:row r="121">
      <x:c r="A121" t="str">
        <x:v>DOS-3-040</x:v>
      </x:c>
      <x:c r="B121" t="n">
        <x:v>3</x:v>
      </x:c>
      <x:c r="C121" t="str">
        <x:v>826 BROADWAY, 11TH FLOOR, NEW YORK, NY, 10003, US</x:v>
      </x:c>
      <x:c r="D121" t="str">
        <x:v>LA CENTRAL NMTC LLC</x:v>
      </x:c>
      <x:c r="E121" t="str">
        <x:v>LA CENTRAL NMTC LLC</x:v>
      </x:c>
      <x:c r="F121" t="str">
        <x:v>Active name match</x:v>
      </x:c>
      <x:c r="G121" t="n">
        <x:v>1</x:v>
      </x:c>
      <x:c r="H121" t="n">
        <x:v>1</x:v>
      </x:c>
      <x:c r="I121" t="str">
        <x:v>5218132</x:v>
      </x:c>
      <x:c r="J121" t="str">
        <x:v>LA CENTRAL NMTC LLC</x:v>
      </x:c>
      <x:c r="K121" s="55" t="n">
        <x:v>43024</x:v>
      </x:c>
      <x:c r="L121" t="str">
        <x:v>New York</x:v>
      </x:c>
      <x:c r="M121" t="str">
        <x:v>New York</x:v>
      </x:c>
      <x:c r="N121" t="str">
        <x:v>DOMESTIC LIMITED LIABILITY COMPANY</x:v>
      </x:c>
      <x:c r="O121" t="str">
        <x:v>LA CENTRAL NMTC LLC</x:v>
      </x:c>
      <x:c r="P121" t="str">
        <x:v>C/O THE HUDSON COMPANIES INC., 826 BROADWAY, 11TH FLOOR, NEW YORK, NY, 10003</x:v>
      </x:c>
      <x:c r="Q121" t="str"/>
      <x:c r="R121" t="str"/>
      <x:c r="S121" t="str"/>
      <x:c r="T121" t="str"/>
      <x:c r="U121" t="str"/>
      <x:c r="V121" t="str"/>
      <x:c r="W121" t="str"/>
      <x:c r="X121" t="str"/>
      <x:c r="Y121" t="str">
        <x:v>https://data.ny.gov/Economic-Development/Active-Corporations-Beginning-1800/n9v6-gdp6</x:v>
      </x:c>
    </x:row>
    <x:row r="122">
      <x:c r="A122" t="str">
        <x:v>DOS-3-041</x:v>
      </x:c>
      <x:c r="B122" t="n">
        <x:v>3</x:v>
      </x:c>
      <x:c r="C122" t="str">
        <x:v>850 SEVENTH AVENUE, NEW YORK, NY, 10019, US</x:v>
      </x:c>
      <x:c r="D122" t="str">
        <x:v>AMSLAND RETAIL LLC</x:v>
      </x:c>
      <x:c r="E122" t="str">
        <x:v>AMSLAND RETAIL LLC</x:v>
      </x:c>
      <x:c r="F122" t="str">
        <x:v>Address-corroborated active match</x:v>
      </x:c>
      <x:c r="G122" t="n">
        <x:v>1</x:v>
      </x:c>
      <x:c r="H122" t="n">
        <x:v>2</x:v>
      </x:c>
      <x:c r="I122" t="str">
        <x:v>4719852</x:v>
      </x:c>
      <x:c r="J122" t="str">
        <x:v>AMSLAND RETAIL LLC</x:v>
      </x:c>
      <x:c r="K122" s="55" t="n">
        <x:v>42067</x:v>
      </x:c>
      <x:c r="L122" t="str">
        <x:v>New York</x:v>
      </x:c>
      <x:c r="M122" t="str">
        <x:v>New York</x:v>
      </x:c>
      <x:c r="N122" t="str">
        <x:v>DOMESTIC LIMITED LIABILITY COMPANY</x:v>
      </x:c>
      <x:c r="O122" t="str">
        <x:v>C/O TEXWOOD INVESTMENT INC.</x:v>
      </x:c>
      <x:c r="P122" t="str">
        <x:v>850 SEVENTH AVENUE, NEW YORK, NY, 10019</x:v>
      </x:c>
      <x:c r="Q122" t="str"/>
      <x:c r="R122" t="str"/>
      <x:c r="S122" t="str"/>
      <x:c r="T122" t="str"/>
      <x:c r="U122" t="str"/>
      <x:c r="V122" t="str"/>
      <x:c r="W122" t="str"/>
      <x:c r="X122" t="str"/>
      <x:c r="Y122" t="str">
        <x:v>https://data.ny.gov/Economic-Development/Active-Corporations-Beginning-1800/n9v6-gdp6</x:v>
      </x:c>
    </x:row>
    <x:row r="123">
      <x:c r="A123" t="str">
        <x:v>DOS-3-041</x:v>
      </x:c>
      <x:c r="B123" t="n">
        <x:v>3</x:v>
      </x:c>
      <x:c r="C123" t="str">
        <x:v>850 SEVENTH AVENUE, NEW YORK, NY, 10019, US</x:v>
      </x:c>
      <x:c r="D123" t="str">
        <x:v>AMSTORE RETAIL LLC</x:v>
      </x:c>
      <x:c r="E123" t="str">
        <x:v>AMSTORE RETAIL LLC</x:v>
      </x:c>
      <x:c r="F123" t="str">
        <x:v>Address-corroborated active match</x:v>
      </x:c>
      <x:c r="G123" t="n">
        <x:v>1</x:v>
      </x:c>
      <x:c r="H123" t="n">
        <x:v>2</x:v>
      </x:c>
      <x:c r="I123" t="str">
        <x:v>4719856</x:v>
      </x:c>
      <x:c r="J123" t="str">
        <x:v>AMSTORE RETAIL LLC</x:v>
      </x:c>
      <x:c r="K123" s="55" t="n">
        <x:v>42067</x:v>
      </x:c>
      <x:c r="L123" t="str">
        <x:v>New York</x:v>
      </x:c>
      <x:c r="M123" t="str">
        <x:v>New York</x:v>
      </x:c>
      <x:c r="N123" t="str">
        <x:v>DOMESTIC LIMITED LIABILITY COMPANY</x:v>
      </x:c>
      <x:c r="O123" t="str">
        <x:v>C/O TEXWOOD INVESTMENT INC.</x:v>
      </x:c>
      <x:c r="P123" t="str">
        <x:v>850 SEVENTH AVENUE, NEW YORK, NY, 10019</x:v>
      </x:c>
      <x:c r="Q123" t="str"/>
      <x:c r="R123" t="str"/>
      <x:c r="S123" t="str"/>
      <x:c r="T123" t="str"/>
      <x:c r="U123" t="str"/>
      <x:c r="V123" t="str"/>
      <x:c r="W123" t="str"/>
      <x:c r="X123" t="str"/>
      <x:c r="Y123" t="str">
        <x:v>https://data.ny.gov/Economic-Development/Active-Corporations-Beginning-1800/n9v6-gdp6</x:v>
      </x:c>
    </x:row>
    <x:row r="124">
      <x:c r="A124" t="str">
        <x:v>DOS-3-041</x:v>
      </x:c>
      <x:c r="B124" t="n">
        <x:v>3</x:v>
      </x:c>
      <x:c r="C124" t="str">
        <x:v>850 SEVENTH AVENUE, NEW YORK, NY, 10019, US</x:v>
      </x:c>
      <x:c r="D124" t="str">
        <x:v>BOULEVARD RETAIL LLC</x:v>
      </x:c>
      <x:c r="E124" t="str">
        <x:v>BOULEVARD RETAIL LLC</x:v>
      </x:c>
      <x:c r="F124" t="str">
        <x:v>Address-corroborated active match</x:v>
      </x:c>
      <x:c r="G124" t="n">
        <x:v>1</x:v>
      </x:c>
      <x:c r="H124" t="n">
        <x:v>2</x:v>
      </x:c>
      <x:c r="I124" t="str">
        <x:v>4719862</x:v>
      </x:c>
      <x:c r="J124" t="str">
        <x:v>BOULEVARD RETAIL LLC</x:v>
      </x:c>
      <x:c r="K124" s="55" t="n">
        <x:v>42067</x:v>
      </x:c>
      <x:c r="L124" t="str">
        <x:v>New York</x:v>
      </x:c>
      <x:c r="M124" t="str">
        <x:v>New York</x:v>
      </x:c>
      <x:c r="N124" t="str">
        <x:v>DOMESTIC LIMITED LIABILITY COMPANY</x:v>
      </x:c>
      <x:c r="O124" t="str">
        <x:v>C/O TEXWOOD INVESTMENT INC.</x:v>
      </x:c>
      <x:c r="P124" t="str">
        <x:v>850 SEVENTH AVENUE, SUITE 205, NEW YORK, NY, 10019</x:v>
      </x:c>
      <x:c r="Q124" t="str"/>
      <x:c r="R124" t="str"/>
      <x:c r="S124" t="str"/>
      <x:c r="T124" t="str"/>
      <x:c r="U124" t="str"/>
      <x:c r="V124" t="str"/>
      <x:c r="W124" t="str"/>
      <x:c r="X124" t="str"/>
      <x:c r="Y124" t="str">
        <x:v>https://data.ny.gov/Economic-Development/Active-Corporations-Beginning-1800/n9v6-gdp6</x:v>
      </x:c>
    </x:row>
    <x:row r="125">
      <x:c r="A125" t="str">
        <x:v>DOS-3-042</x:v>
      </x:c>
      <x:c r="B125" t="n">
        <x:v>3</x:v>
      </x:c>
      <x:c r="C125" t="str">
        <x:v>P.O BOX 1268, BRONX, NY, 10462, US | P.O. BOX 1268, BRONX, NY, 10462, US</x:v>
      </x:c>
      <x:c r="D125" t="str">
        <x:v>CARTER GARACCI LLC</x:v>
      </x:c>
      <x:c r="E125" t="str">
        <x:v>CARTER GARACCI LLC</x:v>
      </x:c>
      <x:c r="F125" t="str">
        <x:v>Active name match</x:v>
      </x:c>
      <x:c r="G125" t="n">
        <x:v>1</x:v>
      </x:c>
      <x:c r="H125" t="n">
        <x:v>0</x:v>
      </x:c>
      <x:c r="I125" t="str">
        <x:v>6219479</x:v>
      </x:c>
      <x:c r="J125" t="str">
        <x:v>CARTER GARACCI LLC</x:v>
      </x:c>
      <x:c r="K125" s="55" t="n">
        <x:v>44391</x:v>
      </x:c>
      <x:c r="L125" t="str">
        <x:v>New York</x:v>
      </x:c>
      <x:c r="M125" t="str">
        <x:v>New York</x:v>
      </x:c>
      <x:c r="N125" t="str">
        <x:v>DOMESTIC LIMITED LIABILITY COMPANY</x:v>
      </x:c>
      <x:c r="O125" t="str">
        <x:v>C/O CARTER GARACCI LLC</x:v>
      </x:c>
      <x:c r="P125" t="str">
        <x:v>1741 Seddon St, Flr 1, Bronx, NY, 10461</x:v>
      </x:c>
      <x:c r="Q125" t="str"/>
      <x:c r="R125" t="str"/>
      <x:c r="S125" t="str"/>
      <x:c r="T125" t="str"/>
      <x:c r="U125" t="str"/>
      <x:c r="V125" t="str"/>
      <x:c r="W125" t="str"/>
      <x:c r="X125" t="str"/>
      <x:c r="Y125" t="str">
        <x:v>https://data.ny.gov/Economic-Development/Active-Corporations-Beginning-1800/n9v6-gdp6</x:v>
      </x:c>
    </x:row>
    <x:row r="126">
      <x:c r="A126" t="str">
        <x:v>DOS-3-042</x:v>
      </x:c>
      <x:c r="B126" t="n">
        <x:v>3</x:v>
      </x:c>
      <x:c r="C126" t="str">
        <x:v>P.O BOX 1268, BRONX, NY, 10462, US | P.O. BOX 1268, BRONX, NY, 10462, US</x:v>
      </x:c>
      <x:c r="D126" t="str">
        <x:v>MILO 2 LLC</x:v>
      </x:c>
      <x:c r="E126" t="str">
        <x:v>MILO 2 LLC</x:v>
      </x:c>
      <x:c r="F126" t="str">
        <x:v>Active name match</x:v>
      </x:c>
      <x:c r="G126" t="n">
        <x:v>1</x:v>
      </x:c>
      <x:c r="H126" t="n">
        <x:v>0</x:v>
      </x:c>
      <x:c r="I126" t="str">
        <x:v>5926479</x:v>
      </x:c>
      <x:c r="J126" t="str">
        <x:v>MILO 2 LLC</x:v>
      </x:c>
      <x:c r="K126" s="55" t="n">
        <x:v>44222</x:v>
      </x:c>
      <x:c r="L126" t="str">
        <x:v>New York</x:v>
      </x:c>
      <x:c r="M126" t="str">
        <x:v>New York</x:v>
      </x:c>
      <x:c r="N126" t="str">
        <x:v>DOMESTIC LIMITED LIABILITY COMPANY</x:v>
      </x:c>
      <x:c r="O126" t="str">
        <x:v>MILO 2 LLC</x:v>
      </x:c>
      <x:c r="P126" t="str">
        <x:v>1741 Seddon Street, Bronx, NY, 10461</x:v>
      </x:c>
      <x:c r="Q126" t="str"/>
      <x:c r="R126" t="str"/>
      <x:c r="S126" t="str"/>
      <x:c r="T126" t="str"/>
      <x:c r="U126" t="str"/>
      <x:c r="V126" t="str"/>
      <x:c r="W126" t="str"/>
      <x:c r="X126" t="str"/>
      <x:c r="Y126" t="str">
        <x:v>https://data.ny.gov/Economic-Development/Active-Corporations-Beginning-1800/n9v6-gdp6</x:v>
      </x:c>
    </x:row>
    <x:row r="127">
      <x:c r="A127" t="str">
        <x:v>DOS-3-042</x:v>
      </x:c>
      <x:c r="B127" t="n">
        <x:v>3</x:v>
      </x:c>
      <x:c r="C127" t="str">
        <x:v>P.O BOX 1268, BRONX, NY, 10462, US | P.O. BOX 1268, BRONX, NY, 10462, US</x:v>
      </x:c>
      <x:c r="D127" t="str">
        <x:v>RAMORINI LLC</x:v>
      </x:c>
      <x:c r="E127" t="str">
        <x:v>RAMORINI LLC</x:v>
      </x:c>
      <x:c r="F127" t="str">
        <x:v>Active name match</x:v>
      </x:c>
      <x:c r="G127" t="n">
        <x:v>1</x:v>
      </x:c>
      <x:c r="H127" t="n">
        <x:v>0</x:v>
      </x:c>
      <x:c r="I127" t="str">
        <x:v>6019941</x:v>
      </x:c>
      <x:c r="J127" t="str">
        <x:v>RAMORINI LLC</x:v>
      </x:c>
      <x:c r="K127" s="55" t="n">
        <x:v>44340</x:v>
      </x:c>
      <x:c r="L127" t="str">
        <x:v>New York</x:v>
      </x:c>
      <x:c r="M127" t="str">
        <x:v>New York</x:v>
      </x:c>
      <x:c r="N127" t="str">
        <x:v>DOMESTIC LIMITED LIABILITY COMPANY</x:v>
      </x:c>
      <x:c r="O127" t="str">
        <x:v>C/O FISHER STONE, P.C.</x:v>
      </x:c>
      <x:c r="P127" t="str">
        <x:v>115 BROADWAY, 5TH FLOOR, NEW YORK, NY, 10006</x:v>
      </x:c>
      <x:c r="Q127" t="str"/>
      <x:c r="R127" t="str"/>
      <x:c r="S127" t="str"/>
      <x:c r="T127" t="str"/>
      <x:c r="U127" t="str"/>
      <x:c r="V127" t="str"/>
      <x:c r="W127" t="str"/>
      <x:c r="X127" t="str"/>
      <x:c r="Y127" t="str">
        <x:v>https://data.ny.gov/Economic-Development/Active-Corporations-Beginning-1800/n9v6-gdp6</x:v>
      </x:c>
    </x:row>
    <x:row r="128">
      <x:c r="A128" t="str">
        <x:v>DOS-3-043</x:v>
      </x:c>
      <x:c r="B128" t="n">
        <x:v>3</x:v>
      </x:c>
      <x:c r="C128" t="str">
        <x:v>1344 43RD STREET, BROOKLYN, NY, 11219, US</x:v>
      </x:c>
      <x:c r="D128" t="str">
        <x:v>2400 APARTMENTS LLC</x:v>
      </x:c>
      <x:c r="E128" t="str">
        <x:v>2400 APARTMENTS, LLC</x:v>
      </x:c>
      <x:c r="F128" t="str">
        <x:v>Active name match</x:v>
      </x:c>
      <x:c r="G128" t="n">
        <x:v>1</x:v>
      </x:c>
      <x:c r="H128" t="n">
        <x:v>0</x:v>
      </x:c>
      <x:c r="I128" t="str">
        <x:v>2714428</x:v>
      </x:c>
      <x:c r="J128" t="str">
        <x:v>2400 APARTMENTS LLC</x:v>
      </x:c>
      <x:c r="K128" s="55" t="n">
        <x:v>37259</x:v>
      </x:c>
      <x:c r="L128" t="str">
        <x:v>Rockland</x:v>
      </x:c>
      <x:c r="M128" t="str">
        <x:v>New York</x:v>
      </x:c>
      <x:c r="N128" t="str">
        <x:v>DOMESTIC LIMITED LIABILITY COMPANY</x:v>
      </x:c>
      <x:c r="O128" t="str">
        <x:v>SUPERIOR REALTY GROUP</x:v>
      </x:c>
      <x:c r="P128" t="str">
        <x:v>1279 37TH ST, BROOKLYN, NY, 11218</x:v>
      </x:c>
      <x:c r="Q128" t="str"/>
      <x:c r="R128" t="str"/>
      <x:c r="S128" t="str"/>
      <x:c r="T128" t="str"/>
      <x:c r="U128" t="str"/>
      <x:c r="V128" t="str"/>
      <x:c r="W128" t="str"/>
      <x:c r="X128" t="str"/>
      <x:c r="Y128" t="str">
        <x:v>https://data.ny.gov/Economic-Development/Active-Corporations-Beginning-1800/n9v6-gdp6</x:v>
      </x:c>
    </x:row>
    <x:row r="129">
      <x:c r="A129" t="str">
        <x:v>DOS-3-043</x:v>
      </x:c>
      <x:c r="B129" t="n">
        <x:v>3</x:v>
      </x:c>
      <x:c r="C129" t="str">
        <x:v>1344 43RD STREET, BROOKLYN, NY, 11219, US</x:v>
      </x:c>
      <x:c r="D129" t="str">
        <x:v>4802 SEVENTEENTH LLC</x:v>
      </x:c>
      <x:c r="E129" t="str">
        <x:v>4802 SEVENTEENTH LLC</x:v>
      </x:c>
      <x:c r="F129" t="str">
        <x:v>Active name match</x:v>
      </x:c>
      <x:c r="G129" t="n">
        <x:v>1</x:v>
      </x:c>
      <x:c r="H129" t="n">
        <x:v>0</x:v>
      </x:c>
      <x:c r="I129" t="str">
        <x:v>3868312</x:v>
      </x:c>
      <x:c r="J129" t="str">
        <x:v>4802 SEVENTEENTH, LLC</x:v>
      </x:c>
      <x:c r="K129" s="55" t="n">
        <x:v>40102</x:v>
      </x:c>
      <x:c r="L129" t="str">
        <x:v>Kings</x:v>
      </x:c>
      <x:c r="M129" t="str">
        <x:v>New York</x:v>
      </x:c>
      <x:c r="N129" t="str">
        <x:v>DOMESTIC LIMITED LIABILITY COMPANY</x:v>
      </x:c>
      <x:c r="O129" t="str">
        <x:v>C/O SUPERIOR REALTY GROUP</x:v>
      </x:c>
      <x:c r="P129" t="str">
        <x:v>3622 13TH AVENUE, BROOKLYN, NY, 11218</x:v>
      </x:c>
      <x:c r="Q129" t="str"/>
      <x:c r="R129" t="str"/>
      <x:c r="S129" t="str"/>
      <x:c r="T129" t="str"/>
      <x:c r="U129" t="str"/>
      <x:c r="V129" t="str"/>
      <x:c r="W129" t="str"/>
      <x:c r="X129" t="str"/>
      <x:c r="Y129" t="str">
        <x:v>https://data.ny.gov/Economic-Development/Active-Corporations-Beginning-1800/n9v6-gdp6</x:v>
      </x:c>
    </x:row>
    <x:row r="130">
      <x:c r="A130" t="str">
        <x:v>DOS-3-043</x:v>
      </x:c>
      <x:c r="B130" t="n">
        <x:v>3</x:v>
      </x:c>
      <x:c r="C130" t="str">
        <x:v>1344 43RD STREET, BROOKLYN, NY, 11219, US</x:v>
      </x:c>
      <x:c r="D130" t="str">
        <x:v>LM ONE LLC</x:v>
      </x:c>
      <x:c r="E130" t="str">
        <x:v>LM ONE LLC</x:v>
      </x:c>
      <x:c r="F130" t="str">
        <x:v>Active name match</x:v>
      </x:c>
      <x:c r="G130" t="n">
        <x:v>1</x:v>
      </x:c>
      <x:c r="H130" t="n">
        <x:v>1</x:v>
      </x:c>
      <x:c r="I130" t="str">
        <x:v>3895969</x:v>
      </x:c>
      <x:c r="J130" t="str">
        <x:v>LM ONE LLC</x:v>
      </x:c>
      <x:c r="K130" s="55" t="n">
        <x:v>40184</x:v>
      </x:c>
      <x:c r="L130" t="str">
        <x:v>Kings</x:v>
      </x:c>
      <x:c r="M130" t="str">
        <x:v>Delaware</x:v>
      </x:c>
      <x:c r="N130" t="str">
        <x:v>FOREIGN LIMITED LIABILITY COMPANY</x:v>
      </x:c>
      <x:c r="O130" t="str">
        <x:v>C/O SUPERIOR REALTY GROUP LLC</x:v>
      </x:c>
      <x:c r="P130" t="str">
        <x:v>PO Box 190312, BROOKLYN, NY, 11219</x:v>
      </x:c>
      <x:c r="Q130" t="str"/>
      <x:c r="R130" t="str"/>
      <x:c r="S130" t="str"/>
      <x:c r="T130" t="str"/>
      <x:c r="U130" t="str"/>
      <x:c r="V130" t="str"/>
      <x:c r="W130" t="str"/>
      <x:c r="X130" t="str"/>
      <x:c r="Y130" t="str">
        <x:v>https://data.ny.gov/Economic-Development/Active-Corporations-Beginning-1800/n9v6-gdp6</x:v>
      </x:c>
    </x:row>
    <x:row r="131">
      <x:c r="A131" t="str">
        <x:v>DOS-3-044</x:v>
      </x:c>
      <x:c r="B131" t="n">
        <x:v>3</x:v>
      </x:c>
      <x:c r="C131" t="str">
        <x:v>15 EXCHANGE PLACE, SUITE 320, JERSEY CITY, NJ, 07302, US</x:v>
      </x:c>
      <x:c r="D131" t="str">
        <x:v>1528 EAST 7 LLC</x:v>
      </x:c>
      <x:c r="E131" t="str">
        <x:v>1528 EAST 7 LLC</x:v>
      </x:c>
      <x:c r="F131" t="str">
        <x:v>Address-corroborated active match</x:v>
      </x:c>
      <x:c r="G131" t="n">
        <x:v>1</x:v>
      </x:c>
      <x:c r="H131" t="n">
        <x:v>2</x:v>
      </x:c>
      <x:c r="I131" t="str">
        <x:v>7666645</x:v>
      </x:c>
      <x:c r="J131" t="str">
        <x:v>1528 EAST 7 LLC</x:v>
      </x:c>
      <x:c r="K131" s="55" t="n">
        <x:v>45861</x:v>
      </x:c>
      <x:c r="L131" t="str">
        <x:v>Kings</x:v>
      </x:c>
      <x:c r="M131" t="str">
        <x:v>New York</x:v>
      </x:c>
      <x:c r="N131" t="str">
        <x:v>DOMESTIC LIMITED LIABILITY COMPANY</x:v>
      </x:c>
      <x:c r="O131" t="str">
        <x:v>1528 EAST 7 LLC</x:v>
      </x:c>
      <x:c r="P131" t="str">
        <x:v>15 Exchange Place, Suite 320, Jersey City, NJ, 07302</x:v>
      </x:c>
      <x:c r="Q131" t="str"/>
      <x:c r="R131" t="str"/>
      <x:c r="S131" t="str"/>
      <x:c r="T131" t="str"/>
      <x:c r="U131" t="str"/>
      <x:c r="V131" t="str"/>
      <x:c r="W131" t="str"/>
      <x:c r="X131" t="str"/>
      <x:c r="Y131" t="str">
        <x:v>https://data.ny.gov/Economic-Development/Active-Corporations-Beginning-1800/n9v6-gdp6</x:v>
      </x:c>
    </x:row>
    <x:row r="132">
      <x:c r="A132" t="str">
        <x:v>DOS-3-044</x:v>
      </x:c>
      <x:c r="B132" t="n">
        <x:v>3</x:v>
      </x:c>
      <x:c r="C132" t="str">
        <x:v>15 EXCHANGE PLACE, SUITE 320, JERSEY CITY, NJ, 07302, US</x:v>
      </x:c>
      <x:c r="D132" t="str">
        <x:v>2134 E7 STREET LLC</x:v>
      </x:c>
      <x:c r="E132" t="str">
        <x:v>2134 E7 STREET LLC</x:v>
      </x:c>
      <x:c r="F132" t="str">
        <x:v>Address-corroborated active match</x:v>
      </x:c>
      <x:c r="G132" t="n">
        <x:v>1</x:v>
      </x:c>
      <x:c r="H132" t="n">
        <x:v>2</x:v>
      </x:c>
      <x:c r="I132" t="str">
        <x:v>7732964</x:v>
      </x:c>
      <x:c r="J132" t="str">
        <x:v>2134 E7 STREET LLC</x:v>
      </x:c>
      <x:c r="K132" s="55" t="n">
        <x:v>45944</x:v>
      </x:c>
      <x:c r="L132" t="str">
        <x:v>Albany</x:v>
      </x:c>
      <x:c r="M132" t="str">
        <x:v>New York</x:v>
      </x:c>
      <x:c r="N132" t="str">
        <x:v>DOMESTIC LIMITED LIABILITY COMPANY</x:v>
      </x:c>
      <x:c r="O132" t="str">
        <x:v>2134 E7 STREET LLC</x:v>
      </x:c>
      <x:c r="P132" t="str">
        <x:v>15 Exchange Place, Suite 320, Jersey City, NJ, 07302</x:v>
      </x:c>
      <x:c r="Q132" t="str"/>
      <x:c r="R132" t="str"/>
      <x:c r="S132" t="str"/>
      <x:c r="T132" t="str"/>
      <x:c r="U132" t="str"/>
      <x:c r="V132" t="str"/>
      <x:c r="W132" t="str"/>
      <x:c r="X132" t="str"/>
      <x:c r="Y132" t="str">
        <x:v>https://data.ny.gov/Economic-Development/Active-Corporations-Beginning-1800/n9v6-gdp6</x:v>
      </x:c>
    </x:row>
    <x:row r="133">
      <x:c r="A133" t="str">
        <x:v>DOS-3-044</x:v>
      </x:c>
      <x:c r="B133" t="n">
        <x:v>3</x:v>
      </x:c>
      <x:c r="C133" t="str">
        <x:v>15 EXCHANGE PLACE, SUITE 320, JERSEY CITY, NJ, 07302, US</x:v>
      </x:c>
      <x:c r="D133" t="str">
        <x:v>ROCKAWAY BEACH PARTNERS LLC</x:v>
      </x:c>
      <x:c r="E133" t="str">
        <x:v>ROCKAWAY BEACH PARTNERS LLC</x:v>
      </x:c>
      <x:c r="F133" t="str">
        <x:v>Active name match</x:v>
      </x:c>
      <x:c r="G133" t="n">
        <x:v>1</x:v>
      </x:c>
      <x:c r="H133" t="n">
        <x:v>0</x:v>
      </x:c>
      <x:c r="I133" t="str">
        <x:v>7617818</x:v>
      </x:c>
      <x:c r="J133" t="str">
        <x:v>ROCKAWAY BEACH PARTNERS LLC</x:v>
      </x:c>
      <x:c r="K133" s="55" t="n">
        <x:v>45798</x:v>
      </x:c>
      <x:c r="L133" t="str">
        <x:v>Albany</x:v>
      </x:c>
      <x:c r="M133" t="str">
        <x:v>New York</x:v>
      </x:c>
      <x:c r="N133" t="str">
        <x:v>DOMESTIC LIMITED LIABILITY COMPANY</x:v>
      </x:c>
      <x:c r="O133" t="str">
        <x:v>Rockaway Beach Partners LLC</x:v>
      </x:c>
      <x:c r="P133" t="str">
        <x:v>PO BOX 10873, ALBANY, NY, 12201</x:v>
      </x:c>
      <x:c r="Q133" t="str"/>
      <x:c r="R133" t="str"/>
      <x:c r="S133" t="str"/>
      <x:c r="T133" t="str"/>
      <x:c r="U133" t="str"/>
      <x:c r="V133" t="str"/>
      <x:c r="W133" t="str"/>
      <x:c r="X133" t="str"/>
      <x:c r="Y133" t="str">
        <x:v>https://data.ny.gov/Economic-Development/Active-Corporations-Beginning-1800/n9v6-gdp6</x:v>
      </x:c>
    </x:row>
    <x:row r="134">
      <x:c r="A134" t="str">
        <x:v>DOS-3-045</x:v>
      </x:c>
      <x:c r="B134" t="n">
        <x:v>3</x:v>
      </x:c>
      <x:c r="C134" t="str">
        <x:v>2213 WEST 6TH STREET, BROOKLYN, NY, 11223, US</x:v>
      </x:c>
      <x:c r="D134" t="str">
        <x:v>GRAVESEND PROPERTIES LLC</x:v>
      </x:c>
      <x:c r="E134" t="str">
        <x:v>GRAVESEND PROPERTIES, LLC</x:v>
      </x:c>
      <x:c r="F134" t="str">
        <x:v>Address-corroborated active match</x:v>
      </x:c>
      <x:c r="G134" t="n">
        <x:v>1</x:v>
      </x:c>
      <x:c r="H134" t="n">
        <x:v>2</x:v>
      </x:c>
      <x:c r="I134" t="str">
        <x:v>7500737</x:v>
      </x:c>
      <x:c r="J134" t="str">
        <x:v>GRAVESEND PROPERTIES LLC</x:v>
      </x:c>
      <x:c r="K134" s="55" t="n">
        <x:v>45663</x:v>
      </x:c>
      <x:c r="L134" t="str">
        <x:v>Kings</x:v>
      </x:c>
      <x:c r="M134" t="str">
        <x:v>New York</x:v>
      </x:c>
      <x:c r="N134" t="str">
        <x:v>DOMESTIC LIMITED LIABILITY COMPANY</x:v>
      </x:c>
      <x:c r="O134" t="str">
        <x:v>GRAVESEND PROPERTIES LLC</x:v>
      </x:c>
      <x:c r="P134" t="str">
        <x:v>2213 West 6th Street, Brooklyn, NY, 11223</x:v>
      </x:c>
      <x:c r="Q134" t="str"/>
      <x:c r="R134" t="str"/>
      <x:c r="S134" t="str"/>
      <x:c r="T134" t="str"/>
      <x:c r="U134" t="str"/>
      <x:c r="V134" t="str"/>
      <x:c r="W134" t="str"/>
      <x:c r="X134" t="str"/>
      <x:c r="Y134" t="str">
        <x:v>https://data.ny.gov/Economic-Development/Active-Corporations-Beginning-1800/n9v6-gdp6</x:v>
      </x:c>
    </x:row>
    <x:row r="135">
      <x:c r="A135" t="str">
        <x:v>DOS-3-045</x:v>
      </x:c>
      <x:c r="B135" t="n">
        <x:v>3</x:v>
      </x:c>
      <x:c r="C135" t="str">
        <x:v>2213 WEST 6TH STREET, BROOKLYN, NY, 11223, US</x:v>
      </x:c>
      <x:c r="D135" t="str">
        <x:v>SENATOR STREET MANAGEMENT LLC</x:v>
      </x:c>
      <x:c r="E135" t="str">
        <x:v>SENATOR STREET MANAGEMENT LLC</x:v>
      </x:c>
      <x:c r="F135" t="str">
        <x:v>Address-corroborated active match</x:v>
      </x:c>
      <x:c r="G135" t="n">
        <x:v>1</x:v>
      </x:c>
      <x:c r="H135" t="n">
        <x:v>2</x:v>
      </x:c>
      <x:c r="I135" t="str">
        <x:v>5227575</x:v>
      </x:c>
      <x:c r="J135" t="str">
        <x:v>SENATOR STREET MANAGEMENT, LLC</x:v>
      </x:c>
      <x:c r="K135" s="55" t="n">
        <x:v>43040</x:v>
      </x:c>
      <x:c r="L135" t="str">
        <x:v>Kings</x:v>
      </x:c>
      <x:c r="M135" t="str">
        <x:v>New York</x:v>
      </x:c>
      <x:c r="N135" t="str">
        <x:v>DOMESTIC LIMITED LIABILITY COMPANY</x:v>
      </x:c>
      <x:c r="O135" t="str">
        <x:v>SENATOR STREET MANAGEMENT, LLC</x:v>
      </x:c>
      <x:c r="P135" t="str">
        <x:v>2213 WEST 6TH STREET, BROOKLYN, NY, 11223</x:v>
      </x:c>
      <x:c r="Q135" t="str"/>
      <x:c r="R135" t="str"/>
      <x:c r="S135" t="str"/>
      <x:c r="T135" t="str"/>
      <x:c r="U135" t="str"/>
      <x:c r="V135" t="str"/>
      <x:c r="W135" t="str"/>
      <x:c r="X135" t="str"/>
      <x:c r="Y135" t="str">
        <x:v>https://data.ny.gov/Economic-Development/Active-Corporations-Beginning-1800/n9v6-gdp6</x:v>
      </x:c>
    </x:row>
    <x:row r="136">
      <x:c r="A136" t="str">
        <x:v>DOS-3-045</x:v>
      </x:c>
      <x:c r="B136" t="n">
        <x:v>3</x:v>
      </x:c>
      <x:c r="C136" t="str">
        <x:v>2213 WEST 6TH STREET, BROOKLYN, NY, 11223, US</x:v>
      </x:c>
      <x:c r="D136" t="str">
        <x:v>THIMIANA PROPERTIES LLC</x:v>
      </x:c>
      <x:c r="E136" t="str">
        <x:v>THIMIANA PROPERTIES, LLC</x:v>
      </x:c>
      <x:c r="F136" t="str">
        <x:v>Active name match</x:v>
      </x:c>
      <x:c r="G136" t="n">
        <x:v>1</x:v>
      </x:c>
      <x:c r="H136" t="n">
        <x:v>0</x:v>
      </x:c>
      <x:c r="I136" t="str">
        <x:v>7500743</x:v>
      </x:c>
      <x:c r="J136" t="str">
        <x:v>THIMIANA PROPERTIES, LLC</x:v>
      </x:c>
      <x:c r="K136" s="55" t="n">
        <x:v>45663</x:v>
      </x:c>
      <x:c r="L136" t="str">
        <x:v>Kings</x:v>
      </x:c>
      <x:c r="M136" t="str">
        <x:v>New York</x:v>
      </x:c>
      <x:c r="N136" t="str">
        <x:v>DOMESTIC LIMITED LIABILITY COMPANY</x:v>
      </x:c>
      <x:c r="O136" t="str">
        <x:v>THIMIANA PROPERTIES, LLC</x:v>
      </x:c>
      <x:c r="P136" t="str">
        <x:v>131 86th Street, Brooklyn, NY, 11209</x:v>
      </x:c>
      <x:c r="Q136" t="str"/>
      <x:c r="R136" t="str"/>
      <x:c r="S136" t="str"/>
      <x:c r="T136" t="str"/>
      <x:c r="U136" t="str"/>
      <x:c r="V136" t="str"/>
      <x:c r="W136" t="str"/>
      <x:c r="X136" t="str"/>
      <x:c r="Y136" t="str">
        <x:v>https://data.ny.gov/Economic-Development/Active-Corporations-Beginning-1800/n9v6-gdp6</x:v>
      </x:c>
    </x:row>
    <x:row r="137">
      <x:c r="A137" t="str">
        <x:v>DOS-3-046</x:v>
      </x:c>
      <x:c r="B137" t="n">
        <x:v>3</x:v>
      </x:c>
      <x:c r="C137" t="str">
        <x:v>258-01 HILLSIDE AVENUE, FLORAL PARK, NY, 11004, US</x:v>
      </x:c>
      <x:c r="D137" t="str">
        <x:v>1949 STILLWELL ASSOCIATES LLC</x:v>
      </x:c>
      <x:c r="E137" t="str">
        <x:v>1949 STILLWELL ASSOCIATES, LLC</x:v>
      </x:c>
      <x:c r="F137" t="str">
        <x:v>Address-corroborated active match</x:v>
      </x:c>
      <x:c r="G137" t="n">
        <x:v>1</x:v>
      </x:c>
      <x:c r="H137" t="n">
        <x:v>2</x:v>
      </x:c>
      <x:c r="I137" t="str">
        <x:v>3288168</x:v>
      </x:c>
      <x:c r="J137" t="str">
        <x:v>1949 STILLWELL ASSOCIATES, LLC</x:v>
      </x:c>
      <x:c r="K137" s="55" t="n">
        <x:v>38688</x:v>
      </x:c>
      <x:c r="L137" t="str">
        <x:v>Queens</x:v>
      </x:c>
      <x:c r="M137" t="str">
        <x:v>New York</x:v>
      </x:c>
      <x:c r="N137" t="str">
        <x:v>DOMESTIC LIMITED LIABILITY COMPANY</x:v>
      </x:c>
      <x:c r="O137" t="str">
        <x:v>1949 STILLWELL ASSOCIATES, LLC</x:v>
      </x:c>
      <x:c r="P137" t="str">
        <x:v>258-01 HILLSIDE AVENUE, FLORAL PARK, NY, 11004</x:v>
      </x:c>
      <x:c r="Q137" t="str"/>
      <x:c r="R137" t="str"/>
      <x:c r="S137" t="str"/>
      <x:c r="T137" t="str"/>
      <x:c r="U137" t="str"/>
      <x:c r="V137" t="str"/>
      <x:c r="W137" t="str"/>
      <x:c r="X137" t="str"/>
      <x:c r="Y137" t="str">
        <x:v>https://data.ny.gov/Economic-Development/Active-Corporations-Beginning-1800/n9v6-gdp6</x:v>
      </x:c>
    </x:row>
    <x:row r="138">
      <x:c r="A138" t="str">
        <x:v>DOS-3-046</x:v>
      </x:c>
      <x:c r="B138" t="n">
        <x:v>3</x:v>
      </x:c>
      <x:c r="C138" t="str">
        <x:v>258-01 HILLSIDE AVENUE, FLORAL PARK, NY, 11004, US</x:v>
      </x:c>
      <x:c r="D138" t="str">
        <x:v>2441 ASTORIA ASSOCIATES LLC</x:v>
      </x:c>
      <x:c r="E138" t="str">
        <x:v>2441 ASTORIA ASSOCIATES LLC</x:v>
      </x:c>
      <x:c r="F138" t="str">
        <x:v>Address-corroborated active match</x:v>
      </x:c>
      <x:c r="G138" t="n">
        <x:v>1</x:v>
      </x:c>
      <x:c r="H138" t="n">
        <x:v>2</x:v>
      </x:c>
      <x:c r="I138" t="str">
        <x:v>3288174</x:v>
      </x:c>
      <x:c r="J138" t="str">
        <x:v>2441 ASTORIA ASSOCIATES, LLC</x:v>
      </x:c>
      <x:c r="K138" s="55" t="n">
        <x:v>38688</x:v>
      </x:c>
      <x:c r="L138" t="str">
        <x:v>Queens</x:v>
      </x:c>
      <x:c r="M138" t="str">
        <x:v>New York</x:v>
      </x:c>
      <x:c r="N138" t="str">
        <x:v>DOMESTIC LIMITED LIABILITY COMPANY</x:v>
      </x:c>
      <x:c r="O138" t="str">
        <x:v>2441 ASTORIA ASSOCIATES, LLC</x:v>
      </x:c>
      <x:c r="P138" t="str">
        <x:v>258-01 HILLSIDE AVENUE, FLORAL PARK, NY, 11004</x:v>
      </x:c>
      <x:c r="Q138" t="str"/>
      <x:c r="R138" t="str"/>
      <x:c r="S138" t="str"/>
      <x:c r="T138" t="str"/>
      <x:c r="U138" t="str"/>
      <x:c r="V138" t="str"/>
      <x:c r="W138" t="str"/>
      <x:c r="X138" t="str"/>
      <x:c r="Y138" t="str">
        <x:v>https://data.ny.gov/Economic-Development/Active-Corporations-Beginning-1800/n9v6-gdp6</x:v>
      </x:c>
    </x:row>
    <x:row r="139">
      <x:c r="A139" t="str">
        <x:v>DOS-3-046</x:v>
      </x:c>
      <x:c r="B139" t="n">
        <x:v>3</x:v>
      </x:c>
      <x:c r="C139" t="str">
        <x:v>258-01 HILLSIDE AVENUE, FLORAL PARK, NY, 11004, US</x:v>
      </x:c>
      <x:c r="D139" t="str">
        <x:v>324 KNICKERBOCKER ASSOCIATES LLC</x:v>
      </x:c>
      <x:c r="E139" t="str">
        <x:v>324 KNICKERBOCKER ASSOCIATES LLC</x:v>
      </x:c>
      <x:c r="F139" t="str">
        <x:v>Address-corroborated active match</x:v>
      </x:c>
      <x:c r="G139" t="n">
        <x:v>1</x:v>
      </x:c>
      <x:c r="H139" t="n">
        <x:v>2</x:v>
      </x:c>
      <x:c r="I139" t="str">
        <x:v>3370552</x:v>
      </x:c>
      <x:c r="J139" t="str">
        <x:v>324 KNICKERBOCKER ASSOCIATES, LLC</x:v>
      </x:c>
      <x:c r="K139" s="55" t="n">
        <x:v>38870</x:v>
      </x:c>
      <x:c r="L139" t="str">
        <x:v>Queens</x:v>
      </x:c>
      <x:c r="M139" t="str">
        <x:v>New York</x:v>
      </x:c>
      <x:c r="N139" t="str">
        <x:v>DOMESTIC LIMITED LIABILITY COMPANY</x:v>
      </x:c>
      <x:c r="O139" t="str">
        <x:v>324 KNICKERBOCKER ASSOCIATES, LLC</x:v>
      </x:c>
      <x:c r="P139" t="str">
        <x:v>258-01 HILLSIDE AVENUE, FLORAL PARK, NY, 11004</x:v>
      </x:c>
      <x:c r="Q139" t="str"/>
      <x:c r="R139" t="str"/>
      <x:c r="S139" t="str"/>
      <x:c r="T139" t="str"/>
      <x:c r="U139" t="str"/>
      <x:c r="V139" t="str"/>
      <x:c r="W139" t="str"/>
      <x:c r="X139" t="str"/>
      <x:c r="Y139" t="str">
        <x:v>https://data.ny.gov/Economic-Development/Active-Corporations-Beginning-1800/n9v6-gdp6</x:v>
      </x:c>
    </x:row>
    <x:row r="140">
      <x:c r="A140" t="str">
        <x:v>DOS-3-047</x:v>
      </x:c>
      <x:c r="B140" t="n">
        <x:v>3</x:v>
      </x:c>
      <x:c r="C140" t="str">
        <x:v>334 PARK PLACE, BROOKLYN, NY, 11238, US</x:v>
      </x:c>
      <x:c r="D140" t="str">
        <x:v>AREP CMBS LLC</x:v>
      </x:c>
      <x:c r="E140" t="str">
        <x:v>AREP CMBS LLC</x:v>
      </x:c>
      <x:c r="F140" t="str">
        <x:v>Address-corroborated active match</x:v>
      </x:c>
      <x:c r="G140" t="n">
        <x:v>1</x:v>
      </x:c>
      <x:c r="H140" t="n">
        <x:v>2</x:v>
      </x:c>
      <x:c r="I140" t="str">
        <x:v>7155118</x:v>
      </x:c>
      <x:c r="J140" t="str">
        <x:v>AREP CMBS LLC</x:v>
      </x:c>
      <x:c r="K140" s="55" t="n">
        <x:v>45209</x:v>
      </x:c>
      <x:c r="L140" t="str">
        <x:v>Kings</x:v>
      </x:c>
      <x:c r="M140" t="str">
        <x:v>Delaware</x:v>
      </x:c>
      <x:c r="N140" t="str">
        <x:v>FOREIGN LIMITED LIABILITY COMPANY</x:v>
      </x:c>
      <x:c r="O140" t="str">
        <x:v>AREP CMBS LLC</x:v>
      </x:c>
      <x:c r="P140" t="str">
        <x:v>334 park place, BROOKLYN, NY, 11238</x:v>
      </x:c>
      <x:c r="Q140" t="str"/>
      <x:c r="R140" t="str"/>
      <x:c r="S140" t="str"/>
      <x:c r="T140" t="str"/>
      <x:c r="U140" t="str"/>
      <x:c r="V140" t="str"/>
      <x:c r="W140" t="str"/>
      <x:c r="X140" t="str"/>
      <x:c r="Y140" t="str">
        <x:v>https://data.ny.gov/Economic-Development/Active-Corporations-Beginning-1800/n9v6-gdp6</x:v>
      </x:c>
    </x:row>
    <x:row r="141">
      <x:c r="A141" t="str">
        <x:v>DOS-3-047</x:v>
      </x:c>
      <x:c r="B141" t="n">
        <x:v>3</x:v>
      </x:c>
      <x:c r="C141" t="str">
        <x:v>334 PARK PLACE, BROOKLYN, NY, 11238, US</x:v>
      </x:c>
      <x:c r="D141" t="str">
        <x:v>BCM 96 PROSPECT LLC</x:v>
      </x:c>
      <x:c r="E141" t="str">
        <x:v>BCM 96 PROSPECT LLC</x:v>
      </x:c>
      <x:c r="F141" t="str">
        <x:v>Active name match</x:v>
      </x:c>
      <x:c r="G141" t="n">
        <x:v>1</x:v>
      </x:c>
      <x:c r="H141" t="n">
        <x:v>0</x:v>
      </x:c>
      <x:c r="I141" t="str">
        <x:v>6230170</x:v>
      </x:c>
      <x:c r="J141" t="str">
        <x:v>BCM 96 PROSPECT LLC</x:v>
      </x:c>
      <x:c r="K141" s="55" t="n">
        <x:v>44405</x:v>
      </x:c>
      <x:c r="L141" t="str">
        <x:v>Suffolk</x:v>
      </x:c>
      <x:c r="M141" t="str">
        <x:v>New York</x:v>
      </x:c>
      <x:c r="N141" t="str">
        <x:v>DOMESTIC LIMITED LIABILITY COMPANY</x:v>
      </x:c>
      <x:c r="O141" t="str">
        <x:v>THE LIMITED LIABILITY COMPANY</x:v>
      </x:c>
      <x:c r="P141" t="str">
        <x:v>80 Old Canoe Place Road, Southampton, NY, 11968</x:v>
      </x:c>
      <x:c r="Q141" t="str"/>
      <x:c r="R141" t="str"/>
      <x:c r="S141" t="str"/>
      <x:c r="T141" t="str"/>
      <x:c r="U141" t="str"/>
      <x:c r="V141" t="str"/>
      <x:c r="W141" t="str"/>
      <x:c r="X141" t="str"/>
      <x:c r="Y141" t="str">
        <x:v>https://data.ny.gov/Economic-Development/Active-Corporations-Beginning-1800/n9v6-gdp6</x:v>
      </x:c>
    </x:row>
    <x:row r="142">
      <x:c r="A142" t="str">
        <x:v>DOS-3-047</x:v>
      </x:c>
      <x:c r="B142" t="n">
        <x:v>3</x:v>
      </x:c>
      <x:c r="C142" t="str">
        <x:v>334 PARK PLACE, BROOKLYN, NY, 11238, US</x:v>
      </x:c>
      <x:c r="D142" t="str">
        <x:v>BCM NOSTRAND AVENUE LLC</x:v>
      </x:c>
      <x:c r="E142" t="str">
        <x:v>BCM NOSTRAND AVENUE LLC</x:v>
      </x:c>
      <x:c r="F142" t="str">
        <x:v>Active name match</x:v>
      </x:c>
      <x:c r="G142" t="n">
        <x:v>1</x:v>
      </x:c>
      <x:c r="H142" t="n">
        <x:v>0</x:v>
      </x:c>
      <x:c r="I142" t="str">
        <x:v>3503241</x:v>
      </x:c>
      <x:c r="J142" t="str">
        <x:v>BCM NOSTRAND AVENUE LLC</x:v>
      </x:c>
      <x:c r="K142" s="55" t="n">
        <x:v>39185</x:v>
      </x:c>
      <x:c r="L142" t="str">
        <x:v>Suffolk</x:v>
      </x:c>
      <x:c r="M142" t="str">
        <x:v>New York</x:v>
      </x:c>
      <x:c r="N142" t="str">
        <x:v>DOMESTIC LIMITED LIABILITY COMPANY</x:v>
      </x:c>
      <x:c r="O142" t="str">
        <x:v>C/O DAVID C BOWEN</x:v>
      </x:c>
      <x:c r="P142" t="str">
        <x:v>315 FLATBUSH AVENUE, 433, BROOKLYN, NY, 11217</x:v>
      </x:c>
      <x:c r="Q142" t="str"/>
      <x:c r="R142" t="str"/>
      <x:c r="S142" t="str"/>
      <x:c r="T142" t="str"/>
      <x:c r="U142" t="str"/>
      <x:c r="V142" t="str"/>
      <x:c r="W142" t="str"/>
      <x:c r="X142" t="str"/>
      <x:c r="Y142" t="str">
        <x:v>https://data.ny.gov/Economic-Development/Active-Corporations-Beginning-1800/n9v6-gdp6</x:v>
      </x:c>
    </x:row>
    <x:row r="143">
      <x:c r="A143" t="str">
        <x:v>DOS-3-048</x:v>
      </x:c>
      <x:c r="B143" t="n">
        <x:v>3</x:v>
      </x:c>
      <x:c r="C143" t="str">
        <x:v>85 RAILROAD PLACE, SARATOGA SPRINGS, NY, 12866, US</x:v>
      </x:c>
      <x:c r="D143" t="str">
        <x:v>PRIME STORAGE BRONX MLK BOULEVARD LLC</x:v>
      </x:c>
      <x:c r="E143" t="str">
        <x:v>PRIME STORAGE BRONX MLK BOULEVARD, LLC</x:v>
      </x:c>
      <x:c r="F143" t="str">
        <x:v>Active name match</x:v>
      </x:c>
      <x:c r="G143" t="n">
        <x:v>1</x:v>
      </x:c>
      <x:c r="H143" t="n">
        <x:v>0</x:v>
      </x:c>
      <x:c r="I143" t="str">
        <x:v>5685469</x:v>
      </x:c>
      <x:c r="J143" t="str">
        <x:v>PRIME STORAGE BRONX MLK BOULEVARD, LLC</x:v>
      </x:c>
      <x:c r="K143" s="55" t="n">
        <x:v>43839</x:v>
      </x:c>
      <x:c r="L143" t="str">
        <x:v>Saratoga</x:v>
      </x:c>
      <x:c r="M143" t="str">
        <x:v>Delaware</x:v>
      </x:c>
      <x:c r="N143" t="str">
        <x:v>FOREIGN LIMITED LIABILITY COMPANY</x:v>
      </x:c>
      <x:c r="O143" t="str">
        <x:v>CORPORATION SERVICE COMPANY</x:v>
      </x:c>
      <x:c r="P143" t="str">
        <x:v>80 STATE STREET, 80 STATE STREET, ALBANY, NY, 122072543</x:v>
      </x:c>
      <x:c r="Q143" t="str"/>
      <x:c r="R143" t="str"/>
      <x:c r="S143" t="str"/>
      <x:c r="T143" t="str"/>
      <x:c r="U143" t="str"/>
      <x:c r="V143" t="str"/>
      <x:c r="W143" t="str"/>
      <x:c r="X143" t="str"/>
      <x:c r="Y143" t="str">
        <x:v>https://data.ny.gov/Economic-Development/Active-Corporations-Beginning-1800/n9v6-gdp6</x:v>
      </x:c>
    </x:row>
    <x:row r="144">
      <x:c r="A144" t="str">
        <x:v>DOS-3-048</x:v>
      </x:c>
      <x:c r="B144" t="n">
        <x:v>3</x:v>
      </x:c>
      <x:c r="C144" t="str">
        <x:v>85 RAILROAD PLACE, SARATOGA SPRINGS, NY, 12866, US</x:v>
      </x:c>
      <x:c r="D144" t="str">
        <x:v>PRIME STORAGE FIFTH AVENUE HARLEM LLC</x:v>
      </x:c>
      <x:c r="E144" t="str">
        <x:v>PRIME STORAGE FIFTH AVENUE HARLEM, LLC</x:v>
      </x:c>
      <x:c r="F144" t="str">
        <x:v>Active name match</x:v>
      </x:c>
      <x:c r="G144" t="n">
        <x:v>1</x:v>
      </x:c>
      <x:c r="H144" t="n">
        <x:v>0</x:v>
      </x:c>
      <x:c r="I144" t="str">
        <x:v>6636295</x:v>
      </x:c>
      <x:c r="J144" t="str">
        <x:v>PRIME STORAGE FIFTH AVENUE HARLEM, LLC</x:v>
      </x:c>
      <x:c r="K144" s="55" t="n">
        <x:v>44869</x:v>
      </x:c>
      <x:c r="L144" t="str">
        <x:v>Saratoga</x:v>
      </x:c>
      <x:c r="M144" t="str">
        <x:v>Delaware</x:v>
      </x:c>
      <x:c r="N144" t="str">
        <x:v>FOREIGN LIMITED LIABILITY COMPANY</x:v>
      </x:c>
      <x:c r="O144" t="str">
        <x:v>CORPORATION SERVICE COMPANY</x:v>
      </x:c>
      <x:c r="P144" t="str">
        <x:v>80 STATE ST., ALBANY, NY, 12207</x:v>
      </x:c>
      <x:c r="Q144" t="str"/>
      <x:c r="R144" t="str"/>
      <x:c r="S144" t="str"/>
      <x:c r="T144" t="str"/>
      <x:c r="U144" t="str"/>
      <x:c r="V144" t="str"/>
      <x:c r="W144" t="str"/>
      <x:c r="X144" t="str"/>
      <x:c r="Y144" t="str">
        <x:v>https://data.ny.gov/Economic-Development/Active-Corporations-Beginning-1800/n9v6-gdp6</x:v>
      </x:c>
    </x:row>
    <x:row r="145">
      <x:c r="A145" t="str">
        <x:v>DOS-3-048</x:v>
      </x:c>
      <x:c r="B145" t="n">
        <x:v>3</x:v>
      </x:c>
      <x:c r="C145" t="str">
        <x:v>85 RAILROAD PLACE, SARATOGA SPRINGS, NY, 12866, US</x:v>
      </x:c>
      <x:c r="D145" t="str">
        <x:v>PRIME STORAGE RED HOOK LLC</x:v>
      </x:c>
      <x:c r="E145" t="str">
        <x:v>PRIME STORAGE RED HOOK LLC</x:v>
      </x:c>
      <x:c r="F145" t="str">
        <x:v>Address-corroborated active match</x:v>
      </x:c>
      <x:c r="G145" t="n">
        <x:v>1</x:v>
      </x:c>
      <x:c r="H145" t="n">
        <x:v>2</x:v>
      </x:c>
      <x:c r="I145" t="str">
        <x:v>5477319</x:v>
      </x:c>
      <x:c r="J145" t="str">
        <x:v>PRIME STORAGE RED HOOK, LLC</x:v>
      </x:c>
      <x:c r="K145" s="55" t="n">
        <x:v>43482</x:v>
      </x:c>
      <x:c r="L145" t="str">
        <x:v>Saratoga</x:v>
      </x:c>
      <x:c r="M145" t="str">
        <x:v>Delaware</x:v>
      </x:c>
      <x:c r="N145" t="str">
        <x:v>FOREIGN LIMITED LIABILITY COMPANY</x:v>
      </x:c>
      <x:c r="O145" t="str">
        <x:v>PRIME STORAGE RED HOOK, LLC</x:v>
      </x:c>
      <x:c r="P145" t="str">
        <x:v>85 RAILROAD PLACE, SARATOGA SPRINGS, NY, 12866</x:v>
      </x:c>
      <x:c r="Q145" t="str"/>
      <x:c r="R145" t="str"/>
      <x:c r="S145" t="str"/>
      <x:c r="T145" t="str"/>
      <x:c r="U145" t="str"/>
      <x:c r="V145" t="str"/>
      <x:c r="W145" t="str"/>
      <x:c r="X145" t="str"/>
      <x:c r="Y145" t="str">
        <x:v>https://data.ny.gov/Economic-Development/Active-Corporations-Beginning-1800/n9v6-gdp6</x:v>
      </x:c>
    </x:row>
    <x:row r="146">
      <x:c r="A146" t="str">
        <x:v>DOS-3-049</x:v>
      </x:c>
      <x:c r="B146" t="n">
        <x:v>3</x:v>
      </x:c>
      <x:c r="C146" t="str">
        <x:v>8950 CYPRESS WATERS BLVD, COPPELL, TX, 75019, US | 8950 CYPRESS WATERS BLVD., COPPELL, TX, 75019, US</x:v>
      </x:c>
      <x:c r="D146" t="str">
        <x:v>NATIONSTAR MORTGAGE LLC</x:v>
      </x:c>
      <x:c r="E146" t="str">
        <x:v>NATIONSTAR MORTGAGE LLC</x:v>
      </x:c>
      <x:c r="F146" t="str">
        <x:v>No active DOS match</x:v>
      </x:c>
      <x:c r="G146" t="n">
        <x:v>0</x:v>
      </x:c>
      <x:c r="H146" t="n">
        <x:v>0</x:v>
      </x:c>
      <x:c r="I146" t="str"/>
      <x:c r="J146" t="str"/>
      <x:c r="K146" s="55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>
        <x:v>https://data.ny.gov/Economic-Development/Active-Corporations-Beginning-1800/n9v6-gdp6</x:v>
      </x:c>
    </x:row>
    <x:row r="147">
      <x:c r="A147" t="str">
        <x:v>DOS-3-049</x:v>
      </x:c>
      <x:c r="B147" t="n">
        <x:v>3</x:v>
      </x:c>
      <x:c r="C147" t="str">
        <x:v>8950 CYPRESS WATERS BLVD, COPPELL, TX, 75019, US | 8950 CYPRESS WATERS BLVD., COPPELL, TX, 75019, US</x:v>
      </x:c>
      <x:c r="D147" t="str">
        <x:v>NATIONSTAR MORTGAGE LLC D B A MR COOPER</x:v>
      </x:c>
      <x:c r="E147" t="str">
        <x:v>NATIONSTAR MORTGAGE LLC D/B/A MR. COOPER</x:v>
      </x:c>
      <x:c r="F147" t="str">
        <x:v>No active DOS match</x:v>
      </x:c>
      <x:c r="G147" t="n">
        <x:v>0</x:v>
      </x:c>
      <x:c r="H147" t="n">
        <x:v>0</x:v>
      </x:c>
      <x:c r="I147" t="str"/>
      <x:c r="J147" t="str"/>
      <x:c r="K147" s="55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>
        <x:v>https://data.ny.gov/Economic-Development/Active-Corporations-Beginning-1800/n9v6-gdp6</x:v>
      </x:c>
    </x:row>
    <x:row r="148">
      <x:c r="A148" t="str">
        <x:v>DOS-3-049</x:v>
      </x:c>
      <x:c r="B148" t="n">
        <x:v>3</x:v>
      </x:c>
      <x:c r="C148" t="str">
        <x:v>8950 CYPRESS WATERS BLVD, COPPELL, TX, 75019, US | 8950 CYPRESS WATERS BLVD., COPPELL, TX, 75019, US</x:v>
      </x:c>
      <x:c r="D148" t="str">
        <x:v>NATIONSTAR MORTGAGE LLC DBA MR COOPER</x:v>
      </x:c>
      <x:c r="E148" t="str">
        <x:v>NATIONSTAR MORTGAGE LLC DBA MR. COOPER</x:v>
      </x:c>
      <x:c r="F148" t="str">
        <x:v>No active DOS match</x:v>
      </x:c>
      <x:c r="G148" t="n">
        <x:v>0</x:v>
      </x:c>
      <x:c r="H148" t="n">
        <x:v>0</x:v>
      </x:c>
      <x:c r="I148" t="str"/>
      <x:c r="J148" t="str"/>
      <x:c r="K148" s="55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>
        <x:v>https://data.ny.gov/Economic-Development/Active-Corporations-Beginning-1800/n9v6-gdp6</x:v>
      </x:c>
    </x:row>
    <x:row r="149">
      <x:c r="A149" t="str">
        <x:v>DOS-3-050</x:v>
      </x:c>
      <x:c r="B149" t="n">
        <x:v>3</x:v>
      </x:c>
      <x:c r="C149" t="str">
        <x:v>93 4TH AVENUE, SUITE 1293, NEW YORK, NY, 10003, US</x:v>
      </x:c>
      <x:c r="D149" t="str">
        <x:v>TOWNHOUSE RENTAL V LLC</x:v>
      </x:c>
      <x:c r="E149" t="str">
        <x:v>TOWNHOUSE RENTAL V, L.L.C.</x:v>
      </x:c>
      <x:c r="F149" t="str">
        <x:v>Active name match</x:v>
      </x:c>
      <x:c r="G149" t="n">
        <x:v>1</x:v>
      </x:c>
      <x:c r="H149" t="n">
        <x:v>0</x:v>
      </x:c>
      <x:c r="I149" t="str">
        <x:v>7221477</x:v>
      </x:c>
      <x:c r="J149" t="str">
        <x:v>TOWNHOUSE RENTAL V, L.L.C.</x:v>
      </x:c>
      <x:c r="K149" s="55" t="n">
        <x:v>45295</x:v>
      </x:c>
      <x:c r="L149" t="str">
        <x:v>New York</x:v>
      </x:c>
      <x:c r="M149" t="str">
        <x:v>Delaware</x:v>
      </x:c>
      <x:c r="N149" t="str">
        <x:v>FOREIGN LIMITED LIABILITY COMPANY</x:v>
      </x:c>
      <x:c r="O149" t="str">
        <x:v>C/O C T CORPORATION SYSTEM</x:v>
      </x:c>
      <x:c r="P149" t="str">
        <x:v>28 LIBERTY STREET, NEW YORK, NY, 10005</x:v>
      </x:c>
      <x:c r="Q149" t="str"/>
      <x:c r="R149" t="str"/>
      <x:c r="S149" t="str">
        <x:v>C T CORPORATION SYSTEM</x:v>
      </x:c>
      <x:c r="T149" t="str">
        <x:v>28 LIBERTY STREET, NEW YORK, NEW YORK, 10005</x:v>
      </x:c>
      <x:c r="U149" t="str"/>
      <x:c r="V149" t="str"/>
      <x:c r="W149" t="str"/>
      <x:c r="X149" t="str"/>
      <x:c r="Y149" t="str">
        <x:v>https://data.ny.gov/Economic-Development/Active-Corporations-Beginning-1800/n9v6-gdp6</x:v>
      </x:c>
    </x:row>
    <x:row r="150">
      <x:c r="A150" t="str">
        <x:v>DOS-3-050</x:v>
      </x:c>
      <x:c r="B150" t="n">
        <x:v>3</x:v>
      </x:c>
      <x:c r="C150" t="str">
        <x:v>93 4TH AVENUE, SUITE 1293, NEW YORK, NY, 10003, US</x:v>
      </x:c>
      <x:c r="D150" t="str">
        <x:v>TOWNHOUSE RENTAL VI LLC</x:v>
      </x:c>
      <x:c r="E150" t="str">
        <x:v>TOWNHOUSE RENTAL VI, L.L.C.</x:v>
      </x:c>
      <x:c r="F150" t="str">
        <x:v>Active name match</x:v>
      </x:c>
      <x:c r="G150" t="n">
        <x:v>1</x:v>
      </x:c>
      <x:c r="H150" t="n">
        <x:v>0</x:v>
      </x:c>
      <x:c r="I150" t="str">
        <x:v>7221473</x:v>
      </x:c>
      <x:c r="J150" t="str">
        <x:v>TOWNHOUSE RENTAL VI, L.L.C.</x:v>
      </x:c>
      <x:c r="K150" s="55" t="n">
        <x:v>45295</x:v>
      </x:c>
      <x:c r="L150" t="str">
        <x:v>New York</x:v>
      </x:c>
      <x:c r="M150" t="str">
        <x:v>Delaware</x:v>
      </x:c>
      <x:c r="N150" t="str">
        <x:v>FOREIGN LIMITED LIABILITY COMPANY</x:v>
      </x:c>
      <x:c r="O150" t="str">
        <x:v>C/O C T CORPORATION SYSTEM</x:v>
      </x:c>
      <x:c r="P150" t="str">
        <x:v>28 LIBERTY STREET, NEW YORK, NY, 10005</x:v>
      </x:c>
      <x:c r="Q150" t="str"/>
      <x:c r="R150" t="str"/>
      <x:c r="S150" t="str">
        <x:v>C T CORPORATION SYSTEM</x:v>
      </x:c>
      <x:c r="T150" t="str">
        <x:v>28 LIBERTY STREET, NEW YORK, NEW YORK, 10005</x:v>
      </x:c>
      <x:c r="U150" t="str"/>
      <x:c r="V150" t="str"/>
      <x:c r="W150" t="str"/>
      <x:c r="X150" t="str"/>
      <x:c r="Y150" t="str">
        <x:v>https://data.ny.gov/Economic-Development/Active-Corporations-Beginning-1800/n9v6-gdp6</x:v>
      </x:c>
    </x:row>
    <x:row r="151">
      <x:c r="A151" t="str">
        <x:v>DOS-3-050</x:v>
      </x:c>
      <x:c r="B151" t="n">
        <x:v>3</x:v>
      </x:c>
      <x:c r="C151" t="str">
        <x:v>93 4TH AVENUE, SUITE 1293, NEW YORK, NY, 10003, US</x:v>
      </x:c>
      <x:c r="D151" t="str">
        <x:v>TOWNHOUSE RENTAL VII LLC</x:v>
      </x:c>
      <x:c r="E151" t="str">
        <x:v>TOWNHOUSE RENTAL VII, L.L.C.</x:v>
      </x:c>
      <x:c r="F151" t="str">
        <x:v>Active name match</x:v>
      </x:c>
      <x:c r="G151" t="n">
        <x:v>1</x:v>
      </x:c>
      <x:c r="H151" t="n">
        <x:v>0</x:v>
      </x:c>
      <x:c r="I151" t="str">
        <x:v>7310468</x:v>
      </x:c>
      <x:c r="J151" t="str">
        <x:v>TOWNHOUSE RENTAL VII, L.L.C.</x:v>
      </x:c>
      <x:c r="K151" s="55" t="n">
        <x:v>45401</x:v>
      </x:c>
      <x:c r="L151" t="str">
        <x:v>New York</x:v>
      </x:c>
      <x:c r="M151" t="str">
        <x:v>Delaware</x:v>
      </x:c>
      <x:c r="N151" t="str">
        <x:v>FOREIGN LIMITED LIABILITY COMPANY</x:v>
      </x:c>
      <x:c r="O151" t="str">
        <x:v>C/O C T CORPORATION SYSTEM</x:v>
      </x:c>
      <x:c r="P151" t="str">
        <x:v>28 LIBERTY STREET, NEW YORK, NY, 10005</x:v>
      </x:c>
      <x:c r="Q151" t="str"/>
      <x:c r="R151" t="str"/>
      <x:c r="S151" t="str">
        <x:v>C T CORPORATION SYSTEM</x:v>
      </x:c>
      <x:c r="T151" t="str">
        <x:v>28 LIBERTY STREET, NEW YORK, NEW YORK, 10005</x:v>
      </x:c>
      <x:c r="U151" t="str"/>
      <x:c r="V151" t="str"/>
      <x:c r="W151" t="str"/>
      <x:c r="X151" t="str"/>
      <x:c r="Y151" t="str">
        <x:v>https://data.ny.gov/Economic-Development/Active-Corporations-Beginning-1800/n9v6-gdp6</x:v>
      </x:c>
    </x:row>
    <x:row r="152">
      <x:c r="A152" t="str">
        <x:v>DOS-3-051</x:v>
      </x:c>
      <x:c r="B152" t="n">
        <x:v>3</x:v>
      </x:c>
      <x:c r="C152" t="str">
        <x:v>939  ONDERDONK AVE, RIDGEWOOD, NY, US</x:v>
      </x:c>
      <x:c r="D152" t="str">
        <x:v>E R W LLC</x:v>
      </x:c>
      <x:c r="E152" t="str">
        <x:v>E R W LLC</x:v>
      </x:c>
      <x:c r="F152" t="str">
        <x:v>No active DOS match</x:v>
      </x:c>
      <x:c r="G152" t="n">
        <x:v>0</x:v>
      </x:c>
      <x:c r="H152" t="n">
        <x:v>0</x:v>
      </x:c>
      <x:c r="I152" t="str"/>
      <x:c r="J152" t="str"/>
      <x:c r="K152" s="55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>
        <x:v>https://data.ny.gov/Economic-Development/Active-Corporations-Beginning-1800/n9v6-gdp6</x:v>
      </x:c>
    </x:row>
    <x:row r="153">
      <x:c r="A153" t="str">
        <x:v>DOS-3-051</x:v>
      </x:c>
      <x:c r="B153" t="n">
        <x:v>3</x:v>
      </x:c>
      <x:c r="C153" t="str">
        <x:v>939  ONDERDONK AVE, RIDGEWOOD, NY, US</x:v>
      </x:c>
      <x:c r="D153" t="str">
        <x:v>R E W LLC</x:v>
      </x:c>
      <x:c r="E153" t="str">
        <x:v>R E W LLC</x:v>
      </x:c>
      <x:c r="F153" t="str">
        <x:v>No active DOS match</x:v>
      </x:c>
      <x:c r="G153" t="n">
        <x:v>0</x:v>
      </x:c>
      <x:c r="H153" t="n">
        <x:v>0</x:v>
      </x:c>
      <x:c r="I153" t="str"/>
      <x:c r="J153" t="str"/>
      <x:c r="K153" s="55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>
        <x:v>https://data.ny.gov/Economic-Development/Active-Corporations-Beginning-1800/n9v6-gdp6</x:v>
      </x:c>
    </x:row>
    <x:row r="154">
      <x:c r="A154" t="str">
        <x:v>DOS-3-051</x:v>
      </x:c>
      <x:c r="B154" t="n">
        <x:v>3</x:v>
      </x:c>
      <x:c r="C154" t="str">
        <x:v>939  ONDERDONK AVE, RIDGEWOOD, NY, US</x:v>
      </x:c>
      <x:c r="D154" t="str">
        <x:v>W E R LLC</x:v>
      </x:c>
      <x:c r="E154" t="str">
        <x:v>W E R LLC</x:v>
      </x:c>
      <x:c r="F154" t="str">
        <x:v>No active DOS match</x:v>
      </x:c>
      <x:c r="G154" t="n">
        <x:v>0</x:v>
      </x:c>
      <x:c r="H154" t="n">
        <x:v>0</x:v>
      </x:c>
      <x:c r="I154" t="str"/>
      <x:c r="J154" t="str"/>
      <x:c r="K154" s="55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>
        <x:v>https://data.ny.gov/Economic-Development/Active-Corporations-Beginning-1800/n9v6-gdp6</x:v>
      </x:c>
    </x:row>
    <x:row r="155">
      <x:c r="A155" t="str">
        <x:v>DOS-3-052</x:v>
      </x:c>
      <x:c r="B155" t="n">
        <x:v>3</x:v>
      </x:c>
      <x:c r="C155" t="str">
        <x:v>129 BOERUM PLACE, BROOKLYN, NY, 11201, US</x:v>
      </x:c>
      <x:c r="D155" t="str">
        <x:v>70 HANSON PLACE LLC</x:v>
      </x:c>
      <x:c r="E155" t="str">
        <x:v>70 HANSON PLACE LLC</x:v>
      </x:c>
      <x:c r="F155" t="str">
        <x:v>No active DOS match</x:v>
      </x:c>
      <x:c r="G155" t="n">
        <x:v>0</x:v>
      </x:c>
      <x:c r="H155" t="n">
        <x:v>0</x:v>
      </x:c>
      <x:c r="I155" t="str"/>
      <x:c r="J155" t="str"/>
      <x:c r="K155" s="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>
        <x:v>https://data.ny.gov/Economic-Development/Active-Corporations-Beginning-1800/n9v6-gdp6</x:v>
      </x:c>
    </x:row>
    <x:row r="156">
      <x:c r="A156" t="str">
        <x:v>DOS-3-052</x:v>
      </x:c>
      <x:c r="B156" t="n">
        <x:v>3</x:v>
      </x:c>
      <x:c r="C156" t="str">
        <x:v>129 BOERUM PLACE, BROOKLYN, NY, 11201, US</x:v>
      </x:c>
      <x:c r="D156" t="str">
        <x:v>BERGEN STREET HOLDING LLC</x:v>
      </x:c>
      <x:c r="E156" t="str">
        <x:v>BERGEN STREET HOLDING LLC</x:v>
      </x:c>
      <x:c r="F156" t="str">
        <x:v>Address-corroborated active match</x:v>
      </x:c>
      <x:c r="G156" t="n">
        <x:v>1</x:v>
      </x:c>
      <x:c r="H156" t="n">
        <x:v>2</x:v>
      </x:c>
      <x:c r="I156" t="str">
        <x:v>3882021</x:v>
      </x:c>
      <x:c r="J156" t="str">
        <x:v>BERGEN STREET HOLDING LLC</x:v>
      </x:c>
      <x:c r="K156" s="55" t="n">
        <x:v>40141</x:v>
      </x:c>
      <x:c r="L156" t="str">
        <x:v>Kings</x:v>
      </x:c>
      <x:c r="M156" t="str">
        <x:v>New York</x:v>
      </x:c>
      <x:c r="N156" t="str">
        <x:v>DOMESTIC LIMITED LIABILITY COMPANY</x:v>
      </x:c>
      <x:c r="O156" t="str">
        <x:v>BERGEN STREET HOLDING LLC</x:v>
      </x:c>
      <x:c r="P156" t="str">
        <x:v>129 BOERUM PLACE, OFC, BROOKLYN, NY, 11201</x:v>
      </x:c>
      <x:c r="Q156" t="str"/>
      <x:c r="R156" t="str"/>
      <x:c r="S156" t="str"/>
      <x:c r="T156" t="str"/>
      <x:c r="U156" t="str"/>
      <x:c r="V156" t="str"/>
      <x:c r="W156" t="str"/>
      <x:c r="X156" t="str"/>
      <x:c r="Y156" t="str">
        <x:v>https://data.ny.gov/Economic-Development/Active-Corporations-Beginning-1800/n9v6-gdp6</x:v>
      </x:c>
    </x:row>
    <x:row r="157">
      <x:c r="A157" t="str">
        <x:v>DOS-3-052</x:v>
      </x:c>
      <x:c r="B157" t="n">
        <x:v>3</x:v>
      </x:c>
      <x:c r="C157" t="str">
        <x:v>129 BOERUM PLACE, BROOKLYN, NY, 11201, US</x:v>
      </x:c>
      <x:c r="D157" t="str">
        <x:v>BOERUM PLACE PROPERTIES LLC</x:v>
      </x:c>
      <x:c r="E157" t="str">
        <x:v>BOERUM PLACE PROPERTIES, LLC</x:v>
      </x:c>
      <x:c r="F157" t="str">
        <x:v>Address-corroborated active match</x:v>
      </x:c>
      <x:c r="G157" t="n">
        <x:v>1</x:v>
      </x:c>
      <x:c r="H157" t="n">
        <x:v>2</x:v>
      </x:c>
      <x:c r="I157" t="str">
        <x:v>2218612</x:v>
      </x:c>
      <x:c r="J157" t="str">
        <x:v>BOERUM PLACE PROPERTIES, LLC</x:v>
      </x:c>
      <x:c r="K157" s="55" t="n">
        <x:v>35811</x:v>
      </x:c>
      <x:c r="L157" t="str">
        <x:v>Kings</x:v>
      </x:c>
      <x:c r="M157" t="str">
        <x:v>New York</x:v>
      </x:c>
      <x:c r="N157" t="str">
        <x:v>DOMESTIC LIMITED LIABILITY COMPANY</x:v>
      </x:c>
      <x:c r="O157" t="str">
        <x:v>BOERUM PLACE PROPERTIES, LLC</x:v>
      </x:c>
      <x:c r="P157" t="str">
        <x:v>129 BOERUM PLACE, OFC, BROOKLYN, NY, 11201</x:v>
      </x:c>
      <x:c r="Q157" t="str"/>
      <x:c r="R157" t="str"/>
      <x:c r="S157" t="str"/>
      <x:c r="T157" t="str"/>
      <x:c r="U157" t="str"/>
      <x:c r="V157" t="str"/>
      <x:c r="W157" t="str"/>
      <x:c r="X157" t="str"/>
      <x:c r="Y157" t="str">
        <x:v>https://data.ny.gov/Economic-Development/Active-Corporations-Beginning-1800/n9v6-gdp6</x:v>
      </x:c>
    </x:row>
    <x:row r="158">
      <x:c r="A158" t="str">
        <x:v>DOS-3-053</x:v>
      </x:c>
      <x:c r="B158" t="n">
        <x:v>3</x:v>
      </x:c>
      <x:c r="C158" t="str">
        <x:v>13-15 WEST 54TH STREET, NEW YORK, NY, 10019, US</x:v>
      </x:c>
      <x:c r="D158" t="str">
        <x:v>10 W 55 LLC</x:v>
      </x:c>
      <x:c r="E158" t="str">
        <x:v>10 W 55 LLC</x:v>
      </x:c>
      <x:c r="F158" t="str">
        <x:v>Active name match</x:v>
      </x:c>
      <x:c r="G158" t="n">
        <x:v>1</x:v>
      </x:c>
      <x:c r="H158" t="n">
        <x:v>0</x:v>
      </x:c>
      <x:c r="I158" t="str">
        <x:v>5499909</x:v>
      </x:c>
      <x:c r="J158" t="str">
        <x:v>10 W 55 LLC</x:v>
      </x:c>
      <x:c r="K158" s="55" t="n">
        <x:v>43518</x:v>
      </x:c>
      <x:c r="L158" t="str">
        <x:v>Suffolk</x:v>
      </x:c>
      <x:c r="M158" t="str">
        <x:v>New York</x:v>
      </x:c>
      <x:c r="N158" t="str">
        <x:v>DOMESTIC LIMITED LIABILITY COMPANY</x:v>
      </x:c>
      <x:c r="O158" t="str">
        <x:v>10 W 55 LLC</x:v>
      </x:c>
      <x:c r="P158" t="str">
        <x:v>820 morris turnpike, SuiTE 301, SHORT HILLS, NJ, 07078</x:v>
      </x:c>
      <x:c r="Q158" t="str"/>
      <x:c r="R158" t="str"/>
      <x:c r="S158" t="str"/>
      <x:c r="T158" t="str"/>
      <x:c r="U158" t="str"/>
      <x:c r="V158" t="str"/>
      <x:c r="W158" t="str"/>
      <x:c r="X158" t="str"/>
      <x:c r="Y158" t="str">
        <x:v>https://data.ny.gov/Economic-Development/Active-Corporations-Beginning-1800/n9v6-gdp6</x:v>
      </x:c>
    </x:row>
    <x:row r="159">
      <x:c r="A159" t="str">
        <x:v>DOS-3-053</x:v>
      </x:c>
      <x:c r="B159" t="n">
        <x:v>3</x:v>
      </x:c>
      <x:c r="C159" t="str">
        <x:v>13-15 WEST 54TH STREET, NEW YORK, NY, 10019, US</x:v>
      </x:c>
      <x:c r="D159" t="str">
        <x:v>185 EAST 80TH STREET DEVELOPMENT LLC</x:v>
      </x:c>
      <x:c r="E159" t="str">
        <x:v>185 EAST 80TH STREET DEVELOPMENT LLC</x:v>
      </x:c>
      <x:c r="F159" t="str">
        <x:v>Active name match</x:v>
      </x:c>
      <x:c r="G159" t="n">
        <x:v>1</x:v>
      </x:c>
      <x:c r="H159" t="n">
        <x:v>1</x:v>
      </x:c>
      <x:c r="I159" t="str">
        <x:v>7170660</x:v>
      </x:c>
      <x:c r="J159" t="str">
        <x:v>185 EAST 80TH STREET DEVELOPMENT LLC</x:v>
      </x:c>
      <x:c r="K159" s="55" t="n">
        <x:v>45230</x:v>
      </x:c>
      <x:c r="L159" t="str">
        <x:v>New York</x:v>
      </x:c>
      <x:c r="M159" t="str">
        <x:v>New York</x:v>
      </x:c>
      <x:c r="N159" t="str">
        <x:v>DOMESTIC LIMITED LIABILITY COMPANY</x:v>
      </x:c>
      <x:c r="O159" t="str">
        <x:v>WILF LAW FIRM LLP</x:v>
      </x:c>
      <x:c r="P159" t="str">
        <x:v>13-15 West 54th Street, 1st Fl, New York, NY, 10019</x:v>
      </x:c>
      <x:c r="Q159" t="str"/>
      <x:c r="R159" t="str"/>
      <x:c r="S159" t="str"/>
      <x:c r="T159" t="str"/>
      <x:c r="U159" t="str"/>
      <x:c r="V159" t="str"/>
      <x:c r="W159" t="str"/>
      <x:c r="X159" t="str"/>
      <x:c r="Y159" t="str">
        <x:v>https://data.ny.gov/Economic-Development/Active-Corporations-Beginning-1800/n9v6-gdp6</x:v>
      </x:c>
    </x:row>
    <x:row r="160">
      <x:c r="A160" t="str">
        <x:v>DOS-3-053</x:v>
      </x:c>
      <x:c r="B160" t="n">
        <x:v>3</x:v>
      </x:c>
      <x:c r="C160" t="str">
        <x:v>13-15 WEST 54TH STREET, NEW YORK, NY, 10019, US</x:v>
      </x:c>
      <x:c r="D160" t="str">
        <x:v>200 E79 RETAIL LLC</x:v>
      </x:c>
      <x:c r="E160" t="str">
        <x:v>200 E79 RETAIL LLC</x:v>
      </x:c>
      <x:c r="F160" t="str">
        <x:v>Active name match</x:v>
      </x:c>
      <x:c r="G160" t="n">
        <x:v>1</x:v>
      </x:c>
      <x:c r="H160" t="n">
        <x:v>1</x:v>
      </x:c>
      <x:c r="I160" t="str">
        <x:v>4198849</x:v>
      </x:c>
      <x:c r="J160" t="str">
        <x:v>200 E79 RETAIL LLC</x:v>
      </x:c>
      <x:c r="K160" s="55" t="n">
        <x:v>40945</x:v>
      </x:c>
      <x:c r="L160" t="str">
        <x:v>New York</x:v>
      </x:c>
      <x:c r="M160" t="str">
        <x:v>New York</x:v>
      </x:c>
      <x:c r="N160" t="str">
        <x:v>DOMESTIC LIMITED LIABILITY COMPANY</x:v>
      </x:c>
      <x:c r="O160" t="str">
        <x:v>MARK D. DAHN</x:v>
      </x:c>
      <x:c r="P160" t="str">
        <x:v>C/O WILF LAW FIRM, LLC, 13-15 WEST 54TH STREET, NEW YORK, NY, 10019</x:v>
      </x:c>
      <x:c r="Q160" t="str"/>
      <x:c r="R160" t="str"/>
      <x:c r="S160" t="str">
        <x:v>MARK D. DAHN</x:v>
      </x:c>
      <x:c r="T160" t="str">
        <x:v>C/O WILF LAW FIRM, LLC, 13-15 WEST 54TH STREET, NEW YORK, NEW YORK, 10019</x:v>
      </x:c>
      <x:c r="U160" t="str"/>
      <x:c r="V160" t="str"/>
      <x:c r="W160" t="str"/>
      <x:c r="X160" t="str"/>
      <x:c r="Y160" t="str">
        <x:v>https://data.ny.gov/Economic-Development/Active-Corporations-Beginning-1800/n9v6-gdp6</x:v>
      </x:c>
    </x:row>
    <x:row r="161">
      <x:c r="A161" t="str">
        <x:v>DOS-3-054</x:v>
      </x:c>
      <x:c r="B161" t="n">
        <x:v>3</x:v>
      </x:c>
      <x:c r="C161" t="str">
        <x:v>1400 BROADWAY, 15TH FLOOR, NEW YORK, NY, 10018, US</x:v>
      </x:c>
      <x:c r="D161" t="str">
        <x:v>80 PARK PHB LLC</x:v>
      </x:c>
      <x:c r="E161" t="str">
        <x:v>80 PARK PHB LLC</x:v>
      </x:c>
      <x:c r="F161" t="str">
        <x:v>No active DOS match</x:v>
      </x:c>
      <x:c r="G161" t="n">
        <x:v>0</x:v>
      </x:c>
      <x:c r="H161" t="n">
        <x:v>0</x:v>
      </x:c>
      <x:c r="I161" t="str"/>
      <x:c r="J161" t="str"/>
      <x:c r="K161" s="55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>
        <x:v>https://data.ny.gov/Economic-Development/Active-Corporations-Beginning-1800/n9v6-gdp6</x:v>
      </x:c>
    </x:row>
    <x:row r="162">
      <x:c r="A162" t="str">
        <x:v>DOS-3-054</x:v>
      </x:c>
      <x:c r="B162" t="n">
        <x:v>3</x:v>
      </x:c>
      <x:c r="C162" t="str">
        <x:v>1400 BROADWAY, 15TH FLOOR, NEW YORK, NY, 10018, US</x:v>
      </x:c>
      <x:c r="D162" t="str">
        <x:v>EMMONS AVENUE MARINA LLC</x:v>
      </x:c>
      <x:c r="E162" t="str">
        <x:v>EMMONS AVENUE MARINA, LLC</x:v>
      </x:c>
      <x:c r="F162" t="str">
        <x:v>Active name match</x:v>
      </x:c>
      <x:c r="G162" t="n">
        <x:v>1</x:v>
      </x:c>
      <x:c r="H162" t="n">
        <x:v>1</x:v>
      </x:c>
      <x:c r="I162" t="str">
        <x:v>3750759</x:v>
      </x:c>
      <x:c r="J162" t="str">
        <x:v>EMMONS AVENUE MARINA, LLC</x:v>
      </x:c>
      <x:c r="K162" s="55" t="n">
        <x:v>39791</x:v>
      </x:c>
      <x:c r="L162" t="str">
        <x:v>Kings</x:v>
      </x:c>
      <x:c r="M162" t="str">
        <x:v>New York</x:v>
      </x:c>
      <x:c r="N162" t="str">
        <x:v>DOMESTIC LIMITED LIABILITY COMPANY</x:v>
      </x:c>
      <x:c r="O162" t="str">
        <x:v>EMMONS AVENUE MARINA, LLC</x:v>
      </x:c>
      <x:c r="P162" t="str">
        <x:v>1385 Broadway, 7th Floor, NEW YORK, NY, 10018</x:v>
      </x:c>
      <x:c r="Q162" t="str"/>
      <x:c r="R162" t="str"/>
      <x:c r="S162" t="str"/>
      <x:c r="T162" t="str"/>
      <x:c r="U162" t="str"/>
      <x:c r="V162" t="str"/>
      <x:c r="W162" t="str"/>
      <x:c r="X162" t="str"/>
      <x:c r="Y162" t="str">
        <x:v>https://data.ny.gov/Economic-Development/Active-Corporations-Beginning-1800/n9v6-gdp6</x:v>
      </x:c>
    </x:row>
    <x:row r="163">
      <x:c r="A163" t="str">
        <x:v>DOS-3-054</x:v>
      </x:c>
      <x:c r="B163" t="n">
        <x:v>3</x:v>
      </x:c>
      <x:c r="C163" t="str">
        <x:v>1400 BROADWAY, 15TH FLOOR, NEW YORK, NY, 10018, US</x:v>
      </x:c>
      <x:c r="D163" t="str">
        <x:v>NBR LLC</x:v>
      </x:c>
      <x:c r="E163" t="str">
        <x:v>NBR LLC</x:v>
      </x:c>
      <x:c r="F163" t="str">
        <x:v>No active DOS match</x:v>
      </x:c>
      <x:c r="G163" t="n">
        <x:v>0</x:v>
      </x:c>
      <x:c r="H163" t="n">
        <x:v>0</x:v>
      </x:c>
      <x:c r="I163" t="str"/>
      <x:c r="J163" t="str"/>
      <x:c r="K163" s="55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>
        <x:v>https://data.ny.gov/Economic-Development/Active-Corporations-Beginning-1800/n9v6-gdp6</x:v>
      </x:c>
    </x:row>
    <x:row r="164">
      <x:c r="A164" t="str">
        <x:v>DOS-3-055</x:v>
      </x:c>
      <x:c r="B164" t="n">
        <x:v>3</x:v>
      </x:c>
      <x:c r="C164" t="str">
        <x:v>152-53 10TH AVENUE - SUITE 226, WHITESTONE, NY, 11357, US | 152-53 10TH AVENUE, SUITE 226, WHITESTONE, NY, 11357, US</x:v>
      </x:c>
      <x:c r="D164" t="str">
        <x:v>1230 FRANKLIN LLC</x:v>
      </x:c>
      <x:c r="E164" t="str">
        <x:v>1230 FRANKLIN, LLC</x:v>
      </x:c>
      <x:c r="F164" t="str">
        <x:v>Active name match</x:v>
      </x:c>
      <x:c r="G164" t="n">
        <x:v>1</x:v>
      </x:c>
      <x:c r="H164" t="n">
        <x:v>0</x:v>
      </x:c>
      <x:c r="I164" t="str">
        <x:v>5029808</x:v>
      </x:c>
      <x:c r="J164" t="str">
        <x:v>1230 FRANKLIN, LLC</x:v>
      </x:c>
      <x:c r="K164" s="55" t="n">
        <x:v>42670</x:v>
      </x:c>
      <x:c r="L164" t="str">
        <x:v>Queens</x:v>
      </x:c>
      <x:c r="M164" t="str">
        <x:v>New York</x:v>
      </x:c>
      <x:c r="N164" t="str">
        <x:v>DOMESTIC LIMITED LIABILITY COMPANY</x:v>
      </x:c>
      <x:c r="O164" t="str">
        <x:v>CORITSIDIS &amp; LAMBROS, PLLC</x:v>
      </x:c>
      <x:c r="P164" t="str">
        <x:v>46 TRINITY PLACE, 4TH FLOOR, NEW YORK, NY, 10006</x:v>
      </x:c>
      <x:c r="Q164" t="str"/>
      <x:c r="R164" t="str"/>
      <x:c r="S164" t="str">
        <x:v>ZANNIS ANGELIDAKIS</x:v>
      </x:c>
      <x:c r="T164" t="str">
        <x:v>152-53 10TH AVENUE, SUITE 226, WHITESTONE, NEW YORK, 11357</x:v>
      </x:c>
      <x:c r="U164" t="str"/>
      <x:c r="V164" t="str"/>
      <x:c r="W164" t="str"/>
      <x:c r="X164" t="str"/>
      <x:c r="Y164" t="str">
        <x:v>https://data.ny.gov/Economic-Development/Active-Corporations-Beginning-1800/n9v6-gdp6</x:v>
      </x:c>
    </x:row>
    <x:row r="165">
      <x:c r="A165" t="str">
        <x:v>DOS-3-055</x:v>
      </x:c>
      <x:c r="B165" t="n">
        <x:v>3</x:v>
      </x:c>
      <x:c r="C165" t="str">
        <x:v>152-53 10TH AVENUE - SUITE 226, WHITESTONE, NY, 11357, US | 152-53 10TH AVENUE, SUITE 226, WHITESTONE, NY, 11357, US</x:v>
      </x:c>
      <x:c r="D165" t="str">
        <x:v>ALBERT ROAD APARTMENTS LLC</x:v>
      </x:c>
      <x:c r="E165" t="str">
        <x:v>ALBERT ROAD APARTMENTS, LLC</x:v>
      </x:c>
      <x:c r="F165" t="str">
        <x:v>Active name match</x:v>
      </x:c>
      <x:c r="G165" t="n">
        <x:v>1</x:v>
      </x:c>
      <x:c r="H165" t="n">
        <x:v>0</x:v>
      </x:c>
      <x:c r="I165" t="str">
        <x:v>5045349</x:v>
      </x:c>
      <x:c r="J165" t="str">
        <x:v>ALBERT ROAD APARTMENTS, LLC</x:v>
      </x:c>
      <x:c r="K165" s="55" t="n">
        <x:v>42704</x:v>
      </x:c>
      <x:c r="L165" t="str">
        <x:v>Queens</x:v>
      </x:c>
      <x:c r="M165" t="str">
        <x:v>New York</x:v>
      </x:c>
      <x:c r="N165" t="str">
        <x:v>DOMESTIC LIMITED LIABILITY COMPANY</x:v>
      </x:c>
      <x:c r="O165" t="str">
        <x:v>CORTISIDIS &amp; LAMBROS, PLLC</x:v>
      </x:c>
      <x:c r="P165" t="str">
        <x:v>46 TRINITY PLACE, 4TH FLOOR, NEW YORK, NY, 10006</x:v>
      </x:c>
      <x:c r="Q165" t="str"/>
      <x:c r="R165" t="str"/>
      <x:c r="S165" t="str">
        <x:v>ZANNIS ANGELIDAKIS</x:v>
      </x:c>
      <x:c r="T165" t="str">
        <x:v>152-53 10TH AVENUE, SUITE 226, WHITESTONE, NEW YORK, 11357</x:v>
      </x:c>
      <x:c r="U165" t="str"/>
      <x:c r="V165" t="str"/>
      <x:c r="W165" t="str"/>
      <x:c r="X165" t="str"/>
      <x:c r="Y165" t="str">
        <x:v>https://data.ny.gov/Economic-Development/Active-Corporations-Beginning-1800/n9v6-gdp6</x:v>
      </x:c>
    </x:row>
    <x:row r="166">
      <x:c r="A166" t="str">
        <x:v>DOS-3-055</x:v>
      </x:c>
      <x:c r="B166" t="n">
        <x:v>3</x:v>
      </x:c>
      <x:c r="C166" t="str">
        <x:v>152-53 10TH AVENUE - SUITE 226, WHITESTONE, NY, 11357, US | 152-53 10TH AVENUE, SUITE 226, WHITESTONE, NY, 11357, US</x:v>
      </x:c>
      <x:c r="D166" t="str">
        <x:v>OP APARTMENTS LLC</x:v>
      </x:c>
      <x:c r="E166" t="str">
        <x:v>OP APARTMENTS, LLC</x:v>
      </x:c>
      <x:c r="F166" t="str">
        <x:v>Address-corroborated active match</x:v>
      </x:c>
      <x:c r="G166" t="n">
        <x:v>1</x:v>
      </x:c>
      <x:c r="H166" t="n">
        <x:v>2</x:v>
      </x:c>
      <x:c r="I166" t="str">
        <x:v>6008673</x:v>
      </x:c>
      <x:c r="J166" t="str">
        <x:v>OP APARTMENTS, LLC</x:v>
      </x:c>
      <x:c r="K166" s="55" t="n">
        <x:v>44323</x:v>
      </x:c>
      <x:c r="L166" t="str">
        <x:v>Queens</x:v>
      </x:c>
      <x:c r="M166" t="str">
        <x:v>New York</x:v>
      </x:c>
      <x:c r="N166" t="str">
        <x:v>DOMESTIC LIMITED LIABILITY COMPANY</x:v>
      </x:c>
      <x:c r="O166" t="str">
        <x:v>ZANNIS S. ANGELIDAKIS</x:v>
      </x:c>
      <x:c r="P166" t="str">
        <x:v>152-53 10TH AVENUE, SUITE 252, WHITESTONE, NY, 11357</x:v>
      </x:c>
      <x:c r="Q166" t="str"/>
      <x:c r="R166" t="str"/>
      <x:c r="S166" t="str"/>
      <x:c r="T166" t="str"/>
      <x:c r="U166" t="str"/>
      <x:c r="V166" t="str"/>
      <x:c r="W166" t="str"/>
      <x:c r="X166" t="str"/>
      <x:c r="Y166" t="str">
        <x:v>https://data.ny.gov/Economic-Development/Active-Corporations-Beginning-1800/n9v6-gdp6</x:v>
      </x:c>
    </x:row>
    <x:row r="167">
      <x:c r="A167" t="str">
        <x:v>DOS-3-056</x:v>
      </x:c>
      <x:c r="B167" t="n">
        <x:v>3</x:v>
      </x:c>
      <x:c r="C167" t="str">
        <x:v>2 CARA DRIVE, SUFFERN, NY, 10901, US</x:v>
      </x:c>
      <x:c r="D167" t="str">
        <x:v>LIGHT PROPERTY HOLDINGS ASSOCIATES LLC</x:v>
      </x:c>
      <x:c r="E167" t="str">
        <x:v>LIGHT PROPERTY HOLDINGS ASSOCIATES LLC</x:v>
      </x:c>
      <x:c r="F167" t="str">
        <x:v>Address-corroborated active match</x:v>
      </x:c>
      <x:c r="G167" t="n">
        <x:v>1</x:v>
      </x:c>
      <x:c r="H167" t="n">
        <x:v>2</x:v>
      </x:c>
      <x:c r="I167" t="str">
        <x:v>4864358</x:v>
      </x:c>
      <x:c r="J167" t="str">
        <x:v>LIGHT PROPERTY HOLDINGS ASSOCIATES LLC</x:v>
      </x:c>
      <x:c r="K167" s="55" t="n">
        <x:v>42353</x:v>
      </x:c>
      <x:c r="L167" t="str">
        <x:v>Rockland</x:v>
      </x:c>
      <x:c r="M167" t="str">
        <x:v>New York</x:v>
      </x:c>
      <x:c r="N167" t="str">
        <x:v>DOMESTIC LIMITED LIABILITY COMPANY</x:v>
      </x:c>
      <x:c r="O167" t="str">
        <x:v>C/O ISIDOR D. FRIEDENBERG, ESQ.</x:v>
      </x:c>
      <x:c r="P167" t="str">
        <x:v>2 CARA DRIVE, SUFFERN, NY, 10901</x:v>
      </x:c>
      <x:c r="Q167" t="str"/>
      <x:c r="R167" t="str"/>
      <x:c r="S167" t="str"/>
      <x:c r="T167" t="str"/>
      <x:c r="U167" t="str"/>
      <x:c r="V167" t="str"/>
      <x:c r="W167" t="str"/>
      <x:c r="X167" t="str"/>
      <x:c r="Y167" t="str">
        <x:v>https://data.ny.gov/Economic-Development/Active-Corporations-Beginning-1800/n9v6-gdp6</x:v>
      </x:c>
    </x:row>
    <x:row r="168">
      <x:c r="A168" t="str">
        <x:v>DOS-3-056</x:v>
      </x:c>
      <x:c r="B168" t="n">
        <x:v>3</x:v>
      </x:c>
      <x:c r="C168" t="str">
        <x:v>2 CARA DRIVE, SUFFERN, NY, 10901, US</x:v>
      </x:c>
      <x:c r="D168" t="str">
        <x:v>SV OPERATING I LLC</x:v>
      </x:c>
      <x:c r="E168" t="str">
        <x:v>SV OPERATING I, LLC</x:v>
      </x:c>
      <x:c r="F168" t="str">
        <x:v>Address-corroborated active match</x:v>
      </x:c>
      <x:c r="G168" t="n">
        <x:v>1</x:v>
      </x:c>
      <x:c r="H168" t="n">
        <x:v>2</x:v>
      </x:c>
      <x:c r="I168" t="str">
        <x:v>3975811</x:v>
      </x:c>
      <x:c r="J168" t="str">
        <x:v>SV OPERATING I, LLC</x:v>
      </x:c>
      <x:c r="K168" s="55" t="n">
        <x:v>40381</x:v>
      </x:c>
      <x:c r="L168" t="str">
        <x:v>Rockland</x:v>
      </x:c>
      <x:c r="M168" t="str">
        <x:v>New York</x:v>
      </x:c>
      <x:c r="N168" t="str">
        <x:v>DOMESTIC LIMITED LIABILITY COMPANY</x:v>
      </x:c>
      <x:c r="O168" t="str">
        <x:v>C/O ISIDOR D. FRIEDENBERG, ESQ.</x:v>
      </x:c>
      <x:c r="P168" t="str">
        <x:v>2 CARA DRIVE, SUFFERN, NY, 10901</x:v>
      </x:c>
      <x:c r="Q168" t="str"/>
      <x:c r="R168" t="str"/>
      <x:c r="S168" t="str"/>
      <x:c r="T168" t="str"/>
      <x:c r="U168" t="str"/>
      <x:c r="V168" t="str"/>
      <x:c r="W168" t="str"/>
      <x:c r="X168" t="str"/>
      <x:c r="Y168" t="str">
        <x:v>https://data.ny.gov/Economic-Development/Active-Corporations-Beginning-1800/n9v6-gdp6</x:v>
      </x:c>
    </x:row>
    <x:row r="169">
      <x:c r="A169" t="str">
        <x:v>DOS-3-056</x:v>
      </x:c>
      <x:c r="B169" t="n">
        <x:v>3</x:v>
      </x:c>
      <x:c r="C169" t="str">
        <x:v>2 CARA DRIVE, SUFFERN, NY, 10901, US</x:v>
      </x:c>
      <x:c r="D169" t="str">
        <x:v>WART REALTY II LLC</x:v>
      </x:c>
      <x:c r="E169" t="str">
        <x:v>WART REALTY II LLC</x:v>
      </x:c>
      <x:c r="F169" t="str">
        <x:v>Address-corroborated active match</x:v>
      </x:c>
      <x:c r="G169" t="n">
        <x:v>1</x:v>
      </x:c>
      <x:c r="H169" t="n">
        <x:v>2</x:v>
      </x:c>
      <x:c r="I169" t="str">
        <x:v>3923026</x:v>
      </x:c>
      <x:c r="J169" t="str">
        <x:v>WART REALTY II LLC</x:v>
      </x:c>
      <x:c r="K169" s="55" t="n">
        <x:v>40248</x:v>
      </x:c>
      <x:c r="L169" t="str">
        <x:v>Rockland</x:v>
      </x:c>
      <x:c r="M169" t="str">
        <x:v>New York</x:v>
      </x:c>
      <x:c r="N169" t="str">
        <x:v>DOMESTIC LIMITED LIABILITY COMPANY</x:v>
      </x:c>
      <x:c r="O169" t="str">
        <x:v>C/O ISIDOR D FRIEDENBERG ESQ</x:v>
      </x:c>
      <x:c r="P169" t="str">
        <x:v>2 CARA DRIVE, SUFFERN, NY, 10901</x:v>
      </x:c>
      <x:c r="Q169" t="str"/>
      <x:c r="R169" t="str"/>
      <x:c r="S169" t="str"/>
      <x:c r="T169" t="str"/>
      <x:c r="U169" t="str"/>
      <x:c r="V169" t="str"/>
      <x:c r="W169" t="str"/>
      <x:c r="X169" t="str"/>
      <x:c r="Y169" t="str">
        <x:v>https://data.ny.gov/Economic-Development/Active-Corporations-Beginning-1800/n9v6-gdp6</x:v>
      </x:c>
    </x:row>
    <x:row r="170">
      <x:c r="A170" t="str">
        <x:v>DOS-3-057</x:v>
      </x:c>
      <x:c r="B170" t="n">
        <x:v>3</x:v>
      </x:c>
      <x:c r="C170" t="str">
        <x:v>20 RENWICK STREET, NEW YORK, NY, 10013, US</x:v>
      </x:c>
      <x:c r="D170" t="str">
        <x:v>20 RENWICK LLC</x:v>
      </x:c>
      <x:c r="E170" t="str">
        <x:v>20 RENWICK, LLC</x:v>
      </x:c>
      <x:c r="F170" t="str">
        <x:v>Address-corroborated active match</x:v>
      </x:c>
      <x:c r="G170" t="n">
        <x:v>1</x:v>
      </x:c>
      <x:c r="H170" t="n">
        <x:v>2</x:v>
      </x:c>
      <x:c r="I170" t="str">
        <x:v>4509394</x:v>
      </x:c>
      <x:c r="J170" t="str">
        <x:v>20 RENWICK, LLC</x:v>
      </x:c>
      <x:c r="K170" s="55" t="n">
        <x:v>41646</x:v>
      </x:c>
      <x:c r="L170" t="str">
        <x:v>New York</x:v>
      </x:c>
      <x:c r="M170" t="str">
        <x:v>New York</x:v>
      </x:c>
      <x:c r="N170" t="str">
        <x:v>DOMESTIC LIMITED LIABILITY COMPANY</x:v>
      </x:c>
      <x:c r="O170" t="str">
        <x:v>20 RENWICK, LLC</x:v>
      </x:c>
      <x:c r="P170" t="str">
        <x:v>20 RENWICK STREET, NEW YORK, NY, 10013</x:v>
      </x:c>
      <x:c r="Q170" t="str"/>
      <x:c r="R170" t="str"/>
      <x:c r="S170" t="str"/>
      <x:c r="T170" t="str"/>
      <x:c r="U170" t="str"/>
      <x:c r="V170" t="str"/>
      <x:c r="W170" t="str"/>
      <x:c r="X170" t="str"/>
      <x:c r="Y170" t="str">
        <x:v>https://data.ny.gov/Economic-Development/Active-Corporations-Beginning-1800/n9v6-gdp6</x:v>
      </x:c>
    </x:row>
    <x:row r="171">
      <x:c r="A171" t="str">
        <x:v>DOS-3-057</x:v>
      </x:c>
      <x:c r="B171" t="n">
        <x:v>3</x:v>
      </x:c>
      <x:c r="C171" t="str">
        <x:v>20 RENWICK STREET, NEW YORK, NY, 10013, US</x:v>
      </x:c>
      <x:c r="D171" t="str">
        <x:v>285 THIRD LLC</x:v>
      </x:c>
      <x:c r="E171" t="str">
        <x:v>285 THIRD, LLC</x:v>
      </x:c>
      <x:c r="F171" t="str">
        <x:v>Address-corroborated active match</x:v>
      </x:c>
      <x:c r="G171" t="n">
        <x:v>1</x:v>
      </x:c>
      <x:c r="H171" t="n">
        <x:v>2</x:v>
      </x:c>
      <x:c r="I171" t="str">
        <x:v>4505038</x:v>
      </x:c>
      <x:c r="J171" t="str">
        <x:v>285 THIRD, LLC</x:v>
      </x:c>
      <x:c r="K171" s="55" t="n">
        <x:v>41632</x:v>
      </x:c>
      <x:c r="L171" t="str">
        <x:v>New York</x:v>
      </x:c>
      <x:c r="M171" t="str">
        <x:v>New York</x:v>
      </x:c>
      <x:c r="N171" t="str">
        <x:v>DOMESTIC LIMITED LIABILITY COMPANY</x:v>
      </x:c>
      <x:c r="O171" t="str">
        <x:v>285 THIRD, LLC</x:v>
      </x:c>
      <x:c r="P171" t="str">
        <x:v>20 RENWICK STREET, NEW YORK, NY, 10013</x:v>
      </x:c>
      <x:c r="Q171" t="str"/>
      <x:c r="R171" t="str"/>
      <x:c r="S171" t="str"/>
      <x:c r="T171" t="str"/>
      <x:c r="U171" t="str"/>
      <x:c r="V171" t="str"/>
      <x:c r="W171" t="str"/>
      <x:c r="X171" t="str"/>
      <x:c r="Y171" t="str">
        <x:v>https://data.ny.gov/Economic-Development/Active-Corporations-Beginning-1800/n9v6-gdp6</x:v>
      </x:c>
    </x:row>
    <x:row r="172">
      <x:c r="A172" t="str">
        <x:v>DOS-3-057</x:v>
      </x:c>
      <x:c r="B172" t="n">
        <x:v>3</x:v>
      </x:c>
      <x:c r="C172" t="str">
        <x:v>20 RENWICK STREET, NEW YORK, NY, 10013, US</x:v>
      </x:c>
      <x:c r="D172" t="str">
        <x:v>524 BEACH LLC</x:v>
      </x:c>
      <x:c r="E172" t="str">
        <x:v>524 BEACH LLC</x:v>
      </x:c>
      <x:c r="F172" t="str">
        <x:v>Address-corroborated active match</x:v>
      </x:c>
      <x:c r="G172" t="n">
        <x:v>1</x:v>
      </x:c>
      <x:c r="H172" t="n">
        <x:v>2</x:v>
      </x:c>
      <x:c r="I172" t="str">
        <x:v>4504903</x:v>
      </x:c>
      <x:c r="J172" t="str">
        <x:v>524 BEACH, LLC</x:v>
      </x:c>
      <x:c r="K172" s="55" t="n">
        <x:v>41632</x:v>
      </x:c>
      <x:c r="L172" t="str">
        <x:v>New York</x:v>
      </x:c>
      <x:c r="M172" t="str">
        <x:v>New York</x:v>
      </x:c>
      <x:c r="N172" t="str">
        <x:v>DOMESTIC LIMITED LIABILITY COMPANY</x:v>
      </x:c>
      <x:c r="O172" t="str">
        <x:v>524 BEACH, LLC</x:v>
      </x:c>
      <x:c r="P172" t="str">
        <x:v>20 RENWICK STREET, NEW YORK, NY, 10013</x:v>
      </x:c>
      <x:c r="Q172" t="str"/>
      <x:c r="R172" t="str"/>
      <x:c r="S172" t="str"/>
      <x:c r="T172" t="str"/>
      <x:c r="U172" t="str"/>
      <x:c r="V172" t="str"/>
      <x:c r="W172" t="str"/>
      <x:c r="X172" t="str"/>
      <x:c r="Y172" t="str">
        <x:v>https://data.ny.gov/Economic-Development/Active-Corporations-Beginning-1800/n9v6-gdp6</x:v>
      </x:c>
    </x:row>
    <x:row r="173">
      <x:c r="A173" t="str">
        <x:v>DOS-3-058</x:v>
      </x:c>
      <x:c r="B173" t="n">
        <x:v>3</x:v>
      </x:c>
      <x:c r="C173" t="str">
        <x:v>200 S. BISCAYNE BLVD, SUITE 3550, MIAMI, FL, 33131, US | 200 S. BISCAYNE BLVD., SUITE 3550, MIAMI, FL, 33131, US</x:v>
      </x:c>
      <x:c r="D173" t="str">
        <x:v>RREF IV D DLI GS BROOKLYN LLC</x:v>
      </x:c>
      <x:c r="E173" t="str">
        <x:v>RREF IV - D DLI GS BROOKLYN, LLC</x:v>
      </x:c>
      <x:c r="F173" t="str">
        <x:v>Active name match</x:v>
      </x:c>
      <x:c r="G173" t="n">
        <x:v>1</x:v>
      </x:c>
      <x:c r="H173" t="n">
        <x:v>0</x:v>
      </x:c>
      <x:c r="I173" t="str">
        <x:v>7003248</x:v>
      </x:c>
      <x:c r="J173" t="str">
        <x:v>RREF IV - D DLI GS BROOKLYN, LLC</x:v>
      </x:c>
      <x:c r="K173" s="55" t="n">
        <x:v>45152</x:v>
      </x:c>
      <x:c r="L173" t="str">
        <x:v>New York</x:v>
      </x:c>
      <x:c r="M173" t="str">
        <x:v>Delaware</x:v>
      </x:c>
      <x:c r="N173" t="str">
        <x:v>FOREIGN LIMITED LIABILITY COMPANY</x:v>
      </x:c>
      <x:c r="O173" t="str">
        <x:v>C/O C T CORPORATION SYSTEM</x:v>
      </x:c>
      <x:c r="P173" t="str">
        <x:v>28 LIBERTY STREET, NEW YORK, NY, 10005</x:v>
      </x:c>
      <x:c r="Q173" t="str"/>
      <x:c r="R173" t="str"/>
      <x:c r="S173" t="str">
        <x:v>C T CORPORATION SYSTEM</x:v>
      </x:c>
      <x:c r="T173" t="str">
        <x:v>28 LIBERTY STREET, NEW YORK, NEW YORK, 10005</x:v>
      </x:c>
      <x:c r="U173" t="str"/>
      <x:c r="V173" t="str"/>
      <x:c r="W173" t="str"/>
      <x:c r="X173" t="str"/>
      <x:c r="Y173" t="str">
        <x:v>https://data.ny.gov/Economic-Development/Active-Corporations-Beginning-1800/n9v6-gdp6</x:v>
      </x:c>
    </x:row>
    <x:row r="174">
      <x:c r="A174" t="str">
        <x:v>DOS-3-058</x:v>
      </x:c>
      <x:c r="B174" t="n">
        <x:v>3</x:v>
      </x:c>
      <x:c r="C174" t="str">
        <x:v>200 S. BISCAYNE BLVD, SUITE 3550, MIAMI, FL, 33131, US | 200 S. BISCAYNE BLVD., SUITE 3550, MIAMI, FL, 33131, US</x:v>
      </x:c>
      <x:c r="D174" t="str">
        <x:v>RSS UBSCM2018 C9 NY M3S LLC</x:v>
      </x:c>
      <x:c r="E174" t="str">
        <x:v>RSS UBSCM2018-C9 - NY M3S, LLC</x:v>
      </x:c>
      <x:c r="F174" t="str">
        <x:v>Active name match</x:v>
      </x:c>
      <x:c r="G174" t="n">
        <x:v>1</x:v>
      </x:c>
      <x:c r="H174" t="n">
        <x:v>0</x:v>
      </x:c>
      <x:c r="I174" t="str">
        <x:v>7511747</x:v>
      </x:c>
      <x:c r="J174" t="str">
        <x:v>RSS UBSCM2018-C9 - NY M3S, LLC</x:v>
      </x:c>
      <x:c r="K174" s="55" t="n">
        <x:v>45674</x:v>
      </x:c>
      <x:c r="L174" t="str">
        <x:v>New York</x:v>
      </x:c>
      <x:c r="M174" t="str">
        <x:v>New York</x:v>
      </x:c>
      <x:c r="N174" t="str">
        <x:v>DOMESTIC LIMITED LIABILITY COMPANY</x:v>
      </x:c>
      <x:c r="O174" t="str">
        <x:v>C/O C T CORPORATION SYSTEM</x:v>
      </x:c>
      <x:c r="P174" t="str">
        <x:v>28 LIBERTY STREET, NEW YORK, NY, 10005</x:v>
      </x:c>
      <x:c r="Q174" t="str"/>
      <x:c r="R174" t="str"/>
      <x:c r="S174" t="str">
        <x:v>C T CORPORATION SYSTEM</x:v>
      </x:c>
      <x:c r="T174" t="str">
        <x:v>28 LIBERTY STREET, NEW YORK, NEW YORK, 10005</x:v>
      </x:c>
      <x:c r="U174" t="str"/>
      <x:c r="V174" t="str"/>
      <x:c r="W174" t="str"/>
      <x:c r="X174" t="str"/>
      <x:c r="Y174" t="str">
        <x:v>https://data.ny.gov/Economic-Development/Active-Corporations-Beginning-1800/n9v6-gdp6</x:v>
      </x:c>
    </x:row>
    <x:row r="175">
      <x:c r="A175" t="str">
        <x:v>DOS-3-058</x:v>
      </x:c>
      <x:c r="B175" t="n">
        <x:v>3</x:v>
      </x:c>
      <x:c r="C175" t="str">
        <x:v>200 S. BISCAYNE BLVD, SUITE 3550, MIAMI, FL, 33131, US | 200 S. BISCAYNE BLVD., SUITE 3550, MIAMI, FL, 33131, US</x:v>
      </x:c>
      <x:c r="D175" t="str">
        <x:v>RSS WFCM 2015 LC20 NY 377 LLC</x:v>
      </x:c>
      <x:c r="E175" t="str">
        <x:v>RSS WFCM 2015-LC20-NY 377, LLC</x:v>
      </x:c>
      <x:c r="F175" t="str">
        <x:v>Active name match</x:v>
      </x:c>
      <x:c r="G175" t="n">
        <x:v>1</x:v>
      </x:c>
      <x:c r="H175" t="n">
        <x:v>0</x:v>
      </x:c>
      <x:c r="I175" t="str">
        <x:v>5697560</x:v>
      </x:c>
      <x:c r="J175" t="str">
        <x:v>RSS WFCM 2015-LC20-NY 377, LLC</x:v>
      </x:c>
      <x:c r="K175" s="55" t="n">
        <x:v>43858</x:v>
      </x:c>
      <x:c r="L175" t="str">
        <x:v>New York</x:v>
      </x:c>
      <x:c r="M175" t="str">
        <x:v>New York</x:v>
      </x:c>
      <x:c r="N175" t="str">
        <x:v>DOMESTIC LIMITED LIABILITY COMPANY</x:v>
      </x:c>
      <x:c r="O175" t="str">
        <x:v>C/O C T CORPORATION SYSTEM</x:v>
      </x:c>
      <x:c r="P175" t="str">
        <x:v>28 LIBERTY STREET, NEW YORK, NY, 10005</x:v>
      </x:c>
      <x:c r="Q175" t="str"/>
      <x:c r="R175" t="str"/>
      <x:c r="S175" t="str">
        <x:v>C T CORPORATION SYSTEM</x:v>
      </x:c>
      <x:c r="T175" t="str">
        <x:v>28 LIBERTY STREET, NEW YORK, NEW YORK, 10005</x:v>
      </x:c>
      <x:c r="U175" t="str"/>
      <x:c r="V175" t="str"/>
      <x:c r="W175" t="str"/>
      <x:c r="X175" t="str"/>
      <x:c r="Y175" t="str">
        <x:v>https://data.ny.gov/Economic-Development/Active-Corporations-Beginning-1800/n9v6-gdp6</x:v>
      </x:c>
    </x:row>
    <x:row r="176">
      <x:c r="A176" t="str">
        <x:v>DOS-3-059</x:v>
      </x:c>
      <x:c r="B176" t="n">
        <x:v>3</x:v>
      </x:c>
      <x:c r="C176" t="str">
        <x:v>208 DRIGGS AVENUE, BROOKLYN, NY, 11222, US</x:v>
      </x:c>
      <x:c r="D176" t="str">
        <x:v>APEX FORRESTER LLC</x:v>
      </x:c>
      <x:c r="E176" t="str">
        <x:v>APEX FORRESTER LLC</x:v>
      </x:c>
      <x:c r="F176" t="str">
        <x:v>Active name match</x:v>
      </x:c>
      <x:c r="G176" t="n">
        <x:v>1</x:v>
      </x:c>
      <x:c r="H176" t="n">
        <x:v>0</x:v>
      </x:c>
      <x:c r="I176" t="str">
        <x:v>4760161</x:v>
      </x:c>
      <x:c r="J176" t="str">
        <x:v>APEX FORRESTER LLC</x:v>
      </x:c>
      <x:c r="K176" s="55" t="n">
        <x:v>42142</x:v>
      </x:c>
      <x:c r="L176" t="str">
        <x:v>Columbia</x:v>
      </x:c>
      <x:c r="M176" t="str">
        <x:v>New York</x:v>
      </x:c>
      <x:c r="N176" t="str">
        <x:v>DOMESTIC LIMITED LIABILITY COMPANY</x:v>
      </x:c>
      <x:c r="O176" t="str">
        <x:v>C/O WHITBECK BENEDICT &amp; SMITH LLP</x:v>
      </x:c>
      <x:c r="P176" t="str">
        <x:v>436 UNION STREET, HUDSON, NY, 12534</x:v>
      </x:c>
      <x:c r="Q176" t="str"/>
      <x:c r="R176" t="str"/>
      <x:c r="S176" t="str"/>
      <x:c r="T176" t="str"/>
      <x:c r="U176" t="str"/>
      <x:c r="V176" t="str"/>
      <x:c r="W176" t="str"/>
      <x:c r="X176" t="str"/>
      <x:c r="Y176" t="str">
        <x:v>https://data.ny.gov/Economic-Development/Active-Corporations-Beginning-1800/n9v6-gdp6</x:v>
      </x:c>
    </x:row>
    <x:row r="177">
      <x:c r="A177" t="str">
        <x:v>DOS-3-059</x:v>
      </x:c>
      <x:c r="B177" t="n">
        <x:v>3</x:v>
      </x:c>
      <x:c r="C177" t="str">
        <x:v>208 DRIGGS AVENUE, BROOKLYN, NY, 11222, US</x:v>
      </x:c>
      <x:c r="D177" t="str">
        <x:v>GREEN ACRES H C LLC</x:v>
      </x:c>
      <x:c r="E177" t="str">
        <x:v>GREEN ACRES H.C. LLC</x:v>
      </x:c>
      <x:c r="F177" t="str">
        <x:v>Active name match</x:v>
      </x:c>
      <x:c r="G177" t="n">
        <x:v>1</x:v>
      </x:c>
      <x:c r="H177" t="n">
        <x:v>0</x:v>
      </x:c>
      <x:c r="I177" t="str">
        <x:v>4760150</x:v>
      </x:c>
      <x:c r="J177" t="str">
        <x:v>GREEN ACRES H.C. LLC</x:v>
      </x:c>
      <x:c r="K177" s="55" t="n">
        <x:v>42142</x:v>
      </x:c>
      <x:c r="L177" t="str">
        <x:v>Columbia</x:v>
      </x:c>
      <x:c r="M177" t="str">
        <x:v>New York</x:v>
      </x:c>
      <x:c r="N177" t="str">
        <x:v>DOMESTIC LIMITED LIABILITY COMPANY</x:v>
      </x:c>
      <x:c r="O177" t="str">
        <x:v>C/O WHITBECK BENEDICT &amp; SMITH LLP</x:v>
      </x:c>
      <x:c r="P177" t="str">
        <x:v>436 UNION STREET, HUDSON, NY, 12534</x:v>
      </x:c>
      <x:c r="Q177" t="str"/>
      <x:c r="R177" t="str"/>
      <x:c r="S177" t="str"/>
      <x:c r="T177" t="str"/>
      <x:c r="U177" t="str"/>
      <x:c r="V177" t="str"/>
      <x:c r="W177" t="str"/>
      <x:c r="X177" t="str"/>
      <x:c r="Y177" t="str">
        <x:v>https://data.ny.gov/Economic-Development/Active-Corporations-Beginning-1800/n9v6-gdp6</x:v>
      </x:c>
    </x:row>
    <x:row r="178">
      <x:c r="A178" t="str">
        <x:v>DOS-3-059</x:v>
      </x:c>
      <x:c r="B178" t="n">
        <x:v>3</x:v>
      </x:c>
      <x:c r="C178" t="str">
        <x:v>208 DRIGGS AVENUE, BROOKLYN, NY, 11222, US</x:v>
      </x:c>
      <x:c r="D178" t="str">
        <x:v>Q ROCK LLC</x:v>
      </x:c>
      <x:c r="E178" t="str">
        <x:v>Q-ROCK LLC</x:v>
      </x:c>
      <x:c r="F178" t="str">
        <x:v>Active name match</x:v>
      </x:c>
      <x:c r="G178" t="n">
        <x:v>1</x:v>
      </x:c>
      <x:c r="H178" t="n">
        <x:v>0</x:v>
      </x:c>
      <x:c r="I178" t="str">
        <x:v>5523739</x:v>
      </x:c>
      <x:c r="J178" t="str">
        <x:v>Q-ROCK LLC</x:v>
      </x:c>
      <x:c r="K178" s="55" t="n">
        <x:v>43553</x:v>
      </x:c>
      <x:c r="L178" t="str">
        <x:v>Columbia</x:v>
      </x:c>
      <x:c r="M178" t="str">
        <x:v>New York</x:v>
      </x:c>
      <x:c r="N178" t="str">
        <x:v>DOMESTIC LIMITED LIABILITY COMPANY</x:v>
      </x:c>
      <x:c r="O178" t="str">
        <x:v>Q-ROCK LLC</x:v>
      </x:c>
      <x:c r="P178" t="str">
        <x:v>436 UNION STREET, HUDSON, NY, 12534</x:v>
      </x:c>
      <x:c r="Q178" t="str"/>
      <x:c r="R178" t="str"/>
      <x:c r="S178" t="str"/>
      <x:c r="T178" t="str"/>
      <x:c r="U178" t="str"/>
      <x:c r="V178" t="str"/>
      <x:c r="W178" t="str"/>
      <x:c r="X178" t="str"/>
      <x:c r="Y178" t="str">
        <x:v>https://data.ny.gov/Economic-Development/Active-Corporations-Beginning-1800/n9v6-gdp6</x:v>
      </x:c>
    </x:row>
    <x:row r="179">
      <x:c r="A179" t="str">
        <x:v>DOS-3-060</x:v>
      </x:c>
      <x:c r="B179" t="n">
        <x:v>3</x:v>
      </x:c>
      <x:c r="C179" t="str">
        <x:v>25 MARKET STREET, NEW YORK, NY, 10002, US</x:v>
      </x:c>
      <x:c r="D179" t="str">
        <x:v>8306 BROADWAY LLC</x:v>
      </x:c>
      <x:c r="E179" t="str">
        <x:v>8306 BROADWAY LLC</x:v>
      </x:c>
      <x:c r="F179" t="str">
        <x:v>Address-corroborated active match</x:v>
      </x:c>
      <x:c r="G179" t="n">
        <x:v>1</x:v>
      </x:c>
      <x:c r="H179" t="n">
        <x:v>2</x:v>
      </x:c>
      <x:c r="I179" t="str">
        <x:v>5877199</x:v>
      </x:c>
      <x:c r="J179" t="str">
        <x:v>8306 BROADWAY LLC</x:v>
      </x:c>
      <x:c r="K179" s="55" t="n">
        <x:v>44147</x:v>
      </x:c>
      <x:c r="L179" t="str">
        <x:v>Queens</x:v>
      </x:c>
      <x:c r="M179" t="str">
        <x:v>New York</x:v>
      </x:c>
      <x:c r="N179" t="str">
        <x:v>DOMESTIC LIMITED LIABILITY COMPANY</x:v>
      </x:c>
      <x:c r="O179" t="str">
        <x:v>8306 BROADWAY LLC</x:v>
      </x:c>
      <x:c r="P179" t="str">
        <x:v>25 MARKET STREET, NEW YORK, NY, 10002</x:v>
      </x:c>
      <x:c r="Q179" t="str"/>
      <x:c r="R179" t="str"/>
      <x:c r="S179" t="str"/>
      <x:c r="T179" t="str"/>
      <x:c r="U179" t="str"/>
      <x:c r="V179" t="str"/>
      <x:c r="W179" t="str"/>
      <x:c r="X179" t="str"/>
      <x:c r="Y179" t="str">
        <x:v>https://data.ny.gov/Economic-Development/Active-Corporations-Beginning-1800/n9v6-gdp6</x:v>
      </x:c>
    </x:row>
    <x:row r="180">
      <x:c r="A180" t="str">
        <x:v>DOS-3-060</x:v>
      </x:c>
      <x:c r="B180" t="n">
        <x:v>3</x:v>
      </x:c>
      <x:c r="C180" t="str">
        <x:v>25 MARKET STREET, NEW YORK, NY, 10002, US</x:v>
      </x:c>
      <x:c r="D180" t="str">
        <x:v>FMJ DEVELOPMENT NY LLC</x:v>
      </x:c>
      <x:c r="E180" t="str">
        <x:v>FMJ DEVELOPMENT NY LLC</x:v>
      </x:c>
      <x:c r="F180" t="str">
        <x:v>Address-corroborated active match</x:v>
      </x:c>
      <x:c r="G180" t="n">
        <x:v>1</x:v>
      </x:c>
      <x:c r="H180" t="n">
        <x:v>2</x:v>
      </x:c>
      <x:c r="I180" t="str">
        <x:v>4828821</x:v>
      </x:c>
      <x:c r="J180" t="str">
        <x:v>FMJ DEVELOPMENT (NY) LLC</x:v>
      </x:c>
      <x:c r="K180" s="55" t="n">
        <x:v>42279</x:v>
      </x:c>
      <x:c r="L180" t="str">
        <x:v>New York</x:v>
      </x:c>
      <x:c r="M180" t="str">
        <x:v>New York</x:v>
      </x:c>
      <x:c r="N180" t="str">
        <x:v>DOMESTIC LIMITED LIABILITY COMPANY</x:v>
      </x:c>
      <x:c r="O180" t="str">
        <x:v>FMJ DEVELOPMENT (NY) LLC</x:v>
      </x:c>
      <x:c r="P180" t="str">
        <x:v>25 MARKET STREET, NEW YORK, NY, 10002</x:v>
      </x:c>
      <x:c r="Q180" t="str"/>
      <x:c r="R180" t="str"/>
      <x:c r="S180" t="str"/>
      <x:c r="T180" t="str"/>
      <x:c r="U180" t="str"/>
      <x:c r="V180" t="str"/>
      <x:c r="W180" t="str"/>
      <x:c r="X180" t="str"/>
      <x:c r="Y180" t="str">
        <x:v>https://data.ny.gov/Economic-Development/Active-Corporations-Beginning-1800/n9v6-gdp6</x:v>
      </x:c>
    </x:row>
    <x:row r="181">
      <x:c r="A181" t="str">
        <x:v>DOS-3-060</x:v>
      </x:c>
      <x:c r="B181" t="n">
        <x:v>3</x:v>
      </x:c>
      <x:c r="C181" t="str">
        <x:v>25 MARKET STREET, NEW YORK, NY, 10002, US</x:v>
      </x:c>
      <x:c r="D181" t="str">
        <x:v>GOLDEN OX REALTY ER LLC</x:v>
      </x:c>
      <x:c r="E181" t="str">
        <x:v>GOLDEN OX REALTY ER LLC</x:v>
      </x:c>
      <x:c r="F181" t="str">
        <x:v>Address-corroborated active match</x:v>
      </x:c>
      <x:c r="G181" t="n">
        <x:v>1</x:v>
      </x:c>
      <x:c r="H181" t="n">
        <x:v>2</x:v>
      </x:c>
      <x:c r="I181" t="str">
        <x:v>5402941</x:v>
      </x:c>
      <x:c r="J181" t="str">
        <x:v>GOLDEN OX REALTY ER LLC</x:v>
      </x:c>
      <x:c r="K181" s="55" t="n">
        <x:v>43343</x:v>
      </x:c>
      <x:c r="L181" t="str">
        <x:v>New York</x:v>
      </x:c>
      <x:c r="M181" t="str">
        <x:v>New York</x:v>
      </x:c>
      <x:c r="N181" t="str">
        <x:v>DOMESTIC LIMITED LIABILITY COMPANY</x:v>
      </x:c>
      <x:c r="O181" t="str">
        <x:v>GOLDEN OX REALTY ER LLC</x:v>
      </x:c>
      <x:c r="P181" t="str">
        <x:v>25 MARKET STREET, NEW YORK, NY, 10002</x:v>
      </x:c>
      <x:c r="Q181" t="str"/>
      <x:c r="R181" t="str"/>
      <x:c r="S181" t="str"/>
      <x:c r="T181" t="str"/>
      <x:c r="U181" t="str"/>
      <x:c r="V181" t="str"/>
      <x:c r="W181" t="str"/>
      <x:c r="X181" t="str"/>
      <x:c r="Y181" t="str">
        <x:v>https://data.ny.gov/Economic-Development/Active-Corporations-Beginning-1800/n9v6-gdp6</x:v>
      </x:c>
    </x:row>
    <x:row r="182">
      <x:c r="A182" t="str">
        <x:v>DOS-3-061</x:v>
      </x:c>
      <x:c r="B182" t="n">
        <x:v>3</x:v>
      </x:c>
      <x:c r="C182" t="str">
        <x:v>2727 NORTH CENTRAL AVENUE, PHOENIX, AZ, 85004, US</x:v>
      </x:c>
      <x:c r="D182" t="str">
        <x:v>AREC 13 LLC</x:v>
      </x:c>
      <x:c r="E182" t="str">
        <x:v>AREC 13, LLC</x:v>
      </x:c>
      <x:c r="F182" t="str">
        <x:v>Active name match</x:v>
      </x:c>
      <x:c r="G182" t="n">
        <x:v>1</x:v>
      </x:c>
      <x:c r="H182" t="n">
        <x:v>0</x:v>
      </x:c>
      <x:c r="I182" t="str">
        <x:v>3216994</x:v>
      </x:c>
      <x:c r="J182" t="str">
        <x:v>AREC 13, LLC</x:v>
      </x:c>
      <x:c r="K182" s="55" t="n">
        <x:v>38513</x:v>
      </x:c>
      <x:c r="L182" t="str">
        <x:v>New York</x:v>
      </x:c>
      <x:c r="M182" t="str">
        <x:v>Delaware</x:v>
      </x:c>
      <x:c r="N182" t="str">
        <x:v>FOREIGN LIMITED LIABILITY COMPANY</x:v>
      </x:c>
      <x:c r="O182" t="str">
        <x:v>C T CORPORATION SYSTEM</x:v>
      </x:c>
      <x:c r="P182" t="str">
        <x:v>28 LIBERTY ST., NEW YORK, NY, 10005</x:v>
      </x:c>
      <x:c r="Q182" t="str"/>
      <x:c r="R182" t="str"/>
      <x:c r="S182" t="str">
        <x:v>C T CORPORATION SYSTEM</x:v>
      </x:c>
      <x:c r="T182" t="str">
        <x:v>28 LIBERTY ST., NEW YORK, NEW YORK, 10005</x:v>
      </x:c>
      <x:c r="U182" t="str"/>
      <x:c r="V182" t="str"/>
      <x:c r="W182" t="str"/>
      <x:c r="X182" t="str"/>
      <x:c r="Y182" t="str">
        <x:v>https://data.ny.gov/Economic-Development/Active-Corporations-Beginning-1800/n9v6-gdp6</x:v>
      </x:c>
    </x:row>
    <x:row r="183">
      <x:c r="A183" t="str">
        <x:v>DOS-3-061</x:v>
      </x:c>
      <x:c r="B183" t="n">
        <x:v>3</x:v>
      </x:c>
      <x:c r="C183" t="str">
        <x:v>2727 NORTH CENTRAL AVENUE, PHOENIX, AZ, 85004, US</x:v>
      </x:c>
      <x:c r="D183" t="str">
        <x:v>AREC 6 LLC</x:v>
      </x:c>
      <x:c r="E183" t="str">
        <x:v>AREC 6, LLC</x:v>
      </x:c>
      <x:c r="F183" t="str">
        <x:v>Active name match</x:v>
      </x:c>
      <x:c r="G183" t="n">
        <x:v>1</x:v>
      </x:c>
      <x:c r="H183" t="n">
        <x:v>0</x:v>
      </x:c>
      <x:c r="I183" t="str">
        <x:v>3217053</x:v>
      </x:c>
      <x:c r="J183" t="str">
        <x:v>AREC 6, LLC</x:v>
      </x:c>
      <x:c r="K183" s="55" t="n">
        <x:v>38513</x:v>
      </x:c>
      <x:c r="L183" t="str">
        <x:v>New York</x:v>
      </x:c>
      <x:c r="M183" t="str">
        <x:v>Delaware</x:v>
      </x:c>
      <x:c r="N183" t="str">
        <x:v>FOREIGN LIMITED LIABILITY COMPANY</x:v>
      </x:c>
      <x:c r="O183" t="str">
        <x:v>C T CORPORATION SYSTEM</x:v>
      </x:c>
      <x:c r="P183" t="str">
        <x:v>28 LIBERTY ST., NEW YORK, NY, 10005</x:v>
      </x:c>
      <x:c r="Q183" t="str"/>
      <x:c r="R183" t="str"/>
      <x:c r="S183" t="str">
        <x:v>C T CORPORATION SYSTEM</x:v>
      </x:c>
      <x:c r="T183" t="str">
        <x:v>28 LIBERTY ST., NEW YORK, NEW YORK, 10005</x:v>
      </x:c>
      <x:c r="U183" t="str"/>
      <x:c r="V183" t="str"/>
      <x:c r="W183" t="str"/>
      <x:c r="X183" t="str"/>
      <x:c r="Y183" t="str">
        <x:v>https://data.ny.gov/Economic-Development/Active-Corporations-Beginning-1800/n9v6-gdp6</x:v>
      </x:c>
    </x:row>
    <x:row r="184">
      <x:c r="A184" t="str">
        <x:v>DOS-3-061</x:v>
      </x:c>
      <x:c r="B184" t="n">
        <x:v>3</x:v>
      </x:c>
      <x:c r="C184" t="str">
        <x:v>2727 NORTH CENTRAL AVENUE, PHOENIX, AZ, 85004, US</x:v>
      </x:c>
      <x:c r="D184" t="str">
        <x:v>AREC 9 LLC</x:v>
      </x:c>
      <x:c r="E184" t="str">
        <x:v>AREC 9, LLC</x:v>
      </x:c>
      <x:c r="F184" t="str">
        <x:v>Active name match</x:v>
      </x:c>
      <x:c r="G184" t="n">
        <x:v>1</x:v>
      </x:c>
      <x:c r="H184" t="n">
        <x:v>0</x:v>
      </x:c>
      <x:c r="I184" t="str">
        <x:v>3216989</x:v>
      </x:c>
      <x:c r="J184" t="str">
        <x:v>AREC 9, LLC</x:v>
      </x:c>
      <x:c r="K184" s="55" t="n">
        <x:v>38513</x:v>
      </x:c>
      <x:c r="L184" t="str">
        <x:v>New York</x:v>
      </x:c>
      <x:c r="M184" t="str">
        <x:v>Delaware</x:v>
      </x:c>
      <x:c r="N184" t="str">
        <x:v>FOREIGN LIMITED LIABILITY COMPANY</x:v>
      </x:c>
      <x:c r="O184" t="str">
        <x:v>C T CORPORATION SYSTEM</x:v>
      </x:c>
      <x:c r="P184" t="str">
        <x:v>28 LIBERTY ST., NEW YORK, NY, 10005</x:v>
      </x:c>
      <x:c r="Q184" t="str"/>
      <x:c r="R184" t="str"/>
      <x:c r="S184" t="str">
        <x:v>C T CORPORATION SYSTEM</x:v>
      </x:c>
      <x:c r="T184" t="str">
        <x:v>28 LIBERTY ST., NEW YORK, NEW YORK, 10005</x:v>
      </x:c>
      <x:c r="U184" t="str"/>
      <x:c r="V184" t="str"/>
      <x:c r="W184" t="str"/>
      <x:c r="X184" t="str"/>
      <x:c r="Y184" t="str">
        <x:v>https://data.ny.gov/Economic-Development/Active-Corporations-Beginning-1800/n9v6-gdp6</x:v>
      </x:c>
    </x:row>
    <x:row r="185">
      <x:c r="A185" t="str">
        <x:v>DOS-3-062</x:v>
      </x:c>
      <x:c r="B185" t="n">
        <x:v>3</x:v>
      </x:c>
      <x:c r="C185" t="str">
        <x:v>40 WEST 57TH STREET, 29TH FLOOR, NEW YORK, NY, 10019, US</x:v>
      </x:c>
      <x:c r="D185" t="str">
        <x:v>5 12 51ST AVENUE OWNERS LLC</x:v>
      </x:c>
      <x:c r="E185" t="str">
        <x:v>5-12 51ST AVENUE OWNERS LLC</x:v>
      </x:c>
      <x:c r="F185" t="str">
        <x:v>Active name match</x:v>
      </x:c>
      <x:c r="G185" t="n">
        <x:v>1</x:v>
      </x:c>
      <x:c r="H185" t="n">
        <x:v>0</x:v>
      </x:c>
      <x:c r="I185" t="str">
        <x:v>5668188</x:v>
      </x:c>
      <x:c r="J185" t="str">
        <x:v>5-12 51ST AVENUE OWNERS LLC</x:v>
      </x:c>
      <x:c r="K185" s="55" t="n">
        <x:v>43808</x:v>
      </x:c>
      <x:c r="L185" t="str">
        <x:v>New York</x:v>
      </x:c>
      <x:c r="M185" t="str">
        <x:v>New York</x:v>
      </x:c>
      <x:c r="N185" t="str">
        <x:v>DOMESTIC LIMITED LIABILITY COMPANY</x:v>
      </x:c>
      <x:c r="O185" t="str">
        <x:v>PRYOR CASHMAN LLP</x:v>
      </x:c>
      <x:c r="P185" t="str">
        <x:v>C/O WAYNE HEICKLEN, 7 TIMES SQUARE, NEW YORK, NY, 10036</x:v>
      </x:c>
      <x:c r="Q185" t="str"/>
      <x:c r="R185" t="str"/>
      <x:c r="S185" t="str"/>
      <x:c r="T185" t="str"/>
      <x:c r="U185" t="str"/>
      <x:c r="V185" t="str"/>
      <x:c r="W185" t="str"/>
      <x:c r="X185" t="str"/>
      <x:c r="Y185" t="str">
        <x:v>https://data.ny.gov/Economic-Development/Active-Corporations-Beginning-1800/n9v6-gdp6</x:v>
      </x:c>
    </x:row>
    <x:row r="186">
      <x:c r="A186" t="str">
        <x:v>DOS-3-062</x:v>
      </x:c>
      <x:c r="B186" t="n">
        <x:v>3</x:v>
      </x:c>
      <x:c r="C186" t="str">
        <x:v>40 WEST 57TH STREET, 29TH FLOOR, NEW YORK, NY, 10019, US</x:v>
      </x:c>
      <x:c r="D186" t="str">
        <x:v>ATLAS VI DEKALB LLC</x:v>
      </x:c>
      <x:c r="E186" t="str">
        <x:v>ATLAS VI DEKALB LLC</x:v>
      </x:c>
      <x:c r="F186" t="str">
        <x:v>Active name match</x:v>
      </x:c>
      <x:c r="G186" t="n">
        <x:v>1</x:v>
      </x:c>
      <x:c r="H186" t="n">
        <x:v>0</x:v>
      </x:c>
      <x:c r="I186" t="str">
        <x:v>7349869</x:v>
      </x:c>
      <x:c r="J186" t="str">
        <x:v>ATLAS VI DEKALB LLC</x:v>
      </x:c>
      <x:c r="K186" s="55" t="n">
        <x:v>45453</x:v>
      </x:c>
      <x:c r="L186" t="str">
        <x:v>New York</x:v>
      </x:c>
      <x:c r="M186" t="str">
        <x:v>Delaware</x:v>
      </x:c>
      <x:c r="N186" t="str">
        <x:v>FOREIGN LIMITED LIABILITY COMPANY</x:v>
      </x:c>
      <x:c r="O186" t="str">
        <x:v>CORPORATION SERVICE COMPANY</x:v>
      </x:c>
      <x:c r="P186" t="str">
        <x:v>80 STATE ST., ALBANY, NY, 12207</x:v>
      </x:c>
      <x:c r="Q186" t="str"/>
      <x:c r="R186" t="str"/>
      <x:c r="S186" t="str"/>
      <x:c r="T186" t="str"/>
      <x:c r="U186" t="str"/>
      <x:c r="V186" t="str"/>
      <x:c r="W186" t="str"/>
      <x:c r="X186" t="str"/>
      <x:c r="Y186" t="str">
        <x:v>https://data.ny.gov/Economic-Development/Active-Corporations-Beginning-1800/n9v6-gdp6</x:v>
      </x:c>
    </x:row>
    <x:row r="187">
      <x:c r="A187" t="str">
        <x:v>DOS-3-062</x:v>
      </x:c>
      <x:c r="B187" t="n">
        <x:v>3</x:v>
      </x:c>
      <x:c r="C187" t="str">
        <x:v>40 WEST 57TH STREET, 29TH FLOOR, NEW YORK, NY, 10019, US</x:v>
      </x:c>
      <x:c r="D187" t="str">
        <x:v>PARK ROW OWNER LLC</x:v>
      </x:c>
      <x:c r="E187" t="str">
        <x:v>PARK ROW OWNER LLC</x:v>
      </x:c>
      <x:c r="F187" t="str">
        <x:v>Active name match</x:v>
      </x:c>
      <x:c r="G187" t="n">
        <x:v>1</x:v>
      </x:c>
      <x:c r="H187" t="n">
        <x:v>0</x:v>
      </x:c>
      <x:c r="I187" t="str">
        <x:v>5899987</x:v>
      </x:c>
      <x:c r="J187" t="str">
        <x:v>PARK ROW OWNER LLC</x:v>
      </x:c>
      <x:c r="K187" s="55" t="n">
        <x:v>44183</x:v>
      </x:c>
      <x:c r="L187" t="str">
        <x:v>New York</x:v>
      </x:c>
      <x:c r="M187" t="str">
        <x:v>Delaware</x:v>
      </x:c>
      <x:c r="N187" t="str">
        <x:v>FOREIGN LIMITED LIABILITY COMPANY</x:v>
      </x:c>
      <x:c r="O187" t="str">
        <x:v>C/O CORPORATION SERVICE COMPANY</x:v>
      </x:c>
      <x:c r="P187" t="str">
        <x:v>80 STATE STREET, ALBANY, NY, 12207</x:v>
      </x:c>
      <x:c r="Q187" t="str"/>
      <x:c r="R187" t="str"/>
      <x:c r="S187" t="str"/>
      <x:c r="T187" t="str"/>
      <x:c r="U187" t="str"/>
      <x:c r="V187" t="str"/>
      <x:c r="W187" t="str"/>
      <x:c r="X187" t="str"/>
      <x:c r="Y187" t="str">
        <x:v>https://data.ny.gov/Economic-Development/Active-Corporations-Beginning-1800/n9v6-gdp6</x:v>
      </x:c>
    </x:row>
    <x:row r="188">
      <x:c r="A188" t="str">
        <x:v>DOS-3-063</x:v>
      </x:c>
      <x:c r="B188" t="n">
        <x:v>3</x:v>
      </x:c>
      <x:c r="C188" t="str">
        <x:v>411 BRYANT AVENUE, BRONX, NY, 10474, US</x:v>
      </x:c>
      <x:c r="D188" t="str">
        <x:v>MESTOUSIS DEVELOPMENT LLC</x:v>
      </x:c>
      <x:c r="E188" t="str">
        <x:v>MESTOUSIS DEVELOPMENT LLC</x:v>
      </x:c>
      <x:c r="F188" t="str">
        <x:v>Address-corroborated active match</x:v>
      </x:c>
      <x:c r="G188" t="n">
        <x:v>1</x:v>
      </x:c>
      <x:c r="H188" t="n">
        <x:v>2</x:v>
      </x:c>
      <x:c r="I188" t="str">
        <x:v>5056272</x:v>
      </x:c>
      <x:c r="J188" t="str">
        <x:v>MESTOUSIS DEVELOPMENT LLC</x:v>
      </x:c>
      <x:c r="K188" s="55" t="n">
        <x:v>42725</x:v>
      </x:c>
      <x:c r="L188" t="str">
        <x:v>Bronx</x:v>
      </x:c>
      <x:c r="M188" t="str">
        <x:v>New York</x:v>
      </x:c>
      <x:c r="N188" t="str">
        <x:v>DOMESTIC LIMITED LIABILITY COMPANY</x:v>
      </x:c>
      <x:c r="O188" t="str">
        <x:v>MESTOUSIS DEVELOPMENT LLC</x:v>
      </x:c>
      <x:c r="P188" t="str">
        <x:v>411 BRYANT AVE., BRONX, NY, 10474</x:v>
      </x:c>
      <x:c r="Q188" t="str"/>
      <x:c r="R188" t="str"/>
      <x:c r="S188" t="str"/>
      <x:c r="T188" t="str"/>
      <x:c r="U188" t="str"/>
      <x:c r="V188" t="str"/>
      <x:c r="W188" t="str"/>
      <x:c r="X188" t="str"/>
      <x:c r="Y188" t="str">
        <x:v>https://data.ny.gov/Economic-Development/Active-Corporations-Beginning-1800/n9v6-gdp6</x:v>
      </x:c>
    </x:row>
    <x:row r="189">
      <x:c r="A189" t="str">
        <x:v>DOS-3-063</x:v>
      </x:c>
      <x:c r="B189" t="n">
        <x:v>3</x:v>
      </x:c>
      <x:c r="C189" t="str">
        <x:v>411 BRYANT AVENUE, BRONX, NY, 10474, US</x:v>
      </x:c>
      <x:c r="D189" t="str">
        <x:v>MESTOUSIS ENTERPRISES LLC</x:v>
      </x:c>
      <x:c r="E189" t="str">
        <x:v>MESTOUSIS ENTERPRISES LLC</x:v>
      </x:c>
      <x:c r="F189" t="str">
        <x:v>Address-corroborated active match</x:v>
      </x:c>
      <x:c r="G189" t="n">
        <x:v>1</x:v>
      </x:c>
      <x:c r="H189" t="n">
        <x:v>2</x:v>
      </x:c>
      <x:c r="I189" t="str">
        <x:v>4780635</x:v>
      </x:c>
      <x:c r="J189" t="str">
        <x:v>MESTOUSIS ENTERPRISES LLC</x:v>
      </x:c>
      <x:c r="K189" s="55" t="n">
        <x:v>42180</x:v>
      </x:c>
      <x:c r="L189" t="str">
        <x:v>Bronx</x:v>
      </x:c>
      <x:c r="M189" t="str">
        <x:v>New York</x:v>
      </x:c>
      <x:c r="N189" t="str">
        <x:v>DOMESTIC LIMITED LIABILITY COMPANY</x:v>
      </x:c>
      <x:c r="O189" t="str">
        <x:v>MESTOUSIS ENTERPRISES LLC</x:v>
      </x:c>
      <x:c r="P189" t="str">
        <x:v>411 BRYANT AVE, BRONX, NY, 10474</x:v>
      </x:c>
      <x:c r="Q189" t="str"/>
      <x:c r="R189" t="str"/>
      <x:c r="S189" t="str"/>
      <x:c r="T189" t="str"/>
      <x:c r="U189" t="str"/>
      <x:c r="V189" t="str"/>
      <x:c r="W189" t="str"/>
      <x:c r="X189" t="str"/>
      <x:c r="Y189" t="str">
        <x:v>https://data.ny.gov/Economic-Development/Active-Corporations-Beginning-1800/n9v6-gdp6</x:v>
      </x:c>
    </x:row>
    <x:row r="190">
      <x:c r="A190" t="str">
        <x:v>DOS-3-063</x:v>
      </x:c>
      <x:c r="B190" t="n">
        <x:v>3</x:v>
      </x:c>
      <x:c r="C190" t="str">
        <x:v>411 BRYANT AVENUE, BRONX, NY, 10474, US</x:v>
      </x:c>
      <x:c r="D190" t="str">
        <x:v>MESTOUSIS LLC</x:v>
      </x:c>
      <x:c r="E190" t="str">
        <x:v>MESTOUSIS LLC</x:v>
      </x:c>
      <x:c r="F190" t="str">
        <x:v>Address-corroborated active match</x:v>
      </x:c>
      <x:c r="G190" t="n">
        <x:v>1</x:v>
      </x:c>
      <x:c r="H190" t="n">
        <x:v>2</x:v>
      </x:c>
      <x:c r="I190" t="str">
        <x:v>5056276</x:v>
      </x:c>
      <x:c r="J190" t="str">
        <x:v>MESTOUSIS LLC</x:v>
      </x:c>
      <x:c r="K190" s="55" t="n">
        <x:v>42725</x:v>
      </x:c>
      <x:c r="L190" t="str">
        <x:v>Bronx</x:v>
      </x:c>
      <x:c r="M190" t="str">
        <x:v>New York</x:v>
      </x:c>
      <x:c r="N190" t="str">
        <x:v>DOMESTIC LIMITED LIABILITY COMPANY</x:v>
      </x:c>
      <x:c r="O190" t="str">
        <x:v>MESTOUSIS LLC</x:v>
      </x:c>
      <x:c r="P190" t="str">
        <x:v>411 BRYANT AVE., BRONX, NY, 10474</x:v>
      </x:c>
      <x:c r="Q190" t="str"/>
      <x:c r="R190" t="str"/>
      <x:c r="S190" t="str"/>
      <x:c r="T190" t="str"/>
      <x:c r="U190" t="str"/>
      <x:c r="V190" t="str"/>
      <x:c r="W190" t="str"/>
      <x:c r="X190" t="str"/>
      <x:c r="Y190" t="str">
        <x:v>https://data.ny.gov/Economic-Development/Active-Corporations-Beginning-1800/n9v6-gdp6</x:v>
      </x:c>
    </x:row>
    <x:row r="191">
      <x:c r="A191" t="str">
        <x:v>DOS-3-064</x:v>
      </x:c>
      <x:c r="B191" t="n">
        <x:v>3</x:v>
      </x:c>
      <x:c r="C191" t="str">
        <x:v>61 HARRISON AVENUE, BROOKLYN, NY, 11211, US</x:v>
      </x:c>
      <x:c r="D191" t="str">
        <x:v>1534 41ST LLC</x:v>
      </x:c>
      <x:c r="E191" t="str">
        <x:v>1534 41ST LLC</x:v>
      </x:c>
      <x:c r="F191" t="str">
        <x:v>Active name match</x:v>
      </x:c>
      <x:c r="G191" t="n">
        <x:v>1</x:v>
      </x:c>
      <x:c r="H191" t="n">
        <x:v>1</x:v>
      </x:c>
      <x:c r="I191" t="str">
        <x:v>7273562</x:v>
      </x:c>
      <x:c r="J191" t="str">
        <x:v>1534 41ST LLC</x:v>
      </x:c>
      <x:c r="K191" s="55" t="n">
        <x:v>45358</x:v>
      </x:c>
      <x:c r="L191" t="str">
        <x:v>Kings</x:v>
      </x:c>
      <x:c r="M191" t="str">
        <x:v>New York</x:v>
      </x:c>
      <x:c r="N191" t="str">
        <x:v>DOMESTIC LIMITED LIABILITY COMPANY</x:v>
      </x:c>
      <x:c r="O191" t="str">
        <x:v>1534 41ST LLC</x:v>
      </x:c>
      <x:c r="P191" t="str">
        <x:v>61 HARRISON AVE 2J, BROOKLYN, NY, 11211</x:v>
      </x:c>
      <x:c r="Q191" t="str"/>
      <x:c r="R191" t="str"/>
      <x:c r="S191" t="str"/>
      <x:c r="T191" t="str"/>
      <x:c r="U191" t="str"/>
      <x:c r="V191" t="str"/>
      <x:c r="W191" t="str"/>
      <x:c r="X191" t="str"/>
      <x:c r="Y191" t="str">
        <x:v>https://data.ny.gov/Economic-Development/Active-Corporations-Beginning-1800/n9v6-gdp6</x:v>
      </x:c>
    </x:row>
    <x:row r="192">
      <x:c r="A192" t="str">
        <x:v>DOS-3-064</x:v>
      </x:c>
      <x:c r="B192" t="n">
        <x:v>3</x:v>
      </x:c>
      <x:c r="C192" t="str">
        <x:v>61 HARRISON AVENUE, BROOKLYN, NY, 11211, US</x:v>
      </x:c>
      <x:c r="D192" t="str">
        <x:v>1559 DEAN LLC</x:v>
      </x:c>
      <x:c r="E192" t="str">
        <x:v>1559 DEAN LLC</x:v>
      </x:c>
      <x:c r="F192" t="str">
        <x:v>Active name match</x:v>
      </x:c>
      <x:c r="G192" t="n">
        <x:v>1</x:v>
      </x:c>
      <x:c r="H192" t="n">
        <x:v>1</x:v>
      </x:c>
      <x:c r="I192" t="str">
        <x:v>4724471</x:v>
      </x:c>
      <x:c r="J192" t="str">
        <x:v>1559 DEAN LLC</x:v>
      </x:c>
      <x:c r="K192" s="55" t="n">
        <x:v>42075</x:v>
      </x:c>
      <x:c r="L192" t="str">
        <x:v>Kings</x:v>
      </x:c>
      <x:c r="M192" t="str">
        <x:v>New York</x:v>
      </x:c>
      <x:c r="N192" t="str">
        <x:v>DOMESTIC LIMITED LIABILITY COMPANY</x:v>
      </x:c>
      <x:c r="O192" t="str">
        <x:v>1559 DEAN LLC</x:v>
      </x:c>
      <x:c r="P192" t="str">
        <x:v>61 HARRISON AVENUE, APT 2J, BROOKLYN, NY, 11211</x:v>
      </x:c>
      <x:c r="Q192" t="str"/>
      <x:c r="R192" t="str"/>
      <x:c r="S192" t="str"/>
      <x:c r="T192" t="str"/>
      <x:c r="U192" t="str"/>
      <x:c r="V192" t="str"/>
      <x:c r="W192" t="str"/>
      <x:c r="X192" t="str"/>
      <x:c r="Y192" t="str">
        <x:v>https://data.ny.gov/Economic-Development/Active-Corporations-Beginning-1800/n9v6-gdp6</x:v>
      </x:c>
    </x:row>
    <x:row r="193">
      <x:c r="A193" t="str">
        <x:v>DOS-3-064</x:v>
      </x:c>
      <x:c r="B193" t="n">
        <x:v>3</x:v>
      </x:c>
      <x:c r="C193" t="str">
        <x:v>61 HARRISON AVENUE, BROOKLYN, NY, 11211, US</x:v>
      </x:c>
      <x:c r="D193" t="str">
        <x:v>190 MIDDLETON LLC</x:v>
      </x:c>
      <x:c r="E193" t="str">
        <x:v>190 MIDDLETON LLC</x:v>
      </x:c>
      <x:c r="F193" t="str">
        <x:v>Active name match</x:v>
      </x:c>
      <x:c r="G193" t="n">
        <x:v>1</x:v>
      </x:c>
      <x:c r="H193" t="n">
        <x:v>0</x:v>
      </x:c>
      <x:c r="I193" t="str">
        <x:v>3470543</x:v>
      </x:c>
      <x:c r="J193" t="str">
        <x:v>190 MIDDLETON LLC</x:v>
      </x:c>
      <x:c r="K193" s="55" t="n">
        <x:v>39113</x:v>
      </x:c>
      <x:c r="L193" t="str">
        <x:v>Kings</x:v>
      </x:c>
      <x:c r="M193" t="str">
        <x:v>New York</x:v>
      </x:c>
      <x:c r="N193" t="str">
        <x:v>DOMESTIC LIMITED LIABILITY COMPANY</x:v>
      </x:c>
      <x:c r="O193" t="str">
        <x:v>190 MIDDLETON LLC</x:v>
      </x:c>
      <x:c r="P193" t="str">
        <x:v>188 MIDDLETON STREET, #1, BROOKLYN, NY, 11206</x:v>
      </x:c>
      <x:c r="Q193" t="str"/>
      <x:c r="R193" t="str"/>
      <x:c r="S193" t="str"/>
      <x:c r="T193" t="str"/>
      <x:c r="U193" t="str"/>
      <x:c r="V193" t="str"/>
      <x:c r="W193" t="str"/>
      <x:c r="X193" t="str"/>
      <x:c r="Y193" t="str">
        <x:v>https://data.ny.gov/Economic-Development/Active-Corporations-Beginning-1800/n9v6-gdp6</x:v>
      </x:c>
    </x:row>
    <x:row r="194">
      <x:c r="A194" t="str">
        <x:v>DOS-3-065</x:v>
      </x:c>
      <x:c r="B194" t="n">
        <x:v>3</x:v>
      </x:c>
      <x:c r="C194" t="str">
        <x:v>719 EMPIRE AVENUE, FAR ROCKAWAY, NY, 11691, US</x:v>
      </x:c>
      <x:c r="D194" t="str">
        <x:v>107 BEACH 31 LLC</x:v>
      </x:c>
      <x:c r="E194" t="str">
        <x:v>107 BEACH 31 LLC</x:v>
      </x:c>
      <x:c r="F194" t="str">
        <x:v>Address-corroborated active match</x:v>
      </x:c>
      <x:c r="G194" t="n">
        <x:v>1</x:v>
      </x:c>
      <x:c r="H194" t="n">
        <x:v>2</x:v>
      </x:c>
      <x:c r="I194" t="str">
        <x:v>5182565</x:v>
      </x:c>
      <x:c r="J194" t="str">
        <x:v>107 BEACH 31 LLC</x:v>
      </x:c>
      <x:c r="K194" s="55" t="n">
        <x:v>42954</x:v>
      </x:c>
      <x:c r="L194" t="str">
        <x:v>Queens</x:v>
      </x:c>
      <x:c r="M194" t="str">
        <x:v>New York</x:v>
      </x:c>
      <x:c r="N194" t="str">
        <x:v>DOMESTIC LIMITED LIABILITY COMPANY</x:v>
      </x:c>
      <x:c r="O194" t="str">
        <x:v>107 BEACH 31 LLC</x:v>
      </x:c>
      <x:c r="P194" t="str">
        <x:v>719 EMPIRE AVE, FAR ROCKAWAY, NY, 11691</x:v>
      </x:c>
      <x:c r="Q194" t="str"/>
      <x:c r="R194" t="str"/>
      <x:c r="S194" t="str"/>
      <x:c r="T194" t="str"/>
      <x:c r="U194" t="str"/>
      <x:c r="V194" t="str"/>
      <x:c r="W194" t="str"/>
      <x:c r="X194" t="str"/>
      <x:c r="Y194" t="str">
        <x:v>https://data.ny.gov/Economic-Development/Active-Corporations-Beginning-1800/n9v6-gdp6</x:v>
      </x:c>
    </x:row>
    <x:row r="195">
      <x:c r="A195" t="str">
        <x:v>DOS-3-065</x:v>
      </x:c>
      <x:c r="B195" t="n">
        <x:v>3</x:v>
      </x:c>
      <x:c r="C195" t="str">
        <x:v>719 EMPIRE AVENUE, FAR ROCKAWAY, NY, 11691, US</x:v>
      </x:c>
      <x:c r="D195" t="str">
        <x:v>DLMAO LLC</x:v>
      </x:c>
      <x:c r="E195" t="str">
        <x:v>DLMAO LLC</x:v>
      </x:c>
      <x:c r="F195" t="str">
        <x:v>Address-corroborated active match</x:v>
      </x:c>
      <x:c r="G195" t="n">
        <x:v>1</x:v>
      </x:c>
      <x:c r="H195" t="n">
        <x:v>2</x:v>
      </x:c>
      <x:c r="I195" t="str">
        <x:v>4665261</x:v>
      </x:c>
      <x:c r="J195" t="str">
        <x:v>DLMAO LLC</x:v>
      </x:c>
      <x:c r="K195" s="55" t="n">
        <x:v>41955</x:v>
      </x:c>
      <x:c r="L195" t="str">
        <x:v>Queens</x:v>
      </x:c>
      <x:c r="M195" t="str">
        <x:v>New York</x:v>
      </x:c>
      <x:c r="N195" t="str">
        <x:v>DOMESTIC LIMITED LIABILITY COMPANY</x:v>
      </x:c>
      <x:c r="O195" t="str">
        <x:v>DLMAO LLC</x:v>
      </x:c>
      <x:c r="P195" t="str">
        <x:v>719 EMPIRE AVENUE, FAR ROCKAWAY, NY, 11691</x:v>
      </x:c>
      <x:c r="Q195" t="str"/>
      <x:c r="R195" t="str"/>
      <x:c r="S195" t="str"/>
      <x:c r="T195" t="str"/>
      <x:c r="U195" t="str"/>
      <x:c r="V195" t="str"/>
      <x:c r="W195" t="str"/>
      <x:c r="X195" t="str"/>
      <x:c r="Y195" t="str">
        <x:v>https://data.ny.gov/Economic-Development/Active-Corporations-Beginning-1800/n9v6-gdp6</x:v>
      </x:c>
    </x:row>
    <x:row r="196">
      <x:c r="A196" t="str">
        <x:v>DOS-3-065</x:v>
      </x:c>
      <x:c r="B196" t="n">
        <x:v>3</x:v>
      </x:c>
      <x:c r="C196" t="str">
        <x:v>719 EMPIRE AVENUE, FAR ROCKAWAY, NY, 11691, US</x:v>
      </x:c>
      <x:c r="D196" t="str">
        <x:v>STUMT HOLDINGS LLC</x:v>
      </x:c>
      <x:c r="E196" t="str">
        <x:v>STUMT HOLDINGS LLC</x:v>
      </x:c>
      <x:c r="F196" t="str">
        <x:v>Address-corroborated active match</x:v>
      </x:c>
      <x:c r="G196" t="n">
        <x:v>1</x:v>
      </x:c>
      <x:c r="H196" t="n">
        <x:v>2</x:v>
      </x:c>
      <x:c r="I196" t="str">
        <x:v>4384342</x:v>
      </x:c>
      <x:c r="J196" t="str">
        <x:v>STUMT HOLDINGS, LLC</x:v>
      </x:c>
      <x:c r="K196" s="55" t="n">
        <x:v>41369</x:v>
      </x:c>
      <x:c r="L196" t="str">
        <x:v>Queens</x:v>
      </x:c>
      <x:c r="M196" t="str">
        <x:v>New York</x:v>
      </x:c>
      <x:c r="N196" t="str">
        <x:v>DOMESTIC LIMITED LIABILITY COMPANY</x:v>
      </x:c>
      <x:c r="O196" t="str">
        <x:v>STUMT HOLDINGS, LLC</x:v>
      </x:c>
      <x:c r="P196" t="str">
        <x:v>719 EMPIRE AVENUE, FAR ROCKAWAY, NY, 11691</x:v>
      </x:c>
      <x:c r="Q196" t="str"/>
      <x:c r="R196" t="str"/>
      <x:c r="S196" t="str"/>
      <x:c r="T196" t="str"/>
      <x:c r="U196" t="str"/>
      <x:c r="V196" t="str"/>
      <x:c r="W196" t="str"/>
      <x:c r="X196" t="str"/>
      <x:c r="Y196" t="str">
        <x:v>https://data.ny.gov/Economic-Development/Active-Corporations-Beginning-1800/n9v6-gdp6</x:v>
      </x:c>
    </x:row>
    <x:row r="197">
      <x:c r="A197" t="str">
        <x:v>DOS-3-066</x:v>
      </x:c>
      <x:c r="B197" t="n">
        <x:v>3</x:v>
      </x:c>
      <x:c r="C197" t="str">
        <x:v>8-51 ASTORIA BOULEVARD, ASTORIA, NY, 11102, US</x:v>
      </x:c>
      <x:c r="D197" t="str">
        <x:v>2820 DITMARS LLC</x:v>
      </x:c>
      <x:c r="E197" t="str">
        <x:v>2820 DITMARS LLC</x:v>
      </x:c>
      <x:c r="F197" t="str">
        <x:v>Active name match</x:v>
      </x:c>
      <x:c r="G197" t="n">
        <x:v>1</x:v>
      </x:c>
      <x:c r="H197" t="n">
        <x:v>1</x:v>
      </x:c>
      <x:c r="I197" t="str">
        <x:v>4691115</x:v>
      </x:c>
      <x:c r="J197" t="str">
        <x:v>2820 DITMARS LLC</x:v>
      </x:c>
      <x:c r="K197" s="55" t="n">
        <x:v>42012</x:v>
      </x:c>
      <x:c r="L197" t="str">
        <x:v>Queens</x:v>
      </x:c>
      <x:c r="M197" t="str">
        <x:v>New York</x:v>
      </x:c>
      <x:c r="N197" t="str">
        <x:v>DOMESTIC LIMITED LIABILITY COMPANY</x:v>
      </x:c>
      <x:c r="O197" t="str">
        <x:v>DEMETRIOS DAVIOTIS</x:v>
      </x:c>
      <x:c r="P197" t="str">
        <x:v>9-23 27 AV, ASTORIA, NY, 11102</x:v>
      </x:c>
      <x:c r="Q197" t="str"/>
      <x:c r="R197" t="str"/>
      <x:c r="S197" t="str"/>
      <x:c r="T197" t="str"/>
      <x:c r="U197" t="str"/>
      <x:c r="V197" t="str"/>
      <x:c r="W197" t="str"/>
      <x:c r="X197" t="str"/>
      <x:c r="Y197" t="str">
        <x:v>https://data.ny.gov/Economic-Development/Active-Corporations-Beginning-1800/n9v6-gdp6</x:v>
      </x:c>
    </x:row>
    <x:row r="198">
      <x:c r="A198" t="str">
        <x:v>DOS-3-066</x:v>
      </x:c>
      <x:c r="B198" t="n">
        <x:v>3</x:v>
      </x:c>
      <x:c r="C198" t="str">
        <x:v>8-51 ASTORIA BOULEVARD, ASTORIA, NY, 11102, US</x:v>
      </x:c>
      <x:c r="D198" t="str">
        <x:v>LITO PROPERTIES LLC</x:v>
      </x:c>
      <x:c r="E198" t="str">
        <x:v>LITO PROPERTIES LLC</x:v>
      </x:c>
      <x:c r="F198" t="str">
        <x:v>Active name match</x:v>
      </x:c>
      <x:c r="G198" t="n">
        <x:v>1</x:v>
      </x:c>
      <x:c r="H198" t="n">
        <x:v>1</x:v>
      </x:c>
      <x:c r="I198" t="str">
        <x:v>3019677</x:v>
      </x:c>
      <x:c r="J198" t="str">
        <x:v>LITO PROPERTIES LLC</x:v>
      </x:c>
      <x:c r="K198" s="55" t="n">
        <x:v>38047</x:v>
      </x:c>
      <x:c r="L198" t="str">
        <x:v>Queens</x:v>
      </x:c>
      <x:c r="M198" t="str">
        <x:v>Delaware</x:v>
      </x:c>
      <x:c r="N198" t="str">
        <x:v>FOREIGN LIMITED LIABILITY COMPANY</x:v>
      </x:c>
      <x:c r="O198" t="str">
        <x:v>DEMETRIOS DAVIOTIS</x:v>
      </x:c>
      <x:c r="P198" t="str">
        <x:v>9-23 27 AVE, ASTORIA, NY, 11102</x:v>
      </x:c>
      <x:c r="Q198" t="str"/>
      <x:c r="R198" t="str"/>
      <x:c r="S198" t="str"/>
      <x:c r="T198" t="str"/>
      <x:c r="U198" t="str"/>
      <x:c r="V198" t="str"/>
      <x:c r="W198" t="str"/>
      <x:c r="X198" t="str"/>
      <x:c r="Y198" t="str">
        <x:v>https://data.ny.gov/Economic-Development/Active-Corporations-Beginning-1800/n9v6-gdp6</x:v>
      </x:c>
    </x:row>
    <x:row r="199">
      <x:c r="A199" t="str">
        <x:v>DOS-3-066</x:v>
      </x:c>
      <x:c r="B199" t="n">
        <x:v>3</x:v>
      </x:c>
      <x:c r="C199" t="str">
        <x:v>8-51 ASTORIA BOULEVARD, ASTORIA, NY, 11102, US</x:v>
      </x:c>
      <x:c r="D199" t="str">
        <x:v>PLAKA PROPERTIES LLC</x:v>
      </x:c>
      <x:c r="E199" t="str">
        <x:v>PLAKA PROPERTIES LLC</x:v>
      </x:c>
      <x:c r="F199" t="str">
        <x:v>Active name match</x:v>
      </x:c>
      <x:c r="G199" t="n">
        <x:v>1</x:v>
      </x:c>
      <x:c r="H199" t="n">
        <x:v>1</x:v>
      </x:c>
      <x:c r="I199" t="str">
        <x:v>3017351</x:v>
      </x:c>
      <x:c r="J199" t="str">
        <x:v>PLAKA PROPERTIES LLC</x:v>
      </x:c>
      <x:c r="K199" s="55" t="n">
        <x:v>38041</x:v>
      </x:c>
      <x:c r="L199" t="str">
        <x:v>Queens</x:v>
      </x:c>
      <x:c r="M199" t="str">
        <x:v>Delaware</x:v>
      </x:c>
      <x:c r="N199" t="str">
        <x:v>FOREIGN LIMITED LIABILITY COMPANY</x:v>
      </x:c>
      <x:c r="O199" t="str">
        <x:v>DEMETRIOS DAVIOTIS</x:v>
      </x:c>
      <x:c r="P199" t="str">
        <x:v>9-23 27 AV, ASTORIA, NY, 11102</x:v>
      </x:c>
      <x:c r="Q199" t="str"/>
      <x:c r="R199" t="str"/>
      <x:c r="S199" t="str"/>
      <x:c r="T199" t="str"/>
      <x:c r="U199" t="str"/>
      <x:c r="V199" t="str"/>
      <x:c r="W199" t="str"/>
      <x:c r="X199" t="str"/>
      <x:c r="Y199" t="str">
        <x:v>https://data.ny.gov/Economic-Development/Active-Corporations-Beginning-1800/n9v6-gdp6</x:v>
      </x:c>
    </x:row>
    <x:row r="200">
      <x:c r="A200" t="str">
        <x:v>DOS-3-067</x:v>
      </x:c>
      <x:c r="B200" t="n">
        <x:v>3</x:v>
      </x:c>
      <x:c r="C200" t="str">
        <x:v>820 39TH STREET, BROOKLYN, NY, 11232, US</x:v>
      </x:c>
      <x:c r="D200" t="str">
        <x:v>4102 RONG LLC</x:v>
      </x:c>
      <x:c r="E200" t="str">
        <x:v>4102 RONG LLC</x:v>
      </x:c>
      <x:c r="F200" t="str">
        <x:v>Active name match</x:v>
      </x:c>
      <x:c r="G200" t="n">
        <x:v>1</x:v>
      </x:c>
      <x:c r="H200" t="n">
        <x:v>1</x:v>
      </x:c>
      <x:c r="I200" t="str">
        <x:v>6453053</x:v>
      </x:c>
      <x:c r="J200" t="str">
        <x:v>4102 RONG LLC</x:v>
      </x:c>
      <x:c r="K200" s="55" t="n">
        <x:v>44658</x:v>
      </x:c>
      <x:c r="L200" t="str">
        <x:v>Kings</x:v>
      </x:c>
      <x:c r="M200" t="str">
        <x:v>New York</x:v>
      </x:c>
      <x:c r="N200" t="str">
        <x:v>DOMESTIC LIMITED LIABILITY COMPANY</x:v>
      </x:c>
      <x:c r="O200" t="str">
        <x:v>4102 RONG LLC</x:v>
      </x:c>
      <x:c r="P200" t="str">
        <x:v>4102 8th avenue,, apt #6c, BROOKLYN, NY, 11232</x:v>
      </x:c>
      <x:c r="Q200" t="str"/>
      <x:c r="R200" t="str"/>
      <x:c r="S200" t="str"/>
      <x:c r="T200" t="str"/>
      <x:c r="U200" t="str"/>
      <x:c r="V200" t="str"/>
      <x:c r="W200" t="str"/>
      <x:c r="X200" t="str"/>
      <x:c r="Y200" t="str">
        <x:v>https://data.ny.gov/Economic-Development/Active-Corporations-Beginning-1800/n9v6-gdp6</x:v>
      </x:c>
    </x:row>
    <x:row r="201">
      <x:c r="A201" t="str">
        <x:v>DOS-3-067</x:v>
      </x:c>
      <x:c r="B201" t="n">
        <x:v>3</x:v>
      </x:c>
      <x:c r="C201" t="str">
        <x:v>820 39TH STREET, BROOKLYN, NY, 11232, US</x:v>
      </x:c>
      <x:c r="D201" t="str">
        <x:v>4220 J AND R LLC</x:v>
      </x:c>
      <x:c r="E201" t="str">
        <x:v>4220 J &amp; R LLC</x:v>
      </x:c>
      <x:c r="F201" t="str">
        <x:v>Address-corroborated active match</x:v>
      </x:c>
      <x:c r="G201" t="n">
        <x:v>1</x:v>
      </x:c>
      <x:c r="H201" t="n">
        <x:v>2</x:v>
      </x:c>
      <x:c r="I201" t="str">
        <x:v>5388750</x:v>
      </x:c>
      <x:c r="J201" t="str">
        <x:v>4220 J&amp;R LLC</x:v>
      </x:c>
      <x:c r="K201" s="55" t="n">
        <x:v>43319</x:v>
      </x:c>
      <x:c r="L201" t="str">
        <x:v>Kings</x:v>
      </x:c>
      <x:c r="M201" t="str">
        <x:v>New York</x:v>
      </x:c>
      <x:c r="N201" t="str">
        <x:v>DOMESTIC LIMITED LIABILITY COMPANY</x:v>
      </x:c>
      <x:c r="O201" t="str">
        <x:v>4220 J&amp;R LLC</x:v>
      </x:c>
      <x:c r="P201" t="str">
        <x:v>820 39TH STREET, BROOKLYN, NY, 11232</x:v>
      </x:c>
      <x:c r="Q201" t="str"/>
      <x:c r="R201" t="str"/>
      <x:c r="S201" t="str"/>
      <x:c r="T201" t="str"/>
      <x:c r="U201" t="str"/>
      <x:c r="V201" t="str"/>
      <x:c r="W201" t="str"/>
      <x:c r="X201" t="str"/>
      <x:c r="Y201" t="str">
        <x:v>https://data.ny.gov/Economic-Development/Active-Corporations-Beginning-1800/n9v6-gdp6</x:v>
      </x:c>
    </x:row>
    <x:row r="202">
      <x:c r="A202" t="str">
        <x:v>DOS-3-067</x:v>
      </x:c>
      <x:c r="B202" t="n">
        <x:v>3</x:v>
      </x:c>
      <x:c r="C202" t="str">
        <x:v>820 39TH STREET, BROOKLYN, NY, 11232, US</x:v>
      </x:c>
      <x:c r="D202" t="str">
        <x:v>NY GOLDEN KEY DEVELOPMENT LLC</x:v>
      </x:c>
      <x:c r="E202" t="str">
        <x:v>NY GOLDEN KEY DEVELOPMENT LLC</x:v>
      </x:c>
      <x:c r="F202" t="str">
        <x:v>Active name match</x:v>
      </x:c>
      <x:c r="G202" t="n">
        <x:v>1</x:v>
      </x:c>
      <x:c r="H202" t="n">
        <x:v>0</x:v>
      </x:c>
      <x:c r="I202" t="str">
        <x:v>3915680</x:v>
      </x:c>
      <x:c r="J202" t="str">
        <x:v>NY GOLDEN KEY DEVELOPMENT LLC</x:v>
      </x:c>
      <x:c r="K202" s="55" t="n">
        <x:v>40232</x:v>
      </x:c>
      <x:c r="L202" t="str">
        <x:v>Queens</x:v>
      </x:c>
      <x:c r="M202" t="str">
        <x:v>New York</x:v>
      </x:c>
      <x:c r="N202" t="str">
        <x:v>DOMESTIC LIMITED LIABILITY COMPANY</x:v>
      </x:c>
      <x:c r="O202" t="str">
        <x:v>NY GOLDEN KEY DEVELOPMENT LLC</x:v>
      </x:c>
      <x:c r="P202" t="str">
        <x:v>2121 EAST 16TH STREET, 2/FL, BROOKLYN, NY, 11229</x:v>
      </x:c>
      <x:c r="Q202" t="str"/>
      <x:c r="R202" t="str"/>
      <x:c r="S202" t="str"/>
      <x:c r="T202" t="str"/>
      <x:c r="U202" t="str"/>
      <x:c r="V202" t="str"/>
      <x:c r="W202" t="str"/>
      <x:c r="X202" t="str"/>
      <x:c r="Y202" t="str">
        <x:v>https://data.ny.gov/Economic-Development/Active-Corporations-Beginning-1800/n9v6-gdp6</x:v>
      </x:c>
    </x:row>
    <x:row r="203">
      <x:c r="A203" t="str">
        <x:v>DOS-3-068</x:v>
      </x:c>
      <x:c r="B203" t="n">
        <x:v>3</x:v>
      </x:c>
      <x:c r="C203" t="str">
        <x:v>8225 3RD AVENUE, BROOKLYN, NY, 11209, US</x:v>
      </x:c>
      <x:c r="D203" t="str">
        <x:v>FC CLIFTON PLACE ASSOCIATES LLC</x:v>
      </x:c>
      <x:c r="E203" t="str">
        <x:v>FC CLIFTON PLACE ASSOCIATES, LLC</x:v>
      </x:c>
      <x:c r="F203" t="str">
        <x:v>Active name match</x:v>
      </x:c>
      <x:c r="G203" t="n">
        <x:v>1</x:v>
      </x:c>
      <x:c r="H203" t="n">
        <x:v>1</x:v>
      </x:c>
      <x:c r="I203" t="str">
        <x:v>4165177</x:v>
      </x:c>
      <x:c r="J203" t="str">
        <x:v>FC CLIFTON PLACE ASSOCIATES, LLC</x:v>
      </x:c>
      <x:c r="K203" s="55" t="n">
        <x:v>40861</x:v>
      </x:c>
      <x:c r="L203" t="str">
        <x:v>Kings</x:v>
      </x:c>
      <x:c r="M203" t="str">
        <x:v>New York</x:v>
      </x:c>
      <x:c r="N203" t="str">
        <x:v>DOMESTIC LIMITED LIABILITY COMPANY</x:v>
      </x:c>
      <x:c r="O203" t="str">
        <x:v>FC CLIFTON PLACE ASSOCIATES, LLC</x:v>
      </x:c>
      <x:c r="P203" t="str">
        <x:v>8225 THIRD AVENUE, BROOKLYN, NY, 11209</x:v>
      </x:c>
      <x:c r="Q203" t="str"/>
      <x:c r="R203" t="str"/>
      <x:c r="S203" t="str"/>
      <x:c r="T203" t="str"/>
      <x:c r="U203" t="str"/>
      <x:c r="V203" t="str"/>
      <x:c r="W203" t="str"/>
      <x:c r="X203" t="str"/>
      <x:c r="Y203" t="str">
        <x:v>https://data.ny.gov/Economic-Development/Active-Corporations-Beginning-1800/n9v6-gdp6</x:v>
      </x:c>
    </x:row>
    <x:row r="204">
      <x:c r="A204" t="str">
        <x:v>DOS-3-068</x:v>
      </x:c>
      <x:c r="B204" t="n">
        <x:v>3</x:v>
      </x:c>
      <x:c r="C204" t="str">
        <x:v>8225 3RD AVENUE, BROOKLYN, NY, 11209, US</x:v>
      </x:c>
      <x:c r="D204" t="str">
        <x:v>HC CLIFTON PLACE ASSOCIATES LLC</x:v>
      </x:c>
      <x:c r="E204" t="str">
        <x:v>HC CLIFTON PLACE ASSOCIATES, LLC</x:v>
      </x:c>
      <x:c r="F204" t="str">
        <x:v>Active name match</x:v>
      </x:c>
      <x:c r="G204" t="n">
        <x:v>1</x:v>
      </x:c>
      <x:c r="H204" t="n">
        <x:v>1</x:v>
      </x:c>
      <x:c r="I204" t="str">
        <x:v>4165180</x:v>
      </x:c>
      <x:c r="J204" t="str">
        <x:v>HC CLIFTON PLACE ASSOCIATES, LLC</x:v>
      </x:c>
      <x:c r="K204" s="55" t="n">
        <x:v>40861</x:v>
      </x:c>
      <x:c r="L204" t="str">
        <x:v>Kings</x:v>
      </x:c>
      <x:c r="M204" t="str">
        <x:v>New York</x:v>
      </x:c>
      <x:c r="N204" t="str">
        <x:v>DOMESTIC LIMITED LIABILITY COMPANY</x:v>
      </x:c>
      <x:c r="O204" t="str">
        <x:v>HC CLIFTON PLACE ASSOCIATES, LLC</x:v>
      </x:c>
      <x:c r="P204" t="str">
        <x:v>8225 THIRD AVENUE, BROOKLYN, NY, 11209</x:v>
      </x:c>
      <x:c r="Q204" t="str"/>
      <x:c r="R204" t="str"/>
      <x:c r="S204" t="str"/>
      <x:c r="T204" t="str"/>
      <x:c r="U204" t="str"/>
      <x:c r="V204" t="str"/>
      <x:c r="W204" t="str"/>
      <x:c r="X204" t="str"/>
      <x:c r="Y204" t="str">
        <x:v>https://data.ny.gov/Economic-Development/Active-Corporations-Beginning-1800/n9v6-gdp6</x:v>
      </x:c>
    </x:row>
    <x:row r="205">
      <x:c r="A205" t="str">
        <x:v>DOS-3-068</x:v>
      </x:c>
      <x:c r="B205" t="n">
        <x:v>3</x:v>
      </x:c>
      <x:c r="C205" t="str">
        <x:v>8225 3RD AVENUE, BROOKLYN, NY, 11209, US</x:v>
      </x:c>
      <x:c r="D205" t="str">
        <x:v>MC CLIFTON PLACE ASSOCIATES LLC</x:v>
      </x:c>
      <x:c r="E205" t="str">
        <x:v>MC CLIFTON PLACE ASSOCIATES, LLC</x:v>
      </x:c>
      <x:c r="F205" t="str">
        <x:v>Active name match</x:v>
      </x:c>
      <x:c r="G205" t="n">
        <x:v>1</x:v>
      </x:c>
      <x:c r="H205" t="n">
        <x:v>1</x:v>
      </x:c>
      <x:c r="I205" t="str">
        <x:v>4165174</x:v>
      </x:c>
      <x:c r="J205" t="str">
        <x:v>MC CLIFTON PLACE ASSOCIATES, LLC</x:v>
      </x:c>
      <x:c r="K205" s="55" t="n">
        <x:v>40861</x:v>
      </x:c>
      <x:c r="L205" t="str">
        <x:v>Kings</x:v>
      </x:c>
      <x:c r="M205" t="str">
        <x:v>New York</x:v>
      </x:c>
      <x:c r="N205" t="str">
        <x:v>DOMESTIC LIMITED LIABILITY COMPANY</x:v>
      </x:c>
      <x:c r="O205" t="str">
        <x:v>MC CLIFTON PLACE ASSOCIATES, LLC</x:v>
      </x:c>
      <x:c r="P205" t="str">
        <x:v>8225 THIRD AVENUE, BROOKLYN, NY, 11209</x:v>
      </x:c>
      <x:c r="Q205" t="str"/>
      <x:c r="R205" t="str"/>
      <x:c r="S205" t="str"/>
      <x:c r="T205" t="str"/>
      <x:c r="U205" t="str"/>
      <x:c r="V205" t="str"/>
      <x:c r="W205" t="str"/>
      <x:c r="X205" t="str"/>
      <x:c r="Y205" t="str">
        <x:v>https://data.ny.gov/Economic-Development/Active-Corporations-Beginning-1800/n9v6-gdp6</x:v>
      </x:c>
    </x:row>
    <x:row r="206">
      <x:c r="A206" t="str">
        <x:v>DOS-3-069</x:v>
      </x:c>
      <x:c r="B206" t="n">
        <x:v>3</x:v>
      </x:c>
      <x:c r="C206" t="str">
        <x:v>9350 WILSHIRE BLVD., SUITE 300, BEVERLY HILLS, CA, 90212, US</x:v>
      </x:c>
      <x:c r="D206" t="str">
        <x:v>12TH AND 1ST DE LLC</x:v>
      </x:c>
      <x:c r="E206" t="str">
        <x:v>12TH &amp; 1ST DE LLC</x:v>
      </x:c>
      <x:c r="F206" t="str">
        <x:v>Active name match</x:v>
      </x:c>
      <x:c r="G206" t="n">
        <x:v>1</x:v>
      </x:c>
      <x:c r="H206" t="n">
        <x:v>0</x:v>
      </x:c>
      <x:c r="I206" t="str">
        <x:v>5599870</x:v>
      </x:c>
      <x:c r="J206" t="str">
        <x:v>12TH &amp; 1ST DE LLC</x:v>
      </x:c>
      <x:c r="K206" s="55" t="n">
        <x:v>43683</x:v>
      </x:c>
      <x:c r="L206" t="str">
        <x:v>Westchester</x:v>
      </x:c>
      <x:c r="M206" t="str">
        <x:v>Delaware</x:v>
      </x:c>
      <x:c r="N206" t="str">
        <x:v>FOREIGN LIMITED LIABILITY COMPANY</x:v>
      </x:c>
      <x:c r="O206" t="str">
        <x:v>C/O KAPLOWITZ LAW PLLC</x:v>
      </x:c>
      <x:c r="P206" t="str">
        <x:v>145 HUGUENOT STREET, SUITE 503, NEW ROCHELLE, NY, 10801</x:v>
      </x:c>
      <x:c r="Q206" t="str"/>
      <x:c r="R206" t="str"/>
      <x:c r="S206" t="str"/>
      <x:c r="T206" t="str"/>
      <x:c r="U206" t="str"/>
      <x:c r="V206" t="str"/>
      <x:c r="W206" t="str"/>
      <x:c r="X206" t="str"/>
      <x:c r="Y206" t="str">
        <x:v>https://data.ny.gov/Economic-Development/Active-Corporations-Beginning-1800/n9v6-gdp6</x:v>
      </x:c>
    </x:row>
    <x:row r="207">
      <x:c r="A207" t="str">
        <x:v>DOS-3-069</x:v>
      </x:c>
      <x:c r="B207" t="n">
        <x:v>3</x:v>
      </x:c>
      <x:c r="C207" t="str">
        <x:v>9350 WILSHIRE BLVD., SUITE 300, BEVERLY HILLS, CA, 90212, US</x:v>
      </x:c>
      <x:c r="D207" t="str">
        <x:v>417 EAST 72ND STREET ASSOCIATES DE LLC</x:v>
      </x:c>
      <x:c r="E207" t="str">
        <x:v>417 EAST 72ND STREET ASSOCIATES DE LLC</x:v>
      </x:c>
      <x:c r="F207" t="str">
        <x:v>Active name match</x:v>
      </x:c>
      <x:c r="G207" t="n">
        <x:v>1</x:v>
      </x:c>
      <x:c r="H207" t="n">
        <x:v>0</x:v>
      </x:c>
      <x:c r="I207" t="str">
        <x:v>5599862</x:v>
      </x:c>
      <x:c r="J207" t="str">
        <x:v>417 EAST 72ND STREET ASSOCIATES DE LLC</x:v>
      </x:c>
      <x:c r="K207" s="55" t="n">
        <x:v>43683</x:v>
      </x:c>
      <x:c r="L207" t="str">
        <x:v>Westchester</x:v>
      </x:c>
      <x:c r="M207" t="str">
        <x:v>Delaware</x:v>
      </x:c>
      <x:c r="N207" t="str">
        <x:v>FOREIGN LIMITED LIABILITY COMPANY</x:v>
      </x:c>
      <x:c r="O207" t="str">
        <x:v>417 EAST 72ND STREET ASSOCIATES DE LLC</x:v>
      </x:c>
      <x:c r="P207" t="str">
        <x:v>145 huguenot street, suite 503, NEW ROCHELLE, NY, 10801</x:v>
      </x:c>
      <x:c r="Q207" t="str"/>
      <x:c r="R207" t="str"/>
      <x:c r="S207" t="str"/>
      <x:c r="T207" t="str"/>
      <x:c r="U207" t="str"/>
      <x:c r="V207" t="str"/>
      <x:c r="W207" t="str"/>
      <x:c r="X207" t="str"/>
      <x:c r="Y207" t="str">
        <x:v>https://data.ny.gov/Economic-Development/Active-Corporations-Beginning-1800/n9v6-gdp6</x:v>
      </x:c>
    </x:row>
    <x:row r="208">
      <x:c r="A208" t="str">
        <x:v>DOS-3-069</x:v>
      </x:c>
      <x:c r="B208" t="n">
        <x:v>3</x:v>
      </x:c>
      <x:c r="C208" t="str">
        <x:v>9350 WILSHIRE BLVD., SUITE 300, BEVERLY HILLS, CA, 90212, US</x:v>
      </x:c>
      <x:c r="D208" t="str">
        <x:v>SHEMIRAN CO DE LLC</x:v>
      </x:c>
      <x:c r="E208" t="str">
        <x:v>SHEMIRAN CO. DE LLC</x:v>
      </x:c>
      <x:c r="F208" t="str">
        <x:v>Active name match</x:v>
      </x:c>
      <x:c r="G208" t="n">
        <x:v>1</x:v>
      </x:c>
      <x:c r="H208" t="n">
        <x:v>0</x:v>
      </x:c>
      <x:c r="I208" t="str">
        <x:v>5603317</x:v>
      </x:c>
      <x:c r="J208" t="str">
        <x:v>SHEMIRAN CO. DE LLC</x:v>
      </x:c>
      <x:c r="K208" s="55" t="n">
        <x:v>43690</x:v>
      </x:c>
      <x:c r="L208" t="str">
        <x:v>Westchester</x:v>
      </x:c>
      <x:c r="M208" t="str">
        <x:v>Delaware</x:v>
      </x:c>
      <x:c r="N208" t="str">
        <x:v>FOREIGN LIMITED LIABILITY COMPANY</x:v>
      </x:c>
      <x:c r="O208" t="str">
        <x:v>C/O KAPLOWITZ LAW PLLC</x:v>
      </x:c>
      <x:c r="P208" t="str">
        <x:v>145 HUGUENOT STREET, SUITE 503, NEW ROCHELLE, NY, 10801</x:v>
      </x:c>
      <x:c r="Q208" t="str"/>
      <x:c r="R208" t="str"/>
      <x:c r="S208" t="str"/>
      <x:c r="T208" t="str"/>
      <x:c r="U208" t="str"/>
      <x:c r="V208" t="str"/>
      <x:c r="W208" t="str"/>
      <x:c r="X208" t="str"/>
      <x:c r="Y208" t="str">
        <x:v>https://data.ny.gov/Economic-Development/Active-Corporations-Beginning-1800/n9v6-gdp6</x:v>
      </x:c>
    </x:row>
    <x:row r="209">
      <x:c r="A209" t="str">
        <x:v>DOS-3-070</x:v>
      </x:c>
      <x:c r="B209" t="n">
        <x:v>3</x:v>
      </x:c>
      <x:c r="C209" t="str">
        <x:v>126 13TH STREET, BROOKLYN, NY, 11215, US</x:v>
      </x:c>
      <x:c r="D209" t="str">
        <x:v>9820 REALTY LLC</x:v>
      </x:c>
      <x:c r="E209" t="str">
        <x:v>9820 REALTY, LLC</x:v>
      </x:c>
      <x:c r="F209" t="str">
        <x:v>Active name match</x:v>
      </x:c>
      <x:c r="G209" t="n">
        <x:v>1</x:v>
      </x:c>
      <x:c r="H209" t="n">
        <x:v>0</x:v>
      </x:c>
      <x:c r="I209" t="str">
        <x:v>4628232</x:v>
      </x:c>
      <x:c r="J209" t="str">
        <x:v>9820 REALTY, LLC</x:v>
      </x:c>
      <x:c r="K209" s="55" t="n">
        <x:v>41878</x:v>
      </x:c>
      <x:c r="L209" t="str">
        <x:v>Albany</x:v>
      </x:c>
      <x:c r="M209" t="str">
        <x:v>New York</x:v>
      </x:c>
      <x:c r="N209" t="str">
        <x:v>DOMESTIC LIMITED LIABILITY COMPANY</x:v>
      </x:c>
      <x:c r="O209" t="str">
        <x:v>ALLSTATE CORPORATE SERVICES CORP.</x:v>
      </x:c>
      <x:c r="P209" t="str">
        <x:v>99 WASHINGTON AVE, SUITE 1008, ALBANY, NY, 12260</x:v>
      </x:c>
      <x:c r="Q209" t="str"/>
      <x:c r="R209" t="str"/>
      <x:c r="S209" t="str">
        <x:v>ALLSTATE CORPORATE SERVICES CORP.</x:v>
      </x:c>
      <x:c r="T209" t="str">
        <x:v>99 WASHINGTON AVE, SUITE 1008, ALBANY, NEW YORK, 12260</x:v>
      </x:c>
      <x:c r="U209" t="str"/>
      <x:c r="V209" t="str"/>
      <x:c r="W209" t="str"/>
      <x:c r="X209" t="str"/>
      <x:c r="Y209" t="str">
        <x:v>https://data.ny.gov/Economic-Development/Active-Corporations-Beginning-1800/n9v6-gdp6</x:v>
      </x:c>
    </x:row>
    <x:row r="210">
      <x:c r="A210" t="str">
        <x:v>DOS-3-070</x:v>
      </x:c>
      <x:c r="B210" t="n">
        <x:v>3</x:v>
      </x:c>
      <x:c r="C210" t="str">
        <x:v>126 13TH STREET, BROOKLYN, NY, 11215, US</x:v>
      </x:c>
      <x:c r="D210" t="str">
        <x:v>DIR REALTY LLC</x:v>
      </x:c>
      <x:c r="E210" t="str">
        <x:v>DIR REALTY LLC</x:v>
      </x:c>
      <x:c r="F210" t="str">
        <x:v>Address-corroborated active match</x:v>
      </x:c>
      <x:c r="G210" t="n">
        <x:v>1</x:v>
      </x:c>
      <x:c r="H210" t="n">
        <x:v>2</x:v>
      </x:c>
      <x:c r="I210" t="str">
        <x:v>5498506</x:v>
      </x:c>
      <x:c r="J210" t="str">
        <x:v>DIR REALTY LLC</x:v>
      </x:c>
      <x:c r="K210" s="55" t="n">
        <x:v>43517</x:v>
      </x:c>
      <x:c r="L210" t="str">
        <x:v>Kings</x:v>
      </x:c>
      <x:c r="M210" t="str">
        <x:v>New York</x:v>
      </x:c>
      <x:c r="N210" t="str">
        <x:v>DOMESTIC LIMITED LIABILITY COMPANY</x:v>
      </x:c>
      <x:c r="O210" t="str">
        <x:v>DIR REALTY LLC</x:v>
      </x:c>
      <x:c r="P210" t="str">
        <x:v>126 13TH STREET, BROOKLYN, NY, 11215</x:v>
      </x:c>
      <x:c r="Q210" t="str"/>
      <x:c r="R210" t="str"/>
      <x:c r="S210" t="str"/>
      <x:c r="T210" t="str"/>
      <x:c r="U210" t="str"/>
      <x:c r="V210" t="str"/>
      <x:c r="W210" t="str"/>
      <x:c r="X210" t="str"/>
      <x:c r="Y210" t="str">
        <x:v>https://data.ny.gov/Economic-Development/Active-Corporations-Beginning-1800/n9v6-gdp6</x:v>
      </x:c>
    </x:row>
    <x:row r="211">
      <x:c r="A211" t="str">
        <x:v>DOS-3-070</x:v>
      </x:c>
      <x:c r="B211" t="n">
        <x:v>3</x:v>
      </x:c>
      <x:c r="C211" t="str">
        <x:v>126 13TH STREET, BROOKLYN, NY, 11215, US</x:v>
      </x:c>
      <x:c r="D211" t="str">
        <x:v>MELANDA REALTY LLC</x:v>
      </x:c>
      <x:c r="E211" t="str">
        <x:v>MELANDA REALTY LLC</x:v>
      </x:c>
      <x:c r="F211" t="str">
        <x:v>Active name match</x:v>
      </x:c>
      <x:c r="G211" t="n">
        <x:v>1</x:v>
      </x:c>
      <x:c r="H211" t="n">
        <x:v>0</x:v>
      </x:c>
      <x:c r="I211" t="str">
        <x:v>5237335</x:v>
      </x:c>
      <x:c r="J211" t="str">
        <x:v>MELANDA REALTY LLC</x:v>
      </x:c>
      <x:c r="K211" s="55" t="n">
        <x:v>43056</x:v>
      </x:c>
      <x:c r="L211" t="str">
        <x:v>Kings</x:v>
      </x:c>
      <x:c r="M211" t="str">
        <x:v>New York</x:v>
      </x:c>
      <x:c r="N211" t="str">
        <x:v>DOMESTIC LIMITED LIABILITY COMPANY</x:v>
      </x:c>
      <x:c r="O211" t="str">
        <x:v>UNITED STATES CORPORATION AGENTS, INC.</x:v>
      </x:c>
      <x:c r="P211" t="str">
        <x:v>7014 13TH AVENUE, SUITE 202, BROOKLYN, NY, 11228</x:v>
      </x:c>
      <x:c r="Q211" t="str"/>
      <x:c r="R211" t="str"/>
      <x:c r="S211" t="str"/>
      <x:c r="T211" t="str"/>
      <x:c r="U211" t="str"/>
      <x:c r="V211" t="str"/>
      <x:c r="W211" t="str"/>
      <x:c r="X211" t="str"/>
      <x:c r="Y211" t="str">
        <x:v>https://data.ny.gov/Economic-Development/Active-Corporations-Beginning-1800/n9v6-gdp6</x:v>
      </x:c>
    </x:row>
    <x:row r="212">
      <x:c r="A212" t="str">
        <x:v>DOS-3-071</x:v>
      </x:c>
      <x:c r="B212" t="n">
        <x:v>3</x:v>
      </x:c>
      <x:c r="C212" t="str">
        <x:v>1337 59TH STREET, BROOKLYN, NY, 11219, US</x:v>
      </x:c>
      <x:c r="D212" t="str">
        <x:v>3615 15 REALTY I LLC</x:v>
      </x:c>
      <x:c r="E212" t="str">
        <x:v>3615-15 REALTY I LLC</x:v>
      </x:c>
      <x:c r="F212" t="str">
        <x:v>Address-corroborated active match</x:v>
      </x:c>
      <x:c r="G212" t="n">
        <x:v>1</x:v>
      </x:c>
      <x:c r="H212" t="n">
        <x:v>2</x:v>
      </x:c>
      <x:c r="I212" t="str">
        <x:v>3753697</x:v>
      </x:c>
      <x:c r="J212" t="str">
        <x:v>3615-15 REALTY I LLC</x:v>
      </x:c>
      <x:c r="K212" s="55" t="n">
        <x:v>39798</x:v>
      </x:c>
      <x:c r="L212" t="str">
        <x:v>Kings</x:v>
      </x:c>
      <x:c r="M212" t="str">
        <x:v>New York</x:v>
      </x:c>
      <x:c r="N212" t="str">
        <x:v>DOMESTIC LIMITED LIABILITY COMPANY</x:v>
      </x:c>
      <x:c r="O212" t="str">
        <x:v>3615-15 REALTY I LLC</x:v>
      </x:c>
      <x:c r="P212" t="str">
        <x:v>1337 59TH STREET, BROOKLYN, NY, 11219</x:v>
      </x:c>
      <x:c r="Q212" t="str"/>
      <x:c r="R212" t="str"/>
      <x:c r="S212" t="str"/>
      <x:c r="T212" t="str"/>
      <x:c r="U212" t="str"/>
      <x:c r="V212" t="str"/>
      <x:c r="W212" t="str"/>
      <x:c r="X212" t="str"/>
      <x:c r="Y212" t="str">
        <x:v>https://data.ny.gov/Economic-Development/Active-Corporations-Beginning-1800/n9v6-gdp6</x:v>
      </x:c>
    </x:row>
    <x:row r="213">
      <x:c r="A213" t="str">
        <x:v>DOS-3-071</x:v>
      </x:c>
      <x:c r="B213" t="n">
        <x:v>3</x:v>
      </x:c>
      <x:c r="C213" t="str">
        <x:v>1337 59TH STREET, BROOKLYN, NY, 11219, US</x:v>
      </x:c>
      <x:c r="D213" t="str">
        <x:v>DAHILL 477 LLC</x:v>
      </x:c>
      <x:c r="E213" t="str">
        <x:v>DAHILL 477 LLC</x:v>
      </x:c>
      <x:c r="F213" t="str">
        <x:v>Active name match</x:v>
      </x:c>
      <x:c r="G213" t="n">
        <x:v>1</x:v>
      </x:c>
      <x:c r="H213" t="n">
        <x:v>0</x:v>
      </x:c>
      <x:c r="I213" t="str">
        <x:v>4490277</x:v>
      </x:c>
      <x:c r="J213" t="str">
        <x:v>DAHILL 477 LLC</x:v>
      </x:c>
      <x:c r="K213" s="55" t="n">
        <x:v>41598</x:v>
      </x:c>
      <x:c r="L213" t="str">
        <x:v>Kings</x:v>
      </x:c>
      <x:c r="M213" t="str">
        <x:v>New York</x:v>
      </x:c>
      <x:c r="N213" t="str">
        <x:v>DOMESTIC LIMITED LIABILITY COMPANY</x:v>
      </x:c>
      <x:c r="O213" t="str">
        <x:v>DAHILL 477 LLC</x:v>
      </x:c>
      <x:c r="P213" t="str">
        <x:v>473 DAHILL ROAD, BROOKLYN, NY, 11218</x:v>
      </x:c>
      <x:c r="Q213" t="str"/>
      <x:c r="R213" t="str"/>
      <x:c r="S213" t="str"/>
      <x:c r="T213" t="str"/>
      <x:c r="U213" t="str"/>
      <x:c r="V213" t="str"/>
      <x:c r="W213" t="str"/>
      <x:c r="X213" t="str"/>
      <x:c r="Y213" t="str">
        <x:v>https://data.ny.gov/Economic-Development/Active-Corporations-Beginning-1800/n9v6-gdp6</x:v>
      </x:c>
    </x:row>
    <x:row r="214">
      <x:c r="A214" t="str">
        <x:v>DOS-3-071</x:v>
      </x:c>
      <x:c r="B214" t="n">
        <x:v>3</x:v>
      </x:c>
      <x:c r="C214" t="str">
        <x:v>1337 59TH STREET, BROOKLYN, NY, 11219, US</x:v>
      </x:c>
      <x:c r="D214" t="str">
        <x:v>LAWRENCE GARDENS HOLDINGS LLC</x:v>
      </x:c>
      <x:c r="E214" t="str">
        <x:v>LAWRENCE GARDENS HOLDINGS LLC</x:v>
      </x:c>
      <x:c r="F214" t="str">
        <x:v>Address-corroborated active match</x:v>
      </x:c>
      <x:c r="G214" t="n">
        <x:v>1</x:v>
      </x:c>
      <x:c r="H214" t="n">
        <x:v>2</x:v>
      </x:c>
      <x:c r="I214" t="str">
        <x:v>5502682</x:v>
      </x:c>
      <x:c r="J214" t="str">
        <x:v>LAWRENCE GARDENS HOLDINGS LLC</x:v>
      </x:c>
      <x:c r="K214" s="55" t="n">
        <x:v>43523</x:v>
      </x:c>
      <x:c r="L214" t="str">
        <x:v>Kings</x:v>
      </x:c>
      <x:c r="M214" t="str">
        <x:v>New York</x:v>
      </x:c>
      <x:c r="N214" t="str">
        <x:v>DOMESTIC LIMITED LIABILITY COMPANY</x:v>
      </x:c>
      <x:c r="O214" t="str">
        <x:v>LAWRENCE GARDENS HOLDINGS LLC</x:v>
      </x:c>
      <x:c r="P214" t="str">
        <x:v>1337 59TH STREET, BROOKLYN, NY, 11219</x:v>
      </x:c>
      <x:c r="Q214" t="str"/>
      <x:c r="R214" t="str"/>
      <x:c r="S214" t="str"/>
      <x:c r="T214" t="str"/>
      <x:c r="U214" t="str"/>
      <x:c r="V214" t="str"/>
      <x:c r="W214" t="str"/>
      <x:c r="X214" t="str"/>
      <x:c r="Y214" t="str">
        <x:v>https://data.ny.gov/Economic-Development/Active-Corporations-Beginning-1800/n9v6-gdp6</x:v>
      </x:c>
    </x:row>
    <x:row r="215">
      <x:c r="A215" t="str">
        <x:v>DOS-3-072</x:v>
      </x:c>
      <x:c r="B215" t="n">
        <x:v>3</x:v>
      </x:c>
      <x:c r="C215" t="str">
        <x:v>202 EAST 29TH STREET, NEW YORK, NY, 10016, US</x:v>
      </x:c>
      <x:c r="D215" t="str">
        <x:v>CASTILLO 2 WEST LLC</x:v>
      </x:c>
      <x:c r="E215" t="str">
        <x:v>CASTILLO 2 WEST LLC</x:v>
      </x:c>
      <x:c r="F215" t="str">
        <x:v>Active name match</x:v>
      </x:c>
      <x:c r="G215" t="n">
        <x:v>1</x:v>
      </x:c>
      <x:c r="H215" t="n">
        <x:v>0</x:v>
      </x:c>
      <x:c r="I215" t="str">
        <x:v>5442633</x:v>
      </x:c>
      <x:c r="J215" t="str">
        <x:v>CASTILLO 2 WEST LLC</x:v>
      </x:c>
      <x:c r="K215" s="55" t="n">
        <x:v>43417</x:v>
      </x:c>
      <x:c r="L215" t="str">
        <x:v>Kings</x:v>
      </x:c>
      <x:c r="M215" t="str">
        <x:v>New York</x:v>
      </x:c>
      <x:c r="N215" t="str">
        <x:v>DOMESTIC LIMITED LIABILITY COMPANY</x:v>
      </x:c>
      <x:c r="O215" t="str">
        <x:v>CASTILLO 2 WEST LLC</x:v>
      </x:c>
      <x:c r="P215" t="str">
        <x:v>C/O SOONAE SAKOW, 139 LINCOLN PLACE, BROOKLYN, NY, 11217</x:v>
      </x:c>
      <x:c r="Q215" t="str"/>
      <x:c r="R215" t="str"/>
      <x:c r="S215" t="str"/>
      <x:c r="T215" t="str"/>
      <x:c r="U215" t="str"/>
      <x:c r="V215" t="str"/>
      <x:c r="W215" t="str"/>
      <x:c r="X215" t="str"/>
      <x:c r="Y215" t="str">
        <x:v>https://data.ny.gov/Economic-Development/Active-Corporations-Beginning-1800/n9v6-gdp6</x:v>
      </x:c>
    </x:row>
    <x:row r="216">
      <x:c r="A216" t="str">
        <x:v>DOS-3-072</x:v>
      </x:c>
      <x:c r="B216" t="n">
        <x:v>3</x:v>
      </x:c>
      <x:c r="C216" t="str">
        <x:v>202 EAST 29TH STREET, NEW YORK, NY, 10016, US</x:v>
      </x:c>
      <x:c r="D216" t="str">
        <x:v>CASTILLO 3 WEST LLC</x:v>
      </x:c>
      <x:c r="E216" t="str">
        <x:v>CASTILLO 3 WEST LLC</x:v>
      </x:c>
      <x:c r="F216" t="str">
        <x:v>Active name match</x:v>
      </x:c>
      <x:c r="G216" t="n">
        <x:v>1</x:v>
      </x:c>
      <x:c r="H216" t="n">
        <x:v>0</x:v>
      </x:c>
      <x:c r="I216" t="str">
        <x:v>5442750</x:v>
      </x:c>
      <x:c r="J216" t="str">
        <x:v>CASTILLO 3 WEST LLC</x:v>
      </x:c>
      <x:c r="K216" s="55" t="n">
        <x:v>43417</x:v>
      </x:c>
      <x:c r="L216" t="str">
        <x:v>Kings</x:v>
      </x:c>
      <x:c r="M216" t="str">
        <x:v>New York</x:v>
      </x:c>
      <x:c r="N216" t="str">
        <x:v>DOMESTIC LIMITED LIABILITY COMPANY</x:v>
      </x:c>
      <x:c r="O216" t="str">
        <x:v>CASTILLO 3 WEST LLC</x:v>
      </x:c>
      <x:c r="P216" t="str">
        <x:v>C/O SOONAE SAKOW, 139 LINCOLN PLACE, BROOKLYN, NY, 11217</x:v>
      </x:c>
      <x:c r="Q216" t="str"/>
      <x:c r="R216" t="str"/>
      <x:c r="S216" t="str"/>
      <x:c r="T216" t="str"/>
      <x:c r="U216" t="str"/>
      <x:c r="V216" t="str"/>
      <x:c r="W216" t="str"/>
      <x:c r="X216" t="str"/>
      <x:c r="Y216" t="str">
        <x:v>https://data.ny.gov/Economic-Development/Active-Corporations-Beginning-1800/n9v6-gdp6</x:v>
      </x:c>
    </x:row>
    <x:row r="217">
      <x:c r="A217" t="str">
        <x:v>DOS-3-072</x:v>
      </x:c>
      <x:c r="B217" t="n">
        <x:v>3</x:v>
      </x:c>
      <x:c r="C217" t="str">
        <x:v>202 EAST 29TH STREET, NEW YORK, NY, 10016, US</x:v>
      </x:c>
      <x:c r="D217" t="str">
        <x:v>CASTILLO EAST LLC</x:v>
      </x:c>
      <x:c r="E217" t="str">
        <x:v>CASTILLO EAST LLC</x:v>
      </x:c>
      <x:c r="F217" t="str">
        <x:v>Active name match</x:v>
      </x:c>
      <x:c r="G217" t="n">
        <x:v>1</x:v>
      </x:c>
      <x:c r="H217" t="n">
        <x:v>0</x:v>
      </x:c>
      <x:c r="I217" t="str">
        <x:v>4834575</x:v>
      </x:c>
      <x:c r="J217" t="str">
        <x:v>CASTILLO EAST LLC</x:v>
      </x:c>
      <x:c r="K217" s="55" t="n">
        <x:v>42292</x:v>
      </x:c>
      <x:c r="L217" t="str">
        <x:v>Westchester</x:v>
      </x:c>
      <x:c r="M217" t="str">
        <x:v>New York</x:v>
      </x:c>
      <x:c r="N217" t="str">
        <x:v>DOMESTIC LIMITED LIABILITY COMPANY</x:v>
      </x:c>
      <x:c r="O217" t="str">
        <x:v>CASTILLO EAST LLC</x:v>
      </x:c>
      <x:c r="P217" t="str">
        <x:v>323 West Saddle River Road, Upper Saddle River, NJ, 07458</x:v>
      </x:c>
      <x:c r="Q217" t="str"/>
      <x:c r="R217" t="str"/>
      <x:c r="S217" t="str"/>
      <x:c r="T217" t="str"/>
      <x:c r="U217" t="str"/>
      <x:c r="V217" t="str"/>
      <x:c r="W217" t="str"/>
      <x:c r="X217" t="str"/>
      <x:c r="Y217" t="str">
        <x:v>https://data.ny.gov/Economic-Development/Active-Corporations-Beginning-1800/n9v6-gdp6</x:v>
      </x:c>
    </x:row>
    <x:row r="218">
      <x:c r="A218" t="str">
        <x:v>DOS-3-073</x:v>
      </x:c>
      <x:c r="B218" t="n">
        <x:v>3</x:v>
      </x:c>
      <x:c r="C218" t="str">
        <x:v>217-08 36TH AVENUE, BAYSIDE, NY, 11361, US</x:v>
      </x:c>
      <x:c r="D218" t="str">
        <x:v>34 28 30 LLC</x:v>
      </x:c>
      <x:c r="E218" t="str">
        <x:v>34-28 + 30 LLC</x:v>
      </x:c>
      <x:c r="F218" t="str">
        <x:v>Active name match</x:v>
      </x:c>
      <x:c r="G218" t="n">
        <x:v>1</x:v>
      </x:c>
      <x:c r="H218" t="n">
        <x:v>0</x:v>
      </x:c>
      <x:c r="I218" t="str">
        <x:v>6874098</x:v>
      </x:c>
      <x:c r="J218" t="str">
        <x:v>34-28 + 30 LLC</x:v>
      </x:c>
      <x:c r="K218" s="55" t="n">
        <x:v>45089</x:v>
      </x:c>
      <x:c r="L218" t="str">
        <x:v>Queens</x:v>
      </x:c>
      <x:c r="M218" t="str">
        <x:v>New York</x:v>
      </x:c>
      <x:c r="N218" t="str">
        <x:v>DOMESTIC LIMITED LIABILITY COMPANY</x:v>
      </x:c>
      <x:c r="O218" t="str">
        <x:v>USACORP INC</x:v>
      </x:c>
      <x:c r="P218" t="str">
        <x:v>266 BROADWAY STE 401, BROOKLYN, NY, 11211</x:v>
      </x:c>
      <x:c r="Q218" t="str"/>
      <x:c r="R218" t="str"/>
      <x:c r="S218" t="str">
        <x:v>USACORP INC</x:v>
      </x:c>
      <x:c r="T218" t="str">
        <x:v>266 BROADWAY STE 401, BROOKLYN, NEW YORK, 11211</x:v>
      </x:c>
      <x:c r="U218" t="str"/>
      <x:c r="V218" t="str"/>
      <x:c r="W218" t="str"/>
      <x:c r="X218" t="str"/>
      <x:c r="Y218" t="str">
        <x:v>https://data.ny.gov/Economic-Development/Active-Corporations-Beginning-1800/n9v6-gdp6</x:v>
      </x:c>
    </x:row>
    <x:row r="219">
      <x:c r="A219" t="str">
        <x:v>DOS-3-073</x:v>
      </x:c>
      <x:c r="B219" t="n">
        <x:v>3</x:v>
      </x:c>
      <x:c r="C219" t="str">
        <x:v>217-08 36TH AVENUE, BAYSIDE, NY, 11361, US</x:v>
      </x:c>
      <x:c r="D219" t="str">
        <x:v>37 16 18 LLC</x:v>
      </x:c>
      <x:c r="E219" t="str">
        <x:v>37-16 + 18 LLC</x:v>
      </x:c>
      <x:c r="F219" t="str">
        <x:v>Active name match</x:v>
      </x:c>
      <x:c r="G219" t="n">
        <x:v>1</x:v>
      </x:c>
      <x:c r="H219" t="n">
        <x:v>0</x:v>
      </x:c>
      <x:c r="I219" t="str">
        <x:v>6875958</x:v>
      </x:c>
      <x:c r="J219" t="str">
        <x:v>37-16 + 18 LLC</x:v>
      </x:c>
      <x:c r="K219" s="55" t="n">
        <x:v>45091</x:v>
      </x:c>
      <x:c r="L219" t="str">
        <x:v>Queens</x:v>
      </x:c>
      <x:c r="M219" t="str">
        <x:v>New York</x:v>
      </x:c>
      <x:c r="N219" t="str">
        <x:v>DOMESTIC LIMITED LIABILITY COMPANY</x:v>
      </x:c>
      <x:c r="O219" t="str">
        <x:v>USACORP INC</x:v>
      </x:c>
      <x:c r="P219" t="str">
        <x:v>266 BROADWAY STE 401, BROOKLYN, NY, 11211</x:v>
      </x:c>
      <x:c r="Q219" t="str"/>
      <x:c r="R219" t="str"/>
      <x:c r="S219" t="str">
        <x:v>USACORP INC</x:v>
      </x:c>
      <x:c r="T219" t="str">
        <x:v>266 BROADWAY STE 401, BROOKLYN, NEW YORK, 11211</x:v>
      </x:c>
      <x:c r="U219" t="str"/>
      <x:c r="V219" t="str"/>
      <x:c r="W219" t="str"/>
      <x:c r="X219" t="str"/>
      <x:c r="Y219" t="str">
        <x:v>https://data.ny.gov/Economic-Development/Active-Corporations-Beginning-1800/n9v6-gdp6</x:v>
      </x:c>
    </x:row>
    <x:row r="220">
      <x:c r="A220" t="str">
        <x:v>DOS-3-073</x:v>
      </x:c>
      <x:c r="B220" t="n">
        <x:v>3</x:v>
      </x:c>
      <x:c r="C220" t="str">
        <x:v>217-08 36TH AVENUE, BAYSIDE, NY, 11361, US</x:v>
      </x:c>
      <x:c r="D220" t="str">
        <x:v>MOHIN MANAGEMENT LLC</x:v>
      </x:c>
      <x:c r="E220" t="str">
        <x:v>MOHIN MANAGEMENT LLC</x:v>
      </x:c>
      <x:c r="F220" t="str">
        <x:v>Active name match</x:v>
      </x:c>
      <x:c r="G220" t="n">
        <x:v>1</x:v>
      </x:c>
      <x:c r="H220" t="n">
        <x:v>0</x:v>
      </x:c>
      <x:c r="I220" t="str">
        <x:v>7829549</x:v>
      </x:c>
      <x:c r="J220" t="str">
        <x:v>MOHIN MANAGEMENT LLC</x:v>
      </x:c>
      <x:c r="K220" s="55" t="n">
        <x:v>46062</x:v>
      </x:c>
      <x:c r="L220" t="str">
        <x:v>Kings</x:v>
      </x:c>
      <x:c r="M220" t="str">
        <x:v>New York</x:v>
      </x:c>
      <x:c r="N220" t="str">
        <x:v>DOMESTIC LIMITED LIABILITY COMPANY</x:v>
      </x:c>
      <x:c r="O220" t="str">
        <x:v>USACORP INC</x:v>
      </x:c>
      <x:c r="P220" t="str">
        <x:v>266 BROADWAY STE 401, BROOKLYN, NY, 11211</x:v>
      </x:c>
      <x:c r="Q220" t="str"/>
      <x:c r="R220" t="str"/>
      <x:c r="S220" t="str">
        <x:v>USACORP INC</x:v>
      </x:c>
      <x:c r="T220" t="str">
        <x:v>266 BROADWAY STE 401, BROOKLYN, NEW YORK, 11211</x:v>
      </x:c>
      <x:c r="U220" t="str"/>
      <x:c r="V220" t="str"/>
      <x:c r="W220" t="str"/>
      <x:c r="X220" t="str"/>
      <x:c r="Y220" t="str">
        <x:v>https://data.ny.gov/Economic-Development/Active-Corporations-Beginning-1800/n9v6-gdp6</x:v>
      </x:c>
    </x:row>
    <x:row r="221">
      <x:c r="A221" t="str">
        <x:v>DOS-3-074</x:v>
      </x:c>
      <x:c r="B221" t="n">
        <x:v>3</x:v>
      </x:c>
      <x:c r="C221" t="str">
        <x:v>240 EAST 90TH STREET, APT. PHE, NEW YORK, NY, 10128, US</x:v>
      </x:c>
      <x:c r="D221" t="str">
        <x:v>JAM E 89 DE LLC</x:v>
      </x:c>
      <x:c r="E221" t="str">
        <x:v>JAM E 89 DE LLC</x:v>
      </x:c>
      <x:c r="F221" t="str">
        <x:v>Active name match</x:v>
      </x:c>
      <x:c r="G221" t="n">
        <x:v>1</x:v>
      </x:c>
      <x:c r="H221" t="n">
        <x:v>1</x:v>
      </x:c>
      <x:c r="I221" t="str">
        <x:v>7560662</x:v>
      </x:c>
      <x:c r="J221" t="str">
        <x:v>JAM E 89 DE LLC</x:v>
      </x:c>
      <x:c r="K221" s="55" t="n">
        <x:v>45730</x:v>
      </x:c>
      <x:c r="L221" t="str">
        <x:v>New York</x:v>
      </x:c>
      <x:c r="M221" t="str">
        <x:v>Delaware</x:v>
      </x:c>
      <x:c r="N221" t="str">
        <x:v>FOREIGN LIMITED LIABILITY COMPANY</x:v>
      </x:c>
      <x:c r="O221" t="str">
        <x:v>JAM E 89 DE LLC</x:v>
      </x:c>
      <x:c r="P221" t="str">
        <x:v>240 e 90th street, NEW YORK, NY, 10128</x:v>
      </x:c>
      <x:c r="Q221" t="str"/>
      <x:c r="R221" t="str"/>
      <x:c r="S221" t="str"/>
      <x:c r="T221" t="str"/>
      <x:c r="U221" t="str"/>
      <x:c r="V221" t="str"/>
      <x:c r="W221" t="str"/>
      <x:c r="X221" t="str"/>
      <x:c r="Y221" t="str">
        <x:v>https://data.ny.gov/Economic-Development/Active-Corporations-Beginning-1800/n9v6-gdp6</x:v>
      </x:c>
    </x:row>
    <x:row r="222">
      <x:c r="A222" t="str">
        <x:v>DOS-3-074</x:v>
      </x:c>
      <x:c r="B222" t="n">
        <x:v>3</x:v>
      </x:c>
      <x:c r="C222" t="str">
        <x:v>240 EAST 90TH STREET, APT. PHE, NEW YORK, NY, 10128, US</x:v>
      </x:c>
      <x:c r="D222" t="str">
        <x:v>SPARTON E33 DE LLC</x:v>
      </x:c>
      <x:c r="E222" t="str">
        <x:v>SPARTON E33 DE LLC</x:v>
      </x:c>
      <x:c r="F222" t="str">
        <x:v>Active name match</x:v>
      </x:c>
      <x:c r="G222" t="n">
        <x:v>1</x:v>
      </x:c>
      <x:c r="H222" t="n">
        <x:v>1</x:v>
      </x:c>
      <x:c r="I222" t="str">
        <x:v>7560686</x:v>
      </x:c>
      <x:c r="J222" t="str">
        <x:v>SPARTON E33 DE LLC</x:v>
      </x:c>
      <x:c r="K222" s="55" t="n">
        <x:v>45730</x:v>
      </x:c>
      <x:c r="L222" t="str">
        <x:v>New York</x:v>
      </x:c>
      <x:c r="M222" t="str">
        <x:v>Delaware</x:v>
      </x:c>
      <x:c r="N222" t="str">
        <x:v>FOREIGN LIMITED LIABILITY COMPANY</x:v>
      </x:c>
      <x:c r="O222" t="str">
        <x:v>SPARTON E33 DE LLC</x:v>
      </x:c>
      <x:c r="P222" t="str">
        <x:v>240 e 90th street, NEW YORK, NY, 10128</x:v>
      </x:c>
      <x:c r="Q222" t="str"/>
      <x:c r="R222" t="str"/>
      <x:c r="S222" t="str"/>
      <x:c r="T222" t="str"/>
      <x:c r="U222" t="str"/>
      <x:c r="V222" t="str"/>
      <x:c r="W222" t="str"/>
      <x:c r="X222" t="str"/>
      <x:c r="Y222" t="str">
        <x:v>https://data.ny.gov/Economic-Development/Active-Corporations-Beginning-1800/n9v6-gdp6</x:v>
      </x:c>
    </x:row>
    <x:row r="223">
      <x:c r="A223" t="str">
        <x:v>DOS-3-074</x:v>
      </x:c>
      <x:c r="B223" t="n">
        <x:v>3</x:v>
      </x:c>
      <x:c r="C223" t="str">
        <x:v>240 EAST 90TH STREET, APT. PHE, NEW YORK, NY, 10128, US</x:v>
      </x:c>
      <x:c r="D223" t="str">
        <x:v>TARGAM DE LLC</x:v>
      </x:c>
      <x:c r="E223" t="str">
        <x:v>TARGAM DE LLC</x:v>
      </x:c>
      <x:c r="F223" t="str">
        <x:v>Active name match</x:v>
      </x:c>
      <x:c r="G223" t="n">
        <x:v>1</x:v>
      </x:c>
      <x:c r="H223" t="n">
        <x:v>1</x:v>
      </x:c>
      <x:c r="I223" t="str">
        <x:v>7560674</x:v>
      </x:c>
      <x:c r="J223" t="str">
        <x:v>TARGAM DE LLC</x:v>
      </x:c>
      <x:c r="K223" s="55" t="n">
        <x:v>45730</x:v>
      </x:c>
      <x:c r="L223" t="str">
        <x:v>New York</x:v>
      </x:c>
      <x:c r="M223" t="str">
        <x:v>Delaware</x:v>
      </x:c>
      <x:c r="N223" t="str">
        <x:v>FOREIGN LIMITED LIABILITY COMPANY</x:v>
      </x:c>
      <x:c r="O223" t="str">
        <x:v>TARGAM DE LLC</x:v>
      </x:c>
      <x:c r="P223" t="str">
        <x:v>240 e  90th street, NEW YORK, NY, 10128</x:v>
      </x:c>
      <x:c r="Q223" t="str"/>
      <x:c r="R223" t="str"/>
      <x:c r="S223" t="str"/>
      <x:c r="T223" t="str"/>
      <x:c r="U223" t="str"/>
      <x:c r="V223" t="str"/>
      <x:c r="W223" t="str"/>
      <x:c r="X223" t="str"/>
      <x:c r="Y223" t="str">
        <x:v>https://data.ny.gov/Economic-Development/Active-Corporations-Beginning-1800/n9v6-gdp6</x:v>
      </x:c>
    </x:row>
    <x:row r="224">
      <x:c r="A224" t="str">
        <x:v>DOS-3-075</x:v>
      </x:c>
      <x:c r="B224" t="n">
        <x:v>3</x:v>
      </x:c>
      <x:c r="C224" t="str">
        <x:v>25A HANOVER ROAD, SUITE 350, FLORHAM PARK, NJ, 07932, US</x:v>
      </x:c>
      <x:c r="D224" t="str">
        <x:v>20 PINE STREET INVESTORS LLC</x:v>
      </x:c>
      <x:c r="E224" t="str">
        <x:v>20 PINE STREET INVESTORS LLC</x:v>
      </x:c>
      <x:c r="F224" t="str">
        <x:v>Address-corroborated active match</x:v>
      </x:c>
      <x:c r="G224" t="n">
        <x:v>1</x:v>
      </x:c>
      <x:c r="H224" t="n">
        <x:v>2</x:v>
      </x:c>
      <x:c r="I224" t="str">
        <x:v>4350625</x:v>
      </x:c>
      <x:c r="J224" t="str">
        <x:v>20 PINE STREET INVESTORS LLC</x:v>
      </x:c>
      <x:c r="K224" s="55" t="n">
        <x:v>41298</x:v>
      </x:c>
      <x:c r="L224" t="str">
        <x:v>New York</x:v>
      </x:c>
      <x:c r="M224" t="str">
        <x:v>Delaware</x:v>
      </x:c>
      <x:c r="N224" t="str">
        <x:v>FOREIGN LIMITED LIABILITY COMPANY</x:v>
      </x:c>
      <x:c r="O224" t="str">
        <x:v>C/O THE KLEIN GROUP</x:v>
      </x:c>
      <x:c r="P224" t="str">
        <x:v>25A HANOVER ROAD, SUITE 350, FLORHAM PARK, NJ, 07932</x:v>
      </x:c>
      <x:c r="Q224" t="str"/>
      <x:c r="R224" t="str"/>
      <x:c r="S224" t="str"/>
      <x:c r="T224" t="str"/>
      <x:c r="U224" t="str"/>
      <x:c r="V224" t="str"/>
      <x:c r="W224" t="str"/>
      <x:c r="X224" t="str"/>
      <x:c r="Y224" t="str">
        <x:v>https://data.ny.gov/Economic-Development/Active-Corporations-Beginning-1800/n9v6-gdp6</x:v>
      </x:c>
    </x:row>
    <x:row r="225">
      <x:c r="A225" t="str">
        <x:v>DOS-3-075</x:v>
      </x:c>
      <x:c r="B225" t="n">
        <x:v>3</x:v>
      </x:c>
      <x:c r="C225" t="str">
        <x:v>25A HANOVER ROAD, SUITE 350, FLORHAM PARK, NJ, 07932, US</x:v>
      </x:c>
      <x:c r="D225" t="str">
        <x:v>660 COLUMBUS RETAIL OWNER LLC</x:v>
      </x:c>
      <x:c r="E225" t="str">
        <x:v>660 COLUMBUS RETAIL OWNER LLC</x:v>
      </x:c>
      <x:c r="F225" t="str">
        <x:v>Active name match</x:v>
      </x:c>
      <x:c r="G225" t="n">
        <x:v>1</x:v>
      </x:c>
      <x:c r="H225" t="n">
        <x:v>0</x:v>
      </x:c>
      <x:c r="I225" t="str">
        <x:v>4828052</x:v>
      </x:c>
      <x:c r="J225" t="str">
        <x:v>660 COLUMBUS RETAIL OWNER LLC</x:v>
      </x:c>
      <x:c r="K225" s="55" t="n">
        <x:v>42278</x:v>
      </x:c>
      <x:c r="L225" t="str">
        <x:v>Albany</x:v>
      </x:c>
      <x:c r="M225" t="str">
        <x:v>New York</x:v>
      </x:c>
      <x:c r="N225" t="str">
        <x:v>DOMESTIC LIMITED LIABILITY COMPANY</x:v>
      </x:c>
      <x:c r="O225" t="str">
        <x:v>C/O PREMIER CORPORATE SERVICES</x:v>
      </x:c>
      <x:c r="P225" t="str">
        <x:v>90 STATE ST, STE 700, BOX 10, ALBANY, NY, 12207</x:v>
      </x:c>
      <x:c r="Q225" t="str"/>
      <x:c r="R225" t="str"/>
      <x:c r="S225" t="str"/>
      <x:c r="T225" t="str"/>
      <x:c r="U225" t="str"/>
      <x:c r="V225" t="str"/>
      <x:c r="W225" t="str"/>
      <x:c r="X225" t="str"/>
      <x:c r="Y225" t="str">
        <x:v>https://data.ny.gov/Economic-Development/Active-Corporations-Beginning-1800/n9v6-gdp6</x:v>
      </x:c>
    </x:row>
    <x:row r="226">
      <x:c r="A226" t="str">
        <x:v>DOS-3-075</x:v>
      </x:c>
      <x:c r="B226" t="n">
        <x:v>3</x:v>
      </x:c>
      <x:c r="C226" t="str">
        <x:v>25A HANOVER ROAD, SUITE 350, FLORHAM PARK, NJ, 07932, US</x:v>
      </x:c>
      <x:c r="D226" t="str">
        <x:v>950 SECOND AVE INVESTORS LLC</x:v>
      </x:c>
      <x:c r="E226" t="str">
        <x:v>950 SECOND AVE INVESTORS LLC</x:v>
      </x:c>
      <x:c r="F226" t="str">
        <x:v>Active name match</x:v>
      </x:c>
      <x:c r="G226" t="n">
        <x:v>1</x:v>
      </x:c>
      <x:c r="H226" t="n">
        <x:v>1</x:v>
      </x:c>
      <x:c r="I226" t="str">
        <x:v>4885624</x:v>
      </x:c>
      <x:c r="J226" t="str">
        <x:v>950 SECOND AVE INVESTORS, LLC</x:v>
      </x:c>
      <x:c r="K226" s="55" t="n">
        <x:v>42395</x:v>
      </x:c>
      <x:c r="L226" t="str">
        <x:v>New York</x:v>
      </x:c>
      <x:c r="M226" t="str">
        <x:v>Delaware</x:v>
      </x:c>
      <x:c r="N226" t="str">
        <x:v>FOREIGN LIMITED LIABILITY COMPANY</x:v>
      </x:c>
      <x:c r="O226" t="str">
        <x:v>SHERRE FESTA</x:v>
      </x:c>
      <x:c r="P226" t="str">
        <x:v>25 A Hanover Road, Suite 350, Florham Park, NJ, 07932</x:v>
      </x:c>
      <x:c r="Q226" t="str"/>
      <x:c r="R226" t="str"/>
      <x:c r="S226" t="str">
        <x:v>CORPORATE CREATIONS NETWORK INC.</x:v>
      </x:c>
      <x:c r="T226" t="str">
        <x:v>600 mamaroneck avenue, #400, HARRISON, NEW YORK, 10528</x:v>
      </x:c>
      <x:c r="U226" t="str"/>
      <x:c r="V226" t="str"/>
      <x:c r="W226" t="str"/>
      <x:c r="X226" t="str"/>
      <x:c r="Y226" t="str">
        <x:v>https://data.ny.gov/Economic-Development/Active-Corporations-Beginning-1800/n9v6-gdp6</x:v>
      </x:c>
    </x:row>
    <x:row r="227">
      <x:c r="A227" t="str">
        <x:v>DOS-3-076</x:v>
      </x:c>
      <x:c r="B227" t="n">
        <x:v>3</x:v>
      </x:c>
      <x:c r="C227" t="str">
        <x:v>29 LITTLE NASSAU STREET, SUITE 118, BROOKLYN, NY, 11205, US</x:v>
      </x:c>
      <x:c r="D227" t="str">
        <x:v>545 CONEY ISLAND LLC</x:v>
      </x:c>
      <x:c r="E227" t="str">
        <x:v>545 CONEY ISLAND LLC</x:v>
      </x:c>
      <x:c r="F227" t="str">
        <x:v>Address-corroborated active match</x:v>
      </x:c>
      <x:c r="G227" t="n">
        <x:v>1</x:v>
      </x:c>
      <x:c r="H227" t="n">
        <x:v>2</x:v>
      </x:c>
      <x:c r="I227" t="str">
        <x:v>7197080</x:v>
      </x:c>
      <x:c r="J227" t="str">
        <x:v>545 CONEY ISLAND LLC</x:v>
      </x:c>
      <x:c r="K227" s="55" t="n">
        <x:v>45264</x:v>
      </x:c>
      <x:c r="L227" t="str">
        <x:v>Kings</x:v>
      </x:c>
      <x:c r="M227" t="str">
        <x:v>New York</x:v>
      </x:c>
      <x:c r="N227" t="str">
        <x:v>DOMESTIC LIMITED LIABILITY COMPANY</x:v>
      </x:c>
      <x:c r="O227" t="str">
        <x:v>545 CONEY ISLAND LLC</x:v>
      </x:c>
      <x:c r="P227" t="str">
        <x:v>29 Little Nassau Street, Suite 118, Brooklyn, NY, 11205</x:v>
      </x:c>
      <x:c r="Q227" t="str"/>
      <x:c r="R227" t="str"/>
      <x:c r="S227" t="str"/>
      <x:c r="T227" t="str"/>
      <x:c r="U227" t="str"/>
      <x:c r="V227" t="str"/>
      <x:c r="W227" t="str"/>
      <x:c r="X227" t="str"/>
      <x:c r="Y227" t="str">
        <x:v>https://data.ny.gov/Economic-Development/Active-Corporations-Beginning-1800/n9v6-gdp6</x:v>
      </x:c>
    </x:row>
    <x:row r="228">
      <x:c r="A228" t="str">
        <x:v>DOS-3-076</x:v>
      </x:c>
      <x:c r="B228" t="n">
        <x:v>3</x:v>
      </x:c>
      <x:c r="C228" t="str">
        <x:v>29 LITTLE NASSAU STREET, SUITE 118, BROOKLYN, NY, 11205, US</x:v>
      </x:c>
      <x:c r="D228" t="str">
        <x:v>FRANKLIN DEV LLC</x:v>
      </x:c>
      <x:c r="E228" t="str">
        <x:v>FRANKLIN DEV LLC</x:v>
      </x:c>
      <x:c r="F228" t="str">
        <x:v>Address-corroborated active match</x:v>
      </x:c>
      <x:c r="G228" t="n">
        <x:v>1</x:v>
      </x:c>
      <x:c r="H228" t="n">
        <x:v>2</x:v>
      </x:c>
      <x:c r="I228" t="str">
        <x:v>7369894</x:v>
      </x:c>
      <x:c r="J228" t="str">
        <x:v>FRANKLIN DEV LLC</x:v>
      </x:c>
      <x:c r="K228" s="55" t="n">
        <x:v>45483</x:v>
      </x:c>
      <x:c r="L228" t="str">
        <x:v>Kings</x:v>
      </x:c>
      <x:c r="M228" t="str">
        <x:v>New York</x:v>
      </x:c>
      <x:c r="N228" t="str">
        <x:v>DOMESTIC LIMITED LIABILITY COMPANY</x:v>
      </x:c>
      <x:c r="O228" t="str">
        <x:v>FRANKLIN DEV LLC</x:v>
      </x:c>
      <x:c r="P228" t="str">
        <x:v>29 Little Nassau Street, Suite 118, Brooklyn, NY, 11205</x:v>
      </x:c>
      <x:c r="Q228" t="str"/>
      <x:c r="R228" t="str"/>
      <x:c r="S228" t="str"/>
      <x:c r="T228" t="str"/>
      <x:c r="U228" t="str"/>
      <x:c r="V228" t="str"/>
      <x:c r="W228" t="str"/>
      <x:c r="X228" t="str"/>
      <x:c r="Y228" t="str">
        <x:v>https://data.ny.gov/Economic-Development/Active-Corporations-Beginning-1800/n9v6-gdp6</x:v>
      </x:c>
    </x:row>
    <x:row r="229">
      <x:c r="A229" t="str">
        <x:v>DOS-3-076</x:v>
      </x:c>
      <x:c r="B229" t="n">
        <x:v>3</x:v>
      </x:c>
      <x:c r="C229" t="str">
        <x:v>29 LITTLE NASSAU STREET, SUITE 118, BROOKLYN, NY, 11205, US</x:v>
      </x:c>
      <x:c r="D229" t="str">
        <x:v>LOT 15 LLC</x:v>
      </x:c>
      <x:c r="E229" t="str">
        <x:v>LOT 15 LLC</x:v>
      </x:c>
      <x:c r="F229" t="str">
        <x:v>Address-corroborated active match</x:v>
      </x:c>
      <x:c r="G229" t="n">
        <x:v>1</x:v>
      </x:c>
      <x:c r="H229" t="n">
        <x:v>2</x:v>
      </x:c>
      <x:c r="I229" t="str">
        <x:v>7338384</x:v>
      </x:c>
      <x:c r="J229" t="str">
        <x:v>LOT 15 LLC</x:v>
      </x:c>
      <x:c r="K229" s="55" t="n">
        <x:v>45440</x:v>
      </x:c>
      <x:c r="L229" t="str">
        <x:v>Albany</x:v>
      </x:c>
      <x:c r="M229" t="str">
        <x:v>New York</x:v>
      </x:c>
      <x:c r="N229" t="str">
        <x:v>DOMESTIC LIMITED LIABILITY COMPANY</x:v>
      </x:c>
      <x:c r="O229" t="str">
        <x:v>LOT 15 LLC</x:v>
      </x:c>
      <x:c r="P229" t="str">
        <x:v>29 Little Nassau Street, Suite 118, Brooklyn, NY, 11205</x:v>
      </x:c>
      <x:c r="Q229" t="str"/>
      <x:c r="R229" t="str"/>
      <x:c r="S229" t="str"/>
      <x:c r="T229" t="str"/>
      <x:c r="U229" t="str"/>
      <x:c r="V229" t="str"/>
      <x:c r="W229" t="str"/>
      <x:c r="X229" t="str"/>
      <x:c r="Y229" t="str">
        <x:v>https://data.ny.gov/Economic-Development/Active-Corporations-Beginning-1800/n9v6-gdp6</x:v>
      </x:c>
    </x:row>
    <x:row r="230">
      <x:c r="A230" t="str">
        <x:v>DOS-3-077</x:v>
      </x:c>
      <x:c r="B230" t="n">
        <x:v>3</x:v>
      </x:c>
      <x:c r="C230" t="str">
        <x:v>34 DONNA LANE, SYOSSET, NY, 11791, US</x:v>
      </x:c>
      <x:c r="D230" t="str">
        <x:v>JASPER PM LLC</x:v>
      </x:c>
      <x:c r="E230" t="str">
        <x:v>JASPER PM, LLC</x:v>
      </x:c>
      <x:c r="F230" t="str">
        <x:v>Address-corroborated active match</x:v>
      </x:c>
      <x:c r="G230" t="n">
        <x:v>1</x:v>
      </x:c>
      <x:c r="H230" t="n">
        <x:v>2</x:v>
      </x:c>
      <x:c r="I230" t="str">
        <x:v>5734434</x:v>
      </x:c>
      <x:c r="J230" t="str">
        <x:v>JASPER PM, LLC</x:v>
      </x:c>
      <x:c r="K230" s="55" t="n">
        <x:v>43923</x:v>
      </x:c>
      <x:c r="L230" t="str">
        <x:v>Nassau</x:v>
      </x:c>
      <x:c r="M230" t="str">
        <x:v>New York</x:v>
      </x:c>
      <x:c r="N230" t="str">
        <x:v>DOMESTIC LIMITED LIABILITY COMPANY</x:v>
      </x:c>
      <x:c r="O230" t="str">
        <x:v>STANLEY LI</x:v>
      </x:c>
      <x:c r="P230" t="str">
        <x:v>34 DONNA LANE, SYOSSET, NY, 11791</x:v>
      </x:c>
      <x:c r="Q230" t="str"/>
      <x:c r="R230" t="str"/>
      <x:c r="S230" t="str">
        <x:v>STANLEY LI</x:v>
      </x:c>
      <x:c r="T230" t="str">
        <x:v>34 DONNA LANE, SYOSSET, NEW YORK, 11791</x:v>
      </x:c>
      <x:c r="U230" t="str"/>
      <x:c r="V230" t="str"/>
      <x:c r="W230" t="str"/>
      <x:c r="X230" t="str"/>
      <x:c r="Y230" t="str">
        <x:v>https://data.ny.gov/Economic-Development/Active-Corporations-Beginning-1800/n9v6-gdp6</x:v>
      </x:c>
    </x:row>
    <x:row r="231">
      <x:c r="A231" t="str">
        <x:v>DOS-3-077</x:v>
      </x:c>
      <x:c r="B231" t="n">
        <x:v>3</x:v>
      </x:c>
      <x:c r="C231" t="str">
        <x:v>34 DONNA LANE, SYOSSET, NY, 11791, US</x:v>
      </x:c>
      <x:c r="D231" t="str">
        <x:v>OPAL PROPERTY MANAGEMENT LLC</x:v>
      </x:c>
      <x:c r="E231" t="str">
        <x:v>OPAL PROPERTY MANAGEMENT LLC</x:v>
      </x:c>
      <x:c r="F231" t="str">
        <x:v>Address-corroborated active match</x:v>
      </x:c>
      <x:c r="G231" t="n">
        <x:v>1</x:v>
      </x:c>
      <x:c r="H231" t="n">
        <x:v>2</x:v>
      </x:c>
      <x:c r="I231" t="str">
        <x:v>4140536</x:v>
      </x:c>
      <x:c r="J231" t="str">
        <x:v>OPAL PROPERTY MANAGEMENT LLC</x:v>
      </x:c>
      <x:c r="K231" s="55" t="n">
        <x:v>40798</x:v>
      </x:c>
      <x:c r="L231" t="str">
        <x:v>Nassau</x:v>
      </x:c>
      <x:c r="M231" t="str">
        <x:v>New York</x:v>
      </x:c>
      <x:c r="N231" t="str">
        <x:v>DOMESTIC LIMITED LIABILITY COMPANY</x:v>
      </x:c>
      <x:c r="O231" t="str">
        <x:v>OPAL PROPERTY MANAGEMENT LLC</x:v>
      </x:c>
      <x:c r="P231" t="str">
        <x:v>34 DONNA LANE, SYOSSET, NY, 11791</x:v>
      </x:c>
      <x:c r="Q231" t="str"/>
      <x:c r="R231" t="str"/>
      <x:c r="S231" t="str"/>
      <x:c r="T231" t="str"/>
      <x:c r="U231" t="str"/>
      <x:c r="V231" t="str"/>
      <x:c r="W231" t="str"/>
      <x:c r="X231" t="str"/>
      <x:c r="Y231" t="str">
        <x:v>https://data.ny.gov/Economic-Development/Active-Corporations-Beginning-1800/n9v6-gdp6</x:v>
      </x:c>
    </x:row>
    <x:row r="232">
      <x:c r="A232" t="str">
        <x:v>DOS-3-077</x:v>
      </x:c>
      <x:c r="B232" t="n">
        <x:v>3</x:v>
      </x:c>
      <x:c r="C232" t="str">
        <x:v>34 DONNA LANE, SYOSSET, NY, 11791, US</x:v>
      </x:c>
      <x:c r="D232" t="str">
        <x:v>SNJ PROPERTY MANAGEMENT LLC</x:v>
      </x:c>
      <x:c r="E232" t="str">
        <x:v>SNJ PROPERTY MANAGEMENT LLC</x:v>
      </x:c>
      <x:c r="F232" t="str">
        <x:v>Address-corroborated active match</x:v>
      </x:c>
      <x:c r="G232" t="n">
        <x:v>1</x:v>
      </x:c>
      <x:c r="H232" t="n">
        <x:v>2</x:v>
      </x:c>
      <x:c r="I232" t="str">
        <x:v>4070123</x:v>
      </x:c>
      <x:c r="J232" t="str">
        <x:v>SNJ PROPERTY MANAGEMENT LLC</x:v>
      </x:c>
      <x:c r="K232" s="55" t="n">
        <x:v>40623</x:v>
      </x:c>
      <x:c r="L232" t="str">
        <x:v>Nassau</x:v>
      </x:c>
      <x:c r="M232" t="str">
        <x:v>New York</x:v>
      </x:c>
      <x:c r="N232" t="str">
        <x:v>DOMESTIC LIMITED LIABILITY COMPANY</x:v>
      </x:c>
      <x:c r="O232" t="str">
        <x:v>STANLEY LI</x:v>
      </x:c>
      <x:c r="P232" t="str">
        <x:v>34 DONNA LANE, SYOSSET, NY, 11791</x:v>
      </x:c>
      <x:c r="Q232" t="str"/>
      <x:c r="R232" t="str"/>
      <x:c r="S232" t="str"/>
      <x:c r="T232" t="str"/>
      <x:c r="U232" t="str"/>
      <x:c r="V232" t="str"/>
      <x:c r="W232" t="str"/>
      <x:c r="X232" t="str"/>
      <x:c r="Y232" t="str">
        <x:v>https://data.ny.gov/Economic-Development/Active-Corporations-Beginning-1800/n9v6-gdp6</x:v>
      </x:c>
    </x:row>
    <x:row r="233">
      <x:c r="A233" t="str">
        <x:v>DOS-3-078</x:v>
      </x:c>
      <x:c r="B233" t="n">
        <x:v>3</x:v>
      </x:c>
      <x:c r="C233" t="str">
        <x:v>35 WEST STREET, SPRING VALLEY, NY, 10977, US</x:v>
      </x:c>
      <x:c r="D233" t="str">
        <x:v>BECK ST LLC</x:v>
      </x:c>
      <x:c r="E233" t="str">
        <x:v>BECK ST. LLC</x:v>
      </x:c>
      <x:c r="F233" t="str">
        <x:v>Active name match</x:v>
      </x:c>
      <x:c r="G233" t="n">
        <x:v>1</x:v>
      </x:c>
      <x:c r="H233" t="n">
        <x:v>0</x:v>
      </x:c>
      <x:c r="I233" t="str">
        <x:v>3665368</x:v>
      </x:c>
      <x:c r="J233" t="str">
        <x:v>BECK ST. LLC</x:v>
      </x:c>
      <x:c r="K233" s="55" t="n">
        <x:v>39568</x:v>
      </x:c>
      <x:c r="L233" t="str">
        <x:v>Rockland</x:v>
      </x:c>
      <x:c r="M233" t="str">
        <x:v>New York</x:v>
      </x:c>
      <x:c r="N233" t="str">
        <x:v>DOMESTIC LIMITED LIABILITY COMPANY</x:v>
      </x:c>
      <x:c r="O233" t="str">
        <x:v>BECK ST. LLC</x:v>
      </x:c>
      <x:c r="P233" t="str">
        <x:v>3810 14TH AVENUE, BROOKLYN, NY, 11218</x:v>
      </x:c>
      <x:c r="Q233" t="str"/>
      <x:c r="R233" t="str"/>
      <x:c r="S233" t="str"/>
      <x:c r="T233" t="str"/>
      <x:c r="U233" t="str"/>
      <x:c r="V233" t="str"/>
      <x:c r="W233" t="str"/>
      <x:c r="X233" t="str"/>
      <x:c r="Y233" t="str">
        <x:v>https://data.ny.gov/Economic-Development/Active-Corporations-Beginning-1800/n9v6-gdp6</x:v>
      </x:c>
    </x:row>
    <x:row r="234">
      <x:c r="A234" t="str">
        <x:v>DOS-3-078</x:v>
      </x:c>
      <x:c r="B234" t="n">
        <x:v>3</x:v>
      </x:c>
      <x:c r="C234" t="str">
        <x:v>35 WEST STREET, SPRING VALLEY, NY, 10977, US</x:v>
      </x:c>
      <x:c r="D234" t="str">
        <x:v>DAVIDSON NYC LLC</x:v>
      </x:c>
      <x:c r="E234" t="str">
        <x:v>DAVIDSON NYC, LLC</x:v>
      </x:c>
      <x:c r="F234" t="str">
        <x:v>Active name match</x:v>
      </x:c>
      <x:c r="G234" t="n">
        <x:v>1</x:v>
      </x:c>
      <x:c r="H234" t="n">
        <x:v>0</x:v>
      </x:c>
      <x:c r="I234" t="str">
        <x:v>3671352</x:v>
      </x:c>
      <x:c r="J234" t="str">
        <x:v>DAVIDSON NYC, LLC</x:v>
      </x:c>
      <x:c r="K234" s="55" t="n">
        <x:v>39582</x:v>
      </x:c>
      <x:c r="L234" t="str">
        <x:v>Rockland</x:v>
      </x:c>
      <x:c r="M234" t="str">
        <x:v>New York</x:v>
      </x:c>
      <x:c r="N234" t="str">
        <x:v>DOMESTIC LIMITED LIABILITY COMPANY</x:v>
      </x:c>
      <x:c r="O234" t="str">
        <x:v>DAVIDSON NYC, LLC</x:v>
      </x:c>
      <x:c r="P234" t="str">
        <x:v>3810-14TH AVE, BROOKLYN, NY, 11218</x:v>
      </x:c>
      <x:c r="Q234" t="str"/>
      <x:c r="R234" t="str"/>
      <x:c r="S234" t="str"/>
      <x:c r="T234" t="str"/>
      <x:c r="U234" t="str"/>
      <x:c r="V234" t="str"/>
      <x:c r="W234" t="str"/>
      <x:c r="X234" t="str"/>
      <x:c r="Y234" t="str">
        <x:v>https://data.ny.gov/Economic-Development/Active-Corporations-Beginning-1800/n9v6-gdp6</x:v>
      </x:c>
    </x:row>
    <x:row r="235">
      <x:c r="A235" t="str">
        <x:v>DOS-3-078</x:v>
      </x:c>
      <x:c r="B235" t="n">
        <x:v>3</x:v>
      </x:c>
      <x:c r="C235" t="str">
        <x:v>35 WEST STREET, SPRING VALLEY, NY, 10977, US</x:v>
      </x:c>
      <x:c r="D235" t="str">
        <x:v>EAST 179TH ST LLC</x:v>
      </x:c>
      <x:c r="E235" t="str">
        <x:v>EAST 179TH ST LLC</x:v>
      </x:c>
      <x:c r="F235" t="str">
        <x:v>Address-corroborated active match</x:v>
      </x:c>
      <x:c r="G235" t="n">
        <x:v>1</x:v>
      </x:c>
      <x:c r="H235" t="n">
        <x:v>2</x:v>
      </x:c>
      <x:c r="I235" t="str">
        <x:v>3665523</x:v>
      </x:c>
      <x:c r="J235" t="str">
        <x:v>EAST 179TH ST. LLC</x:v>
      </x:c>
      <x:c r="K235" s="55" t="n">
        <x:v>39568</x:v>
      </x:c>
      <x:c r="L235" t="str">
        <x:v>Rockland</x:v>
      </x:c>
      <x:c r="M235" t="str">
        <x:v>New York</x:v>
      </x:c>
      <x:c r="N235" t="str">
        <x:v>DOMESTIC LIMITED LIABILITY COMPANY</x:v>
      </x:c>
      <x:c r="O235" t="str">
        <x:v>EAST 179TH ST. LLC</x:v>
      </x:c>
      <x:c r="P235" t="str">
        <x:v>35 WEST ST, SUITE 202, SPRING VALLEY, NY, 10977</x:v>
      </x:c>
      <x:c r="Q235" t="str"/>
      <x:c r="R235" t="str"/>
      <x:c r="S235" t="str"/>
      <x:c r="T235" t="str"/>
      <x:c r="U235" t="str"/>
      <x:c r="V235" t="str"/>
      <x:c r="W235" t="str"/>
      <x:c r="X235" t="str"/>
      <x:c r="Y235" t="str">
        <x:v>https://data.ny.gov/Economic-Development/Active-Corporations-Beginning-1800/n9v6-gdp6</x:v>
      </x:c>
    </x:row>
    <x:row r="236">
      <x:c r="A236" t="str">
        <x:v>DOS-3-079</x:v>
      </x:c>
      <x:c r="B236" t="n">
        <x:v>3</x:v>
      </x:c>
      <x:c r="C236" t="str">
        <x:v>43 RAMBLER ROAD, CARMEL, NY, 10512, US</x:v>
      </x:c>
      <x:c r="D236" t="str">
        <x:v>184 KENT AVE UNIT D616 LLC</x:v>
      </x:c>
      <x:c r="E236" t="str">
        <x:v>184 KENT AVE UNIT D616, LLC</x:v>
      </x:c>
      <x:c r="F236" t="str">
        <x:v>Address-corroborated active match</x:v>
      </x:c>
      <x:c r="G236" t="n">
        <x:v>1</x:v>
      </x:c>
      <x:c r="H236" t="n">
        <x:v>2</x:v>
      </x:c>
      <x:c r="I236" t="str">
        <x:v>5419558</x:v>
      </x:c>
      <x:c r="J236" t="str">
        <x:v>184 KENT AVE UNIT D616, LLC</x:v>
      </x:c>
      <x:c r="K236" s="55" t="n">
        <x:v>43376</x:v>
      </x:c>
      <x:c r="L236" t="str">
        <x:v>Putnam</x:v>
      </x:c>
      <x:c r="M236" t="str">
        <x:v>New York</x:v>
      </x:c>
      <x:c r="N236" t="str">
        <x:v>DOMESTIC LIMITED LIABILITY COMPANY</x:v>
      </x:c>
      <x:c r="O236" t="str">
        <x:v>C/O THE LLC</x:v>
      </x:c>
      <x:c r="P236" t="str">
        <x:v>43 RAMBLER ROAD, CARMEL, NY, 10512</x:v>
      </x:c>
      <x:c r="Q236" t="str"/>
      <x:c r="R236" t="str"/>
      <x:c r="S236" t="str"/>
      <x:c r="T236" t="str"/>
      <x:c r="U236" t="str"/>
      <x:c r="V236" t="str"/>
      <x:c r="W236" t="str"/>
      <x:c r="X236" t="str"/>
      <x:c r="Y236" t="str">
        <x:v>https://data.ny.gov/Economic-Development/Active-Corporations-Beginning-1800/n9v6-gdp6</x:v>
      </x:c>
    </x:row>
    <x:row r="237">
      <x:c r="A237" t="str">
        <x:v>DOS-3-079</x:v>
      </x:c>
      <x:c r="B237" t="n">
        <x:v>3</x:v>
      </x:c>
      <x:c r="C237" t="str">
        <x:v>43 RAMBLER ROAD, CARMEL, NY, 10512, US</x:v>
      </x:c>
      <x:c r="D237" t="str">
        <x:v>345 LENOX ROAD UNIT 2C LLC</x:v>
      </x:c>
      <x:c r="E237" t="str">
        <x:v>345 LENOX ROAD UNIT 2C, LLC</x:v>
      </x:c>
      <x:c r="F237" t="str">
        <x:v>Address-corroborated active match</x:v>
      </x:c>
      <x:c r="G237" t="n">
        <x:v>1</x:v>
      </x:c>
      <x:c r="H237" t="n">
        <x:v>2</x:v>
      </x:c>
      <x:c r="I237" t="str">
        <x:v>5555082</x:v>
      </x:c>
      <x:c r="J237" t="str">
        <x:v>345 LENOX ROAD UNIT 2C, LLC</x:v>
      </x:c>
      <x:c r="K237" s="55" t="n">
        <x:v>43602</x:v>
      </x:c>
      <x:c r="L237" t="str">
        <x:v>Putnam</x:v>
      </x:c>
      <x:c r="M237" t="str">
        <x:v>New York</x:v>
      </x:c>
      <x:c r="N237" t="str">
        <x:v>DOMESTIC LIMITED LIABILITY COMPANY</x:v>
      </x:c>
      <x:c r="O237" t="str">
        <x:v>C/O 345 LENOX ROAD UNIT 2C, LLC</x:v>
      </x:c>
      <x:c r="P237" t="str">
        <x:v>43 RAMBLER ROAD, CARMEL, NY, 10512</x:v>
      </x:c>
      <x:c r="Q237" t="str"/>
      <x:c r="R237" t="str"/>
      <x:c r="S237" t="str"/>
      <x:c r="T237" t="str"/>
      <x:c r="U237" t="str"/>
      <x:c r="V237" t="str"/>
      <x:c r="W237" t="str"/>
      <x:c r="X237" t="str"/>
      <x:c r="Y237" t="str">
        <x:v>https://data.ny.gov/Economic-Development/Active-Corporations-Beginning-1800/n9v6-gdp6</x:v>
      </x:c>
    </x:row>
    <x:row r="238">
      <x:c r="A238" t="str">
        <x:v>DOS-3-079</x:v>
      </x:c>
      <x:c r="B238" t="n">
        <x:v>3</x:v>
      </x:c>
      <x:c r="C238" t="str">
        <x:v>43 RAMBLER ROAD, CARMEL, NY, 10512, US</x:v>
      </x:c>
      <x:c r="D238" t="str">
        <x:v>345 LENOX ROAD UNIT 2D LLC</x:v>
      </x:c>
      <x:c r="E238" t="str">
        <x:v>345 LENOX ROAD UNIT 2D, LLC</x:v>
      </x:c>
      <x:c r="F238" t="str">
        <x:v>Address-corroborated active match</x:v>
      </x:c>
      <x:c r="G238" t="n">
        <x:v>1</x:v>
      </x:c>
      <x:c r="H238" t="n">
        <x:v>2</x:v>
      </x:c>
      <x:c r="I238" t="str">
        <x:v>5555076</x:v>
      </x:c>
      <x:c r="J238" t="str">
        <x:v>345 LENOX ROAD UNIT 2D, LLC</x:v>
      </x:c>
      <x:c r="K238" s="55" t="n">
        <x:v>43602</x:v>
      </x:c>
      <x:c r="L238" t="str">
        <x:v>Putnam</x:v>
      </x:c>
      <x:c r="M238" t="str">
        <x:v>New York</x:v>
      </x:c>
      <x:c r="N238" t="str">
        <x:v>DOMESTIC LIMITED LIABILITY COMPANY</x:v>
      </x:c>
      <x:c r="O238" t="str">
        <x:v>C/O 345 LENOX ROAD UNIT 2D, LLC</x:v>
      </x:c>
      <x:c r="P238" t="str">
        <x:v>43 RAMBLER ROAD, CARMEL, NY, 10512</x:v>
      </x:c>
      <x:c r="Q238" t="str"/>
      <x:c r="R238" t="str"/>
      <x:c r="S238" t="str"/>
      <x:c r="T238" t="str"/>
      <x:c r="U238" t="str"/>
      <x:c r="V238" t="str"/>
      <x:c r="W238" t="str"/>
      <x:c r="X238" t="str"/>
      <x:c r="Y238" t="str">
        <x:v>https://data.ny.gov/Economic-Development/Active-Corporations-Beginning-1800/n9v6-gdp6</x:v>
      </x:c>
    </x:row>
    <x:row r="239">
      <x:c r="A239" t="str">
        <x:v>DOS-3-080</x:v>
      </x:c>
      <x:c r="B239" t="n">
        <x:v>3</x:v>
      </x:c>
      <x:c r="C239" t="str">
        <x:v>44 CHESTNUT STREET, GARDEN CITY, NY, 11530, US</x:v>
      </x:c>
      <x:c r="D239" t="str">
        <x:v>BOLANOS PROPERTIES LLC</x:v>
      </x:c>
      <x:c r="E239" t="str">
        <x:v>BOLANOS PROPERTIES LLC</x:v>
      </x:c>
      <x:c r="F239" t="str">
        <x:v>Address-corroborated active match</x:v>
      </x:c>
      <x:c r="G239" t="n">
        <x:v>1</x:v>
      </x:c>
      <x:c r="H239" t="n">
        <x:v>2</x:v>
      </x:c>
      <x:c r="I239" t="str">
        <x:v>4845593</x:v>
      </x:c>
      <x:c r="J239" t="str">
        <x:v>BOLANOS PROPERTIES LLC</x:v>
      </x:c>
      <x:c r="K239" s="55" t="n">
        <x:v>42313</x:v>
      </x:c>
      <x:c r="L239" t="str">
        <x:v>Nassau</x:v>
      </x:c>
      <x:c r="M239" t="str">
        <x:v>New York</x:v>
      </x:c>
      <x:c r="N239" t="str">
        <x:v>DOMESTIC LIMITED LIABILITY COMPANY</x:v>
      </x:c>
      <x:c r="O239" t="str">
        <x:v>BOLANOS PROPERTIES LLC</x:v>
      </x:c>
      <x:c r="P239" t="str">
        <x:v>44 CHESTNUT STREET, GARDEN CITY, NY, 11530</x:v>
      </x:c>
      <x:c r="Q239" t="str"/>
      <x:c r="R239" t="str"/>
      <x:c r="S239" t="str"/>
      <x:c r="T239" t="str"/>
      <x:c r="U239" t="str"/>
      <x:c r="V239" t="str"/>
      <x:c r="W239" t="str"/>
      <x:c r="X239" t="str"/>
      <x:c r="Y239" t="str">
        <x:v>https://data.ny.gov/Economic-Development/Active-Corporations-Beginning-1800/n9v6-gdp6</x:v>
      </x:c>
    </x:row>
    <x:row r="240">
      <x:c r="A240" t="str">
        <x:v>DOS-3-080</x:v>
      </x:c>
      <x:c r="B240" t="n">
        <x:v>3</x:v>
      </x:c>
      <x:c r="C240" t="str">
        <x:v>44 CHESTNUT STREET, GARDEN CITY, NY, 11530, US</x:v>
      </x:c>
      <x:c r="D240" t="str">
        <x:v>KEDEX PROPERTIES LLC</x:v>
      </x:c>
      <x:c r="E240" t="str">
        <x:v>KEDEX PROPERTIES LLC</x:v>
      </x:c>
      <x:c r="F240" t="str">
        <x:v>Address-corroborated active match</x:v>
      </x:c>
      <x:c r="G240" t="n">
        <x:v>1</x:v>
      </x:c>
      <x:c r="H240" t="n">
        <x:v>2</x:v>
      </x:c>
      <x:c r="I240" t="str">
        <x:v>3991868</x:v>
      </x:c>
      <x:c r="J240" t="str">
        <x:v>KEDEX PROPERTIES LLC</x:v>
      </x:c>
      <x:c r="K240" s="55" t="n">
        <x:v>40423</x:v>
      </x:c>
      <x:c r="L240" t="str">
        <x:v>Nassau</x:v>
      </x:c>
      <x:c r="M240" t="str">
        <x:v>New York</x:v>
      </x:c>
      <x:c r="N240" t="str">
        <x:v>DOMESTIC LIMITED LIABILITY COMPANY</x:v>
      </x:c>
      <x:c r="O240" t="str">
        <x:v>KEDEX PROPERTIES LLC</x:v>
      </x:c>
      <x:c r="P240" t="str">
        <x:v>44 CHESTNUT STREET, GARDEN CITY, NY, 11530</x:v>
      </x:c>
      <x:c r="Q240" t="str"/>
      <x:c r="R240" t="str"/>
      <x:c r="S240" t="str"/>
      <x:c r="T240" t="str"/>
      <x:c r="U240" t="str"/>
      <x:c r="V240" t="str"/>
      <x:c r="W240" t="str"/>
      <x:c r="X240" t="str"/>
      <x:c r="Y240" t="str">
        <x:v>https://data.ny.gov/Economic-Development/Active-Corporations-Beginning-1800/n9v6-gdp6</x:v>
      </x:c>
    </x:row>
    <x:row r="241">
      <x:c r="A241" t="str">
        <x:v>DOS-3-080</x:v>
      </x:c>
      <x:c r="B241" t="n">
        <x:v>3</x:v>
      </x:c>
      <x:c r="C241" t="str">
        <x:v>44 CHESTNUT STREET, GARDEN CITY, NY, 11530, US</x:v>
      </x:c>
      <x:c r="D241" t="str">
        <x:v>VIDA 2570 REALTY LLC</x:v>
      </x:c>
      <x:c r="E241" t="str">
        <x:v>VIDA 2570 REALTY LLC</x:v>
      </x:c>
      <x:c r="F241" t="str">
        <x:v>Address-corroborated active match</x:v>
      </x:c>
      <x:c r="G241" t="n">
        <x:v>1</x:v>
      </x:c>
      <x:c r="H241" t="n">
        <x:v>2</x:v>
      </x:c>
      <x:c r="I241" t="str">
        <x:v>3217487</x:v>
      </x:c>
      <x:c r="J241" t="str">
        <x:v>VIDA 2570 REALTY LLC</x:v>
      </x:c>
      <x:c r="K241" s="55" t="n">
        <x:v>38513</x:v>
      </x:c>
      <x:c r="L241" t="str">
        <x:v>Nassau</x:v>
      </x:c>
      <x:c r="M241" t="str">
        <x:v>New York</x:v>
      </x:c>
      <x:c r="N241" t="str">
        <x:v>DOMESTIC LIMITED LIABILITY COMPANY</x:v>
      </x:c>
      <x:c r="O241" t="str">
        <x:v>VIDA 2570 REALTY LLC</x:v>
      </x:c>
      <x:c r="P241" t="str">
        <x:v>44 CHESTNUT STREET, GARDEN CITY, NY, 11530</x:v>
      </x:c>
      <x:c r="Q241" t="str"/>
      <x:c r="R241" t="str"/>
      <x:c r="S241" t="str"/>
      <x:c r="T241" t="str"/>
      <x:c r="U241" t="str"/>
      <x:c r="V241" t="str"/>
      <x:c r="W241" t="str"/>
      <x:c r="X241" t="str"/>
      <x:c r="Y241" t="str">
        <x:v>https://data.ny.gov/Economic-Development/Active-Corporations-Beginning-1800/n9v6-gdp6</x:v>
      </x:c>
    </x:row>
    <x:row r="242">
      <x:c r="A242" t="str">
        <x:v>DOS-3-081</x:v>
      </x:c>
      <x:c r="B242" t="n">
        <x:v>3</x:v>
      </x:c>
      <x:c r="C242" t="str">
        <x:v>47-05 METROPLITAN AVENUE, RIDGEWOOD, NY, 11385, US</x:v>
      </x:c>
      <x:c r="D242" t="str">
        <x:v>CACTUS 131 47 FOWLER LLC</x:v>
      </x:c>
      <x:c r="E242" t="str">
        <x:v>CACTUS 131-47 FOWLER LLC</x:v>
      </x:c>
      <x:c r="F242" t="str">
        <x:v>Active name match</x:v>
      </x:c>
      <x:c r="G242" t="n">
        <x:v>1</x:v>
      </x:c>
      <x:c r="H242" t="n">
        <x:v>1</x:v>
      </x:c>
      <x:c r="I242" t="str">
        <x:v>5235597</x:v>
      </x:c>
      <x:c r="J242" t="str">
        <x:v>CACTUS 131-47 FOWLER LLC</x:v>
      </x:c>
      <x:c r="K242" s="55" t="n">
        <x:v>43054</x:v>
      </x:c>
      <x:c r="L242" t="str">
        <x:v>Queens</x:v>
      </x:c>
      <x:c r="M242" t="str">
        <x:v>New York</x:v>
      </x:c>
      <x:c r="N242" t="str">
        <x:v>DOMESTIC LIMITED LIABILITY COMPANY</x:v>
      </x:c>
      <x:c r="O242" t="str">
        <x:v>CACTUS 131-47 FOWLER LLC</x:v>
      </x:c>
      <x:c r="P242" t="str">
        <x:v>47-05 METROPOLITAN AVENUE, RIDGEWOOD, NY, 11385</x:v>
      </x:c>
      <x:c r="Q242" t="str"/>
      <x:c r="R242" t="str"/>
      <x:c r="S242" t="str"/>
      <x:c r="T242" t="str"/>
      <x:c r="U242" t="str"/>
      <x:c r="V242" t="str"/>
      <x:c r="W242" t="str"/>
      <x:c r="X242" t="str"/>
      <x:c r="Y242" t="str">
        <x:v>https://data.ny.gov/Economic-Development/Active-Corporations-Beginning-1800/n9v6-gdp6</x:v>
      </x:c>
    </x:row>
    <x:row r="243">
      <x:c r="A243" t="str">
        <x:v>DOS-3-081</x:v>
      </x:c>
      <x:c r="B243" t="n">
        <x:v>3</x:v>
      </x:c>
      <x:c r="C243" t="str">
        <x:v>47-05 METROPLITAN AVENUE, RIDGEWOOD, NY, 11385, US</x:v>
      </x:c>
      <x:c r="D243" t="str">
        <x:v>CACTUS 145 35 ROCKAWAY LLC</x:v>
      </x:c>
      <x:c r="E243" t="str">
        <x:v>CACTUS 145-35 ROCKAWAY LLC</x:v>
      </x:c>
      <x:c r="F243" t="str">
        <x:v>Active name match</x:v>
      </x:c>
      <x:c r="G243" t="n">
        <x:v>1</x:v>
      </x:c>
      <x:c r="H243" t="n">
        <x:v>1</x:v>
      </x:c>
      <x:c r="I243" t="str">
        <x:v>5235605</x:v>
      </x:c>
      <x:c r="J243" t="str">
        <x:v>CACTUS 145-35 ROCKAWAY LLC</x:v>
      </x:c>
      <x:c r="K243" s="55" t="n">
        <x:v>43054</x:v>
      </x:c>
      <x:c r="L243" t="str">
        <x:v>Queens</x:v>
      </x:c>
      <x:c r="M243" t="str">
        <x:v>New York</x:v>
      </x:c>
      <x:c r="N243" t="str">
        <x:v>DOMESTIC LIMITED LIABILITY COMPANY</x:v>
      </x:c>
      <x:c r="O243" t="str">
        <x:v>CACTUS 145-35 ROCKAWAY LLC</x:v>
      </x:c>
      <x:c r="P243" t="str">
        <x:v>47-05 METROPOLITAN AVENUE, RIDGEWOOD, NY, 11385</x:v>
      </x:c>
      <x:c r="Q243" t="str"/>
      <x:c r="R243" t="str"/>
      <x:c r="S243" t="str"/>
      <x:c r="T243" t="str"/>
      <x:c r="U243" t="str"/>
      <x:c r="V243" t="str"/>
      <x:c r="W243" t="str"/>
      <x:c r="X243" t="str"/>
      <x:c r="Y243" t="str">
        <x:v>https://data.ny.gov/Economic-Development/Active-Corporations-Beginning-1800/n9v6-gdp6</x:v>
      </x:c>
    </x:row>
    <x:row r="244">
      <x:c r="A244" t="str">
        <x:v>DOS-3-081</x:v>
      </x:c>
      <x:c r="B244" t="n">
        <x:v>3</x:v>
      </x:c>
      <x:c r="C244" t="str">
        <x:v>47-05 METROPLITAN AVENUE, RIDGEWOOD, NY, 11385, US</x:v>
      </x:c>
      <x:c r="D244" t="str">
        <x:v>CACTUS 464 NEW LOTS LLC</x:v>
      </x:c>
      <x:c r="E244" t="str">
        <x:v>CACTUS 464 NEW LOTS LLC</x:v>
      </x:c>
      <x:c r="F244" t="str">
        <x:v>Active name match</x:v>
      </x:c>
      <x:c r="G244" t="n">
        <x:v>1</x:v>
      </x:c>
      <x:c r="H244" t="n">
        <x:v>1</x:v>
      </x:c>
      <x:c r="I244" t="str">
        <x:v>5235884</x:v>
      </x:c>
      <x:c r="J244" t="str">
        <x:v>CACTUS 464 NEW LOTS LLC</x:v>
      </x:c>
      <x:c r="K244" s="55" t="n">
        <x:v>43054</x:v>
      </x:c>
      <x:c r="L244" t="str">
        <x:v>Queens</x:v>
      </x:c>
      <x:c r="M244" t="str">
        <x:v>New York</x:v>
      </x:c>
      <x:c r="N244" t="str">
        <x:v>DOMESTIC LIMITED LIABILITY COMPANY</x:v>
      </x:c>
      <x:c r="O244" t="str">
        <x:v>CACTUS 464 NEW LOTS LLC</x:v>
      </x:c>
      <x:c r="P244" t="str">
        <x:v>47-05 METROPOLITAN AVENUE, RIDGEWOOD, NY, 11385</x:v>
      </x:c>
      <x:c r="Q244" t="str"/>
      <x:c r="R244" t="str"/>
      <x:c r="S244" t="str"/>
      <x:c r="T244" t="str"/>
      <x:c r="U244" t="str"/>
      <x:c r="V244" t="str"/>
      <x:c r="W244" t="str"/>
      <x:c r="X244" t="str"/>
      <x:c r="Y244" t="str">
        <x:v>https://data.ny.gov/Economic-Development/Active-Corporations-Beginning-1800/n9v6-gdp6</x:v>
      </x:c>
    </x:row>
    <x:row r="245">
      <x:c r="A245" t="str">
        <x:v>DOS-3-082</x:v>
      </x:c>
      <x:c r="B245" t="n">
        <x:v>3</x:v>
      </x:c>
      <x:c r="C245" t="str">
        <x:v>5-44 47TH AVENUE, LONG ISLAND CITY, NY, 11101, US</x:v>
      </x:c>
      <x:c r="D245" t="str">
        <x:v>3408 TIBBETT LLC</x:v>
      </x:c>
      <x:c r="E245" t="str">
        <x:v>3408 TIBBETT LLC</x:v>
      </x:c>
      <x:c r="F245" t="str">
        <x:v>Address-corroborated active match</x:v>
      </x:c>
      <x:c r="G245" t="n">
        <x:v>1</x:v>
      </x:c>
      <x:c r="H245" t="n">
        <x:v>2</x:v>
      </x:c>
      <x:c r="I245" t="str">
        <x:v>4420237</x:v>
      </x:c>
      <x:c r="J245" t="str">
        <x:v>3408 TIBBETT LLC</x:v>
      </x:c>
      <x:c r="K245" s="55" t="n">
        <x:v>41444</x:v>
      </x:c>
      <x:c r="L245" t="str">
        <x:v>Bronx</x:v>
      </x:c>
      <x:c r="M245" t="str">
        <x:v>New York</x:v>
      </x:c>
      <x:c r="N245" t="str">
        <x:v>DOMESTIC LIMITED LIABILITY COMPANY</x:v>
      </x:c>
      <x:c r="O245" t="str">
        <x:v>C/O KORDAS &amp; MARINIS, LLP</x:v>
      </x:c>
      <x:c r="P245" t="str">
        <x:v>5-44 47TH AVENUE, LONG ISLAND CITY, NY, 11101</x:v>
      </x:c>
      <x:c r="Q245" t="str"/>
      <x:c r="R245" t="str"/>
      <x:c r="S245" t="str"/>
      <x:c r="T245" t="str"/>
      <x:c r="U245" t="str"/>
      <x:c r="V245" t="str"/>
      <x:c r="W245" t="str"/>
      <x:c r="X245" t="str"/>
      <x:c r="Y245" t="str">
        <x:v>https://data.ny.gov/Economic-Development/Active-Corporations-Beginning-1800/n9v6-gdp6</x:v>
      </x:c>
    </x:row>
    <x:row r="246">
      <x:c r="A246" t="str">
        <x:v>DOS-3-082</x:v>
      </x:c>
      <x:c r="B246" t="n">
        <x:v>3</x:v>
      </x:c>
      <x:c r="C246" t="str">
        <x:v>5-44 47TH AVENUE, LONG ISLAND CITY, NY, 11101, US</x:v>
      </x:c>
      <x:c r="D246" t="str">
        <x:v>520 EAST 236TH LLC</x:v>
      </x:c>
      <x:c r="E246" t="str">
        <x:v>520 EAST 236TH LLC</x:v>
      </x:c>
      <x:c r="F246" t="str">
        <x:v>Address-corroborated active match</x:v>
      </x:c>
      <x:c r="G246" t="n">
        <x:v>1</x:v>
      </x:c>
      <x:c r="H246" t="n">
        <x:v>2</x:v>
      </x:c>
      <x:c r="I246" t="str">
        <x:v>4643912</x:v>
      </x:c>
      <x:c r="J246" t="str">
        <x:v>520 EAST 236TH LLC</x:v>
      </x:c>
      <x:c r="K246" s="55" t="n">
        <x:v>41912</x:v>
      </x:c>
      <x:c r="L246" t="str">
        <x:v>Queens</x:v>
      </x:c>
      <x:c r="M246" t="str">
        <x:v>New York</x:v>
      </x:c>
      <x:c r="N246" t="str">
        <x:v>DOMESTIC LIMITED LIABILITY COMPANY</x:v>
      </x:c>
      <x:c r="O246" t="str">
        <x:v>520 EAST 236TH LLC</x:v>
      </x:c>
      <x:c r="P246" t="str">
        <x:v>5-44 47TH AVENUE, LONG ISLAND CITY, NY, 11101</x:v>
      </x:c>
      <x:c r="Q246" t="str"/>
      <x:c r="R246" t="str"/>
      <x:c r="S246" t="str"/>
      <x:c r="T246" t="str"/>
      <x:c r="U246" t="str"/>
      <x:c r="V246" t="str"/>
      <x:c r="W246" t="str"/>
      <x:c r="X246" t="str"/>
      <x:c r="Y246" t="str">
        <x:v>https://data.ny.gov/Economic-Development/Active-Corporations-Beginning-1800/n9v6-gdp6</x:v>
      </x:c>
    </x:row>
    <x:row r="247">
      <x:c r="A247" t="str">
        <x:v>DOS-3-082</x:v>
      </x:c>
      <x:c r="B247" t="n">
        <x:v>3</x:v>
      </x:c>
      <x:c r="C247" t="str">
        <x:v>5-44 47TH AVENUE, LONG ISLAND CITY, NY, 11101, US</x:v>
      </x:c>
      <x:c r="D247" t="str">
        <x:v>SYCAMORE COURT APARTMENTS LLC</x:v>
      </x:c>
      <x:c r="E247" t="str">
        <x:v>SYCAMORE COURT APARTMENTS LLC</x:v>
      </x:c>
      <x:c r="F247" t="str">
        <x:v>Address-corroborated active match</x:v>
      </x:c>
      <x:c r="G247" t="n">
        <x:v>1</x:v>
      </x:c>
      <x:c r="H247" t="n">
        <x:v>2</x:v>
      </x:c>
      <x:c r="I247" t="str">
        <x:v>3638795</x:v>
      </x:c>
      <x:c r="J247" t="str">
        <x:v>SYCAMORE COURT APARTMENTS LLC</x:v>
      </x:c>
      <x:c r="K247" s="55" t="n">
        <x:v>39510</x:v>
      </x:c>
      <x:c r="L247" t="str">
        <x:v>Bronx</x:v>
      </x:c>
      <x:c r="M247" t="str">
        <x:v>New York</x:v>
      </x:c>
      <x:c r="N247" t="str">
        <x:v>DOMESTIC LIMITED LIABILITY COMPANY</x:v>
      </x:c>
      <x:c r="O247" t="str">
        <x:v>SYCAMORE COURT APARTMENTS LLC</x:v>
      </x:c>
      <x:c r="P247" t="str">
        <x:v>5-44 47TH AVENUE, LONG ISLAND CITY, NY, 11101</x:v>
      </x:c>
      <x:c r="Q247" t="str"/>
      <x:c r="R247" t="str"/>
      <x:c r="S247" t="str"/>
      <x:c r="T247" t="str"/>
      <x:c r="U247" t="str"/>
      <x:c r="V247" t="str"/>
      <x:c r="W247" t="str"/>
      <x:c r="X247" t="str"/>
      <x:c r="Y247" t="str">
        <x:v>https://data.ny.gov/Economic-Development/Active-Corporations-Beginning-1800/n9v6-gdp6</x:v>
      </x:c>
    </x:row>
    <x:row r="248">
      <x:c r="A248" t="str">
        <x:v>DOS-3-083</x:v>
      </x:c>
      <x:c r="B248" t="n">
        <x:v>3</x:v>
      </x:c>
      <x:c r="C248" t="str">
        <x:v>501 EAST 93RD STREET, BROOKLYN, NY, 11212, US</x:v>
      </x:c>
      <x:c r="D248" t="str">
        <x:v>LIBERTY 3 LLC</x:v>
      </x:c>
      <x:c r="E248" t="str">
        <x:v>LIBERTY 3, LLC</x:v>
      </x:c>
      <x:c r="F248" t="str">
        <x:v>No active DOS match</x:v>
      </x:c>
      <x:c r="G248" t="n">
        <x:v>0</x:v>
      </x:c>
      <x:c r="H248" t="n">
        <x:v>0</x:v>
      </x:c>
      <x:c r="I248" t="str"/>
      <x:c r="J248" t="str"/>
      <x:c r="K248" s="55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>
        <x:v>https://data.ny.gov/Economic-Development/Active-Corporations-Beginning-1800/n9v6-gdp6</x:v>
      </x:c>
    </x:row>
    <x:row r="249">
      <x:c r="A249" t="str">
        <x:v>DOS-3-083</x:v>
      </x:c>
      <x:c r="B249" t="n">
        <x:v>3</x:v>
      </x:c>
      <x:c r="C249" t="str">
        <x:v>501 EAST 93RD STREET, BROOKLYN, NY, 11212, US</x:v>
      </x:c>
      <x:c r="D249" t="str">
        <x:v>LIZ J REALTY LLC</x:v>
      </x:c>
      <x:c r="E249" t="str">
        <x:v>LIZ J REALTY LLC</x:v>
      </x:c>
      <x:c r="F249" t="str">
        <x:v>Address-corroborated active match</x:v>
      </x:c>
      <x:c r="G249" t="n">
        <x:v>1</x:v>
      </x:c>
      <x:c r="H249" t="n">
        <x:v>2</x:v>
      </x:c>
      <x:c r="I249" t="str">
        <x:v>4129978</x:v>
      </x:c>
      <x:c r="J249" t="str">
        <x:v>LIZ J REALTY LLC</x:v>
      </x:c>
      <x:c r="K249" s="55" t="n">
        <x:v>40767</x:v>
      </x:c>
      <x:c r="L249" t="str">
        <x:v>Kings</x:v>
      </x:c>
      <x:c r="M249" t="str">
        <x:v>New York</x:v>
      </x:c>
      <x:c r="N249" t="str">
        <x:v>DOMESTIC LIMITED LIABILITY COMPANY</x:v>
      </x:c>
      <x:c r="O249" t="str">
        <x:v>LIZ J REALTY LLC</x:v>
      </x:c>
      <x:c r="P249" t="str">
        <x:v>501 EAST 93RD STREET, BROOKLYN, NY, 11212</x:v>
      </x:c>
      <x:c r="Q249" t="str"/>
      <x:c r="R249" t="str"/>
      <x:c r="S249" t="str"/>
      <x:c r="T249" t="str"/>
      <x:c r="U249" t="str"/>
      <x:c r="V249" t="str"/>
      <x:c r="W249" t="str"/>
      <x:c r="X249" t="str"/>
      <x:c r="Y249" t="str">
        <x:v>https://data.ny.gov/Economic-Development/Active-Corporations-Beginning-1800/n9v6-gdp6</x:v>
      </x:c>
    </x:row>
    <x:row r="250">
      <x:c r="A250" t="str">
        <x:v>DOS-3-083</x:v>
      </x:c>
      <x:c r="B250" t="n">
        <x:v>3</x:v>
      </x:c>
      <x:c r="C250" t="str">
        <x:v>501 EAST 93RD STREET, BROOKLYN, NY, 11212, US</x:v>
      </x:c>
      <x:c r="D250" t="str">
        <x:v>POWELL3 REALTY LLC</x:v>
      </x:c>
      <x:c r="E250" t="str">
        <x:v>POWELL3 REALTY LLC</x:v>
      </x:c>
      <x:c r="F250" t="str">
        <x:v>Active name match</x:v>
      </x:c>
      <x:c r="G250" t="n">
        <x:v>1</x:v>
      </x:c>
      <x:c r="H250" t="n">
        <x:v>1</x:v>
      </x:c>
      <x:c r="I250" t="str">
        <x:v>7626991</x:v>
      </x:c>
      <x:c r="J250" t="str">
        <x:v>POWELL3 REALTY LLC</x:v>
      </x:c>
      <x:c r="K250" s="55" t="n">
        <x:v>45811</x:v>
      </x:c>
      <x:c r="L250" t="str">
        <x:v>Kings</x:v>
      </x:c>
      <x:c r="M250" t="str">
        <x:v>New York</x:v>
      </x:c>
      <x:c r="N250" t="str">
        <x:v>DOMESTIC LIMITED LIABILITY COMPANY</x:v>
      </x:c>
      <x:c r="O250" t="str">
        <x:v>POWELL3 REALTY LLC</x:v>
      </x:c>
      <x:c r="P250" t="str">
        <x:v>501 e 93rd street, BROOKLYN, NY, 11212</x:v>
      </x:c>
      <x:c r="Q250" t="str"/>
      <x:c r="R250" t="str"/>
      <x:c r="S250" t="str"/>
      <x:c r="T250" t="str"/>
      <x:c r="U250" t="str"/>
      <x:c r="V250" t="str"/>
      <x:c r="W250" t="str"/>
      <x:c r="X250" t="str"/>
      <x:c r="Y250" t="str">
        <x:v>https://data.ny.gov/Economic-Development/Active-Corporations-Beginning-1800/n9v6-gdp6</x:v>
      </x:c>
    </x:row>
    <x:row r="251">
      <x:c r="A251" t="str">
        <x:v>DOS-3-084</x:v>
      </x:c>
      <x:c r="B251" t="n">
        <x:v>3</x:v>
      </x:c>
      <x:c r="C251" t="str">
        <x:v>600 MADISON AVE FL 15, NEW YORK, NY, 100221761, US</x:v>
      </x:c>
      <x:c r="D251" t="str">
        <x:v>1991 BROADWAY OWNER LLC</x:v>
      </x:c>
      <x:c r="E251" t="str">
        <x:v>1991 BROADWAY OWNER LLC</x:v>
      </x:c>
      <x:c r="F251" t="str">
        <x:v>Active name match</x:v>
      </x:c>
      <x:c r="G251" t="n">
        <x:v>1</x:v>
      </x:c>
      <x:c r="H251" t="n">
        <x:v>0</x:v>
      </x:c>
      <x:c r="I251" t="str">
        <x:v>4371563</x:v>
      </x:c>
      <x:c r="J251" t="str">
        <x:v>1991 BROADWAY OWNER LLC</x:v>
      </x:c>
      <x:c r="K251" s="55" t="n">
        <x:v>41341</x:v>
      </x:c>
      <x:c r="L251" t="str">
        <x:v>New York</x:v>
      </x:c>
      <x:c r="M251" t="str">
        <x:v>New York</x:v>
      </x:c>
      <x:c r="N251" t="str">
        <x:v>DOMESTIC LIMITED LIABILITY COMPANY</x:v>
      </x:c>
      <x:c r="O251" t="str">
        <x:v>C/O CORPORATION SERVICE COMPANY</x:v>
      </x:c>
      <x:c r="P251" t="str">
        <x:v>80 STATE STREET, ALBANY, NY, 12207</x:v>
      </x:c>
      <x:c r="Q251" t="str"/>
      <x:c r="R251" t="str"/>
      <x:c r="S251" t="str">
        <x:v>CORPORATION SERVICE COMPANY</x:v>
      </x:c>
      <x:c r="T251" t="str">
        <x:v>80 STATE STREET, ALBANY, NEW YORK, 122072543</x:v>
      </x:c>
      <x:c r="U251" t="str"/>
      <x:c r="V251" t="str"/>
      <x:c r="W251" t="str"/>
      <x:c r="X251" t="str"/>
      <x:c r="Y251" t="str">
        <x:v>https://data.ny.gov/Economic-Development/Active-Corporations-Beginning-1800/n9v6-gdp6</x:v>
      </x:c>
    </x:row>
    <x:row r="252">
      <x:c r="A252" t="str">
        <x:v>DOS-3-084</x:v>
      </x:c>
      <x:c r="B252" t="n">
        <x:v>3</x:v>
      </x:c>
      <x:c r="C252" t="str">
        <x:v>600 MADISON AVE FL 15, NEW YORK, NY, 100221761, US</x:v>
      </x:c>
      <x:c r="D252" t="str">
        <x:v>CHATHAM PARKING OWNER I LLC</x:v>
      </x:c>
      <x:c r="E252" t="str">
        <x:v>CHATHAM PARKING OWNER I LLC</x:v>
      </x:c>
      <x:c r="F252" t="str">
        <x:v>No active DOS match</x:v>
      </x:c>
      <x:c r="G252" t="n">
        <x:v>0</x:v>
      </x:c>
      <x:c r="H252" t="n">
        <x:v>0</x:v>
      </x:c>
      <x:c r="I252" t="str"/>
      <x:c r="J252" t="str"/>
      <x:c r="K252" s="55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>
        <x:v>https://data.ny.gov/Economic-Development/Active-Corporations-Beginning-1800/n9v6-gdp6</x:v>
      </x:c>
    </x:row>
    <x:row r="253">
      <x:c r="A253" t="str">
        <x:v>DOS-3-084</x:v>
      </x:c>
      <x:c r="B253" t="n">
        <x:v>3</x:v>
      </x:c>
      <x:c r="C253" t="str">
        <x:v>600 MADISON AVE FL 15, NEW YORK, NY, 100221761, US</x:v>
      </x:c>
      <x:c r="D253" t="str">
        <x:v>PRIME PLAZA EQUITIES LLC</x:v>
      </x:c>
      <x:c r="E253" t="str">
        <x:v>PRIME PLAZA EQUITIES LLC</x:v>
      </x:c>
      <x:c r="F253" t="str">
        <x:v>Active name match</x:v>
      </x:c>
      <x:c r="G253" t="n">
        <x:v>1</x:v>
      </x:c>
      <x:c r="H253" t="n">
        <x:v>0</x:v>
      </x:c>
      <x:c r="I253" t="str">
        <x:v>6459397</x:v>
      </x:c>
      <x:c r="J253" t="str">
        <x:v>PRIME PLAZA EQUITIES LLC</x:v>
      </x:c>
      <x:c r="K253" s="55" t="n">
        <x:v>44666</x:v>
      </x:c>
      <x:c r="L253" t="str">
        <x:v>New York</x:v>
      </x:c>
      <x:c r="M253" t="str">
        <x:v>New York</x:v>
      </x:c>
      <x:c r="N253" t="str">
        <x:v>DOMESTIC LIMITED LIABILITY COMPANY</x:v>
      </x:c>
      <x:c r="O253" t="str">
        <x:v>C/O CORPORATION SERVICE COMPANY</x:v>
      </x:c>
      <x:c r="P253" t="str">
        <x:v>80 STATE STREET, ALBANY, NY, 12207</x:v>
      </x:c>
      <x:c r="Q253" t="str"/>
      <x:c r="R253" t="str"/>
      <x:c r="S253" t="str"/>
      <x:c r="T253" t="str"/>
      <x:c r="U253" t="str"/>
      <x:c r="V253" t="str"/>
      <x:c r="W253" t="str"/>
      <x:c r="X253" t="str"/>
      <x:c r="Y253" t="str">
        <x:v>https://data.ny.gov/Economic-Development/Active-Corporations-Beginning-1800/n9v6-gdp6</x:v>
      </x:c>
    </x:row>
    <x:row r="254">
      <x:c r="A254" t="str">
        <x:v>DOS-3-085</x:v>
      </x:c>
      <x:c r="B254" t="n">
        <x:v>3</x:v>
      </x:c>
      <x:c r="C254" t="str">
        <x:v>66 KNOLLS DRIVE NORTH, NEW HYDE PARK, NY, 11040, US</x:v>
      </x:c>
      <x:c r="D254" t="str">
        <x:v>DIX PROPERTIES LLC</x:v>
      </x:c>
      <x:c r="E254" t="str">
        <x:v>DIX PROPERTIES LLC</x:v>
      </x:c>
      <x:c r="F254" t="str">
        <x:v>Active name match</x:v>
      </x:c>
      <x:c r="G254" t="n">
        <x:v>1</x:v>
      </x:c>
      <x:c r="H254" t="n">
        <x:v>0</x:v>
      </x:c>
      <x:c r="I254" t="str">
        <x:v>5610191</x:v>
      </x:c>
      <x:c r="J254" t="str">
        <x:v>DIX PROPERTIES LLC</x:v>
      </x:c>
      <x:c r="K254" s="55" t="n">
        <x:v>43703</x:v>
      </x:c>
      <x:c r="L254" t="str">
        <x:v>Albany</x:v>
      </x:c>
      <x:c r="M254" t="str">
        <x:v>New York</x:v>
      </x:c>
      <x:c r="N254" t="str">
        <x:v>DOMESTIC LIMITED LIABILITY COMPANY</x:v>
      </x:c>
      <x:c r="O254" t="str">
        <x:v>REGISTERED AGENTS INC.</x:v>
      </x:c>
      <x:c r="P254" t="str">
        <x:v>418 BROADWAY, STE R, ALBANY, NY, 12207</x:v>
      </x:c>
      <x:c r="Q254" t="str"/>
      <x:c r="R254" t="str"/>
      <x:c r="S254" t="str">
        <x:v>REGISTERED AGENTS INC.</x:v>
      </x:c>
      <x:c r="T254" t="str">
        <x:v>418 BROADWAY, STE R, ALBANY, NEW YORK, 12207</x:v>
      </x:c>
      <x:c r="U254" t="str"/>
      <x:c r="V254" t="str"/>
      <x:c r="W254" t="str"/>
      <x:c r="X254" t="str"/>
      <x:c r="Y254" t="str">
        <x:v>https://data.ny.gov/Economic-Development/Active-Corporations-Beginning-1800/n9v6-gdp6</x:v>
      </x:c>
    </x:row>
    <x:row r="255">
      <x:c r="A255" t="str">
        <x:v>DOS-3-085</x:v>
      </x:c>
      <x:c r="B255" t="n">
        <x:v>3</x:v>
      </x:c>
      <x:c r="C255" t="str">
        <x:v>66 KNOLLS DRIVE NORTH, NEW HYDE PARK, NY, 11040, US</x:v>
      </x:c>
      <x:c r="D255" t="str">
        <x:v>FAR ROCK HOLDINGS LLC</x:v>
      </x:c>
      <x:c r="E255" t="str">
        <x:v>FAR ROCK HOLDINGS LLC</x:v>
      </x:c>
      <x:c r="F255" t="str">
        <x:v>Active name match</x:v>
      </x:c>
      <x:c r="G255" t="n">
        <x:v>1</x:v>
      </x:c>
      <x:c r="H255" t="n">
        <x:v>0</x:v>
      </x:c>
      <x:c r="I255" t="str">
        <x:v>5105695</x:v>
      </x:c>
      <x:c r="J255" t="str">
        <x:v>FAR ROCK HOLDINGS LLC</x:v>
      </x:c>
      <x:c r="K255" s="55" t="n">
        <x:v>42815</x:v>
      </x:c>
      <x:c r="L255" t="str">
        <x:v>Nassau</x:v>
      </x:c>
      <x:c r="M255" t="str">
        <x:v>New York</x:v>
      </x:c>
      <x:c r="N255" t="str">
        <x:v>DOMESTIC LIMITED LIABILITY COMPANY</x:v>
      </x:c>
      <x:c r="O255" t="str">
        <x:v>AMARJIT MULTANI</x:v>
      </x:c>
      <x:c r="P255" t="str">
        <x:v>69 Arbor Lane, Roslyn Heights, NY, 11577</x:v>
      </x:c>
      <x:c r="Q255" t="str"/>
      <x:c r="R255" t="str"/>
      <x:c r="S255" t="str"/>
      <x:c r="T255" t="str"/>
      <x:c r="U255" t="str"/>
      <x:c r="V255" t="str"/>
      <x:c r="W255" t="str"/>
      <x:c r="X255" t="str"/>
      <x:c r="Y255" t="str">
        <x:v>https://data.ny.gov/Economic-Development/Active-Corporations-Beginning-1800/n9v6-gdp6</x:v>
      </x:c>
    </x:row>
    <x:row r="256">
      <x:c r="A256" t="str">
        <x:v>DOS-3-085</x:v>
      </x:c>
      <x:c r="B256" t="n">
        <x:v>3</x:v>
      </x:c>
      <x:c r="C256" t="str">
        <x:v>66 KNOLLS DRIVE NORTH, NEW HYDE PARK, NY, 11040, US</x:v>
      </x:c>
      <x:c r="D256" t="str">
        <x:v>KAUR PROPERTIES LLC</x:v>
      </x:c>
      <x:c r="E256" t="str">
        <x:v>KAUR PROPERTIES LLC</x:v>
      </x:c>
      <x:c r="F256" t="str">
        <x:v>Active name match</x:v>
      </x:c>
      <x:c r="G256" t="n">
        <x:v>1</x:v>
      </x:c>
      <x:c r="H256" t="n">
        <x:v>0</x:v>
      </x:c>
      <x:c r="I256" t="str">
        <x:v>5610897</x:v>
      </x:c>
      <x:c r="J256" t="str">
        <x:v>KAUR PROPERTIES LLC</x:v>
      </x:c>
      <x:c r="K256" s="55" t="n">
        <x:v>43704</x:v>
      </x:c>
      <x:c r="L256" t="str">
        <x:v>Albany</x:v>
      </x:c>
      <x:c r="M256" t="str">
        <x:v>New York</x:v>
      </x:c>
      <x:c r="N256" t="str">
        <x:v>DOMESTIC LIMITED LIABILITY COMPANY</x:v>
      </x:c>
      <x:c r="O256" t="str">
        <x:v>REGISTERED AGENTS INC.</x:v>
      </x:c>
      <x:c r="P256" t="str">
        <x:v>418 BROADWAY, STE R, ALBANY, NY, 12207</x:v>
      </x:c>
      <x:c r="Q256" t="str"/>
      <x:c r="R256" t="str"/>
      <x:c r="S256" t="str">
        <x:v>REGISTERED AGENTS INC.</x:v>
      </x:c>
      <x:c r="T256" t="str">
        <x:v>418 BROADWAY, STE R, ALBANY, NEW YORK, 12207</x:v>
      </x:c>
      <x:c r="U256" t="str"/>
      <x:c r="V256" t="str"/>
      <x:c r="W256" t="str"/>
      <x:c r="X256" t="str"/>
      <x:c r="Y256" t="str">
        <x:v>https://data.ny.gov/Economic-Development/Active-Corporations-Beginning-1800/n9v6-gdp6</x:v>
      </x:c>
    </x:row>
    <x:row r="257">
      <x:c r="A257" t="str">
        <x:v>DOS-3-086</x:v>
      </x:c>
      <x:c r="B257" t="n">
        <x:v>3</x:v>
      </x:c>
      <x:c r="C257" t="str">
        <x:v>67 BEACON HILL ROAD, PORT WASHINGTON, NY, 11050, US</x:v>
      </x:c>
      <x:c r="D257" t="str">
        <x:v>PIER TWO REALTY LLC</x:v>
      </x:c>
      <x:c r="E257" t="str">
        <x:v>PIER TWO REALTY, LLC</x:v>
      </x:c>
      <x:c r="F257" t="str">
        <x:v>Address-corroborated active match</x:v>
      </x:c>
      <x:c r="G257" t="n">
        <x:v>1</x:v>
      </x:c>
      <x:c r="H257" t="n">
        <x:v>2</x:v>
      </x:c>
      <x:c r="I257" t="str">
        <x:v>4114589</x:v>
      </x:c>
      <x:c r="J257" t="str">
        <x:v>PIER TWO REALTY, LLC</x:v>
      </x:c>
      <x:c r="K257" s="55" t="n">
        <x:v>40729</x:v>
      </x:c>
      <x:c r="L257" t="str">
        <x:v>Nassau</x:v>
      </x:c>
      <x:c r="M257" t="str">
        <x:v>New York</x:v>
      </x:c>
      <x:c r="N257" t="str">
        <x:v>DOMESTIC LIMITED LIABILITY COMPANY</x:v>
      </x:c>
      <x:c r="O257" t="str">
        <x:v>VIVIAN SUN</x:v>
      </x:c>
      <x:c r="P257" t="str">
        <x:v>67 BEACON HILL ROAD, PORT WASHINGTON, NY, 11050</x:v>
      </x:c>
      <x:c r="Q257" t="str"/>
      <x:c r="R257" t="str"/>
      <x:c r="S257" t="str"/>
      <x:c r="T257" t="str"/>
      <x:c r="U257" t="str"/>
      <x:c r="V257" t="str"/>
      <x:c r="W257" t="str"/>
      <x:c r="X257" t="str"/>
      <x:c r="Y257" t="str">
        <x:v>https://data.ny.gov/Economic-Development/Active-Corporations-Beginning-1800/n9v6-gdp6</x:v>
      </x:c>
    </x:row>
    <x:row r="258">
      <x:c r="A258" t="str">
        <x:v>DOS-3-086</x:v>
      </x:c>
      <x:c r="B258" t="n">
        <x:v>3</x:v>
      </x:c>
      <x:c r="C258" t="str">
        <x:v>67 BEACON HILL ROAD, PORT WASHINGTON, NY, 11050, US</x:v>
      </x:c>
      <x:c r="D258" t="str">
        <x:v>WATERSIDE TOWER LLC</x:v>
      </x:c>
      <x:c r="E258" t="str">
        <x:v>WATERSIDE TOWER LLC</x:v>
      </x:c>
      <x:c r="F258" t="str">
        <x:v>Address-corroborated active match</x:v>
      </x:c>
      <x:c r="G258" t="n">
        <x:v>1</x:v>
      </x:c>
      <x:c r="H258" t="n">
        <x:v>2</x:v>
      </x:c>
      <x:c r="I258" t="str">
        <x:v>4114568</x:v>
      </x:c>
      <x:c r="J258" t="str">
        <x:v>WATERSIDE TOWER, LLC</x:v>
      </x:c>
      <x:c r="K258" s="55" t="n">
        <x:v>40729</x:v>
      </x:c>
      <x:c r="L258" t="str">
        <x:v>Nassau</x:v>
      </x:c>
      <x:c r="M258" t="str">
        <x:v>New York</x:v>
      </x:c>
      <x:c r="N258" t="str">
        <x:v>DOMESTIC LIMITED LIABILITY COMPANY</x:v>
      </x:c>
      <x:c r="O258" t="str">
        <x:v>VIVIAN SUN</x:v>
      </x:c>
      <x:c r="P258" t="str">
        <x:v>67 BEACON HILL ROAD, PORT WASHINGTON, NY, 11050</x:v>
      </x:c>
      <x:c r="Q258" t="str"/>
      <x:c r="R258" t="str"/>
      <x:c r="S258" t="str"/>
      <x:c r="T258" t="str"/>
      <x:c r="U258" t="str"/>
      <x:c r="V258" t="str"/>
      <x:c r="W258" t="str"/>
      <x:c r="X258" t="str"/>
      <x:c r="Y258" t="str">
        <x:v>https://data.ny.gov/Economic-Development/Active-Corporations-Beginning-1800/n9v6-gdp6</x:v>
      </x:c>
    </x:row>
    <x:row r="259">
      <x:c r="A259" t="str">
        <x:v>DOS-3-086</x:v>
      </x:c>
      <x:c r="B259" t="n">
        <x:v>3</x:v>
      </x:c>
      <x:c r="C259" t="str">
        <x:v>67 BEACON HILL ROAD, PORT WASHINGTON, NY, 11050, US</x:v>
      </x:c>
      <x:c r="D259" t="str">
        <x:v>YOSHI SUN LLC</x:v>
      </x:c>
      <x:c r="E259" t="str">
        <x:v>YOSHI SUN, LLC</x:v>
      </x:c>
      <x:c r="F259" t="str">
        <x:v>Address-corroborated active match</x:v>
      </x:c>
      <x:c r="G259" t="n">
        <x:v>1</x:v>
      </x:c>
      <x:c r="H259" t="n">
        <x:v>2</x:v>
      </x:c>
      <x:c r="I259" t="str">
        <x:v>6300109</x:v>
      </x:c>
      <x:c r="J259" t="str">
        <x:v>YOSHI SUN, LLC</x:v>
      </x:c>
      <x:c r="K259" s="55" t="n">
        <x:v>44480</x:v>
      </x:c>
      <x:c r="L259" t="str">
        <x:v>Nassau</x:v>
      </x:c>
      <x:c r="M259" t="str">
        <x:v>New York</x:v>
      </x:c>
      <x:c r="N259" t="str">
        <x:v>DOMESTIC LIMITED LIABILITY COMPANY</x:v>
      </x:c>
      <x:c r="O259" t="str">
        <x:v>VIVIAN SUN</x:v>
      </x:c>
      <x:c r="P259" t="str">
        <x:v>67 BEACON HILL ROAD, PORT WASHINGTON, NY, 11050</x:v>
      </x:c>
      <x:c r="Q259" t="str"/>
      <x:c r="R259" t="str"/>
      <x:c r="S259" t="str"/>
      <x:c r="T259" t="str"/>
      <x:c r="U259" t="str"/>
      <x:c r="V259" t="str"/>
      <x:c r="W259" t="str"/>
      <x:c r="X259" t="str"/>
      <x:c r="Y259" t="str">
        <x:v>https://data.ny.gov/Economic-Development/Active-Corporations-Beginning-1800/n9v6-gdp6</x:v>
      </x:c>
    </x:row>
    <x:row r="260">
      <x:c r="A260" t="str">
        <x:v>DOS-3-087</x:v>
      </x:c>
      <x:c r="B260" t="n">
        <x:v>3</x:v>
      </x:c>
      <x:c r="C260" t="str">
        <x:v>675  THIRD AVENUE, NEW YORK, NY, 10017, US | 675 THIRD AVENUE, NEW YORK, NY, 10017, US</x:v>
      </x:c>
      <x:c r="D260" t="str">
        <x:v>151 WILLIAM REALTY LLC</x:v>
      </x:c>
      <x:c r="E260" t="str">
        <x:v>151 WILLIAM REALTY LLC</x:v>
      </x:c>
      <x:c r="F260" t="str">
        <x:v>Address-corroborated active match</x:v>
      </x:c>
      <x:c r="G260" t="n">
        <x:v>1</x:v>
      </x:c>
      <x:c r="H260" t="n">
        <x:v>2</x:v>
      </x:c>
      <x:c r="I260" t="str">
        <x:v>2675893</x:v>
      </x:c>
      <x:c r="J260" t="str">
        <x:v>151 WILLIAM REALTY LLC</x:v>
      </x:c>
      <x:c r="K260" s="55" t="n">
        <x:v>37132</x:v>
      </x:c>
      <x:c r="L260" t="str">
        <x:v>New York</x:v>
      </x:c>
      <x:c r="M260" t="str">
        <x:v>New York</x:v>
      </x:c>
      <x:c r="N260" t="str">
        <x:v>DOMESTIC LIMITED LIABILITY COMPANY</x:v>
      </x:c>
      <x:c r="O260" t="str">
        <x:v>C&amp;K PROPERTIES</x:v>
      </x:c>
      <x:c r="P260" t="str">
        <x:v>675 THIRD AVENUE, NEW YORK, NY, 10017</x:v>
      </x:c>
      <x:c r="Q260" t="str"/>
      <x:c r="R260" t="str"/>
      <x:c r="S260" t="str"/>
      <x:c r="T260" t="str"/>
      <x:c r="U260" t="str"/>
      <x:c r="V260" t="str"/>
      <x:c r="W260" t="str"/>
      <x:c r="X260" t="str"/>
      <x:c r="Y260" t="str">
        <x:v>https://data.ny.gov/Economic-Development/Active-Corporations-Beginning-1800/n9v6-gdp6</x:v>
      </x:c>
    </x:row>
    <x:row r="261">
      <x:c r="A261" t="str">
        <x:v>DOS-3-087</x:v>
      </x:c>
      <x:c r="B261" t="n">
        <x:v>3</x:v>
      </x:c>
      <x:c r="C261" t="str">
        <x:v>675  THIRD AVENUE, NEW YORK, NY, 10017, US | 675 THIRD AVENUE, NEW YORK, NY, 10017, US</x:v>
      </x:c>
      <x:c r="D261" t="str">
        <x:v>CHELSEA EQUITIES LLC</x:v>
      </x:c>
      <x:c r="E261" t="str">
        <x:v>CHELSEA EQUITIES LLC</x:v>
      </x:c>
      <x:c r="F261" t="str">
        <x:v>Active name match</x:v>
      </x:c>
      <x:c r="G261" t="n">
        <x:v>1</x:v>
      </x:c>
      <x:c r="H261" t="n">
        <x:v>0</x:v>
      </x:c>
      <x:c r="I261" t="str">
        <x:v>2058264</x:v>
      </x:c>
      <x:c r="J261" t="str">
        <x:v>CHELSEA EQUITIES LLC</x:v>
      </x:c>
      <x:c r="K261" s="55" t="n">
        <x:v>35296</x:v>
      </x:c>
      <x:c r="L261" t="str">
        <x:v>New York</x:v>
      </x:c>
      <x:c r="M261" t="str">
        <x:v>New York</x:v>
      </x:c>
      <x:c r="N261" t="str">
        <x:v>DOMESTIC LIMITED LIABILITY COMPANY</x:v>
      </x:c>
      <x:c r="O261" t="str">
        <x:v>C/O GARFIELD DEVELOPMENT CORP.</x:v>
      </x:c>
      <x:c r="P261" t="str">
        <x:v>950 THIRD AVENUE, SUITE 2604, NEW YORK, NY, 10022</x:v>
      </x:c>
      <x:c r="Q261" t="str"/>
      <x:c r="R261" t="str"/>
      <x:c r="S261" t="str"/>
      <x:c r="T261" t="str"/>
      <x:c r="U261" t="str"/>
      <x:c r="V261" t="str"/>
      <x:c r="W261" t="str"/>
      <x:c r="X261" t="str"/>
      <x:c r="Y261" t="str">
        <x:v>https://data.ny.gov/Economic-Development/Active-Corporations-Beginning-1800/n9v6-gdp6</x:v>
      </x:c>
    </x:row>
    <x:row r="262">
      <x:c r="A262" t="str">
        <x:v>DOS-3-087</x:v>
      </x:c>
      <x:c r="B262" t="n">
        <x:v>3</x:v>
      </x:c>
      <x:c r="C262" t="str">
        <x:v>675  THIRD AVENUE, NEW YORK, NY, 10017, US | 675 THIRD AVENUE, NEW YORK, NY, 10017, US</x:v>
      </x:c>
      <x:c r="D262" t="str">
        <x:v>NEWHOPE US LLC</x:v>
      </x:c>
      <x:c r="E262" t="str">
        <x:v>NEWHOPE US LLC</x:v>
      </x:c>
      <x:c r="F262" t="str">
        <x:v>Active name match</x:v>
      </x:c>
      <x:c r="G262" t="n">
        <x:v>1</x:v>
      </x:c>
      <x:c r="H262" t="n">
        <x:v>0</x:v>
      </x:c>
      <x:c r="I262" t="str">
        <x:v>5296809</x:v>
      </x:c>
      <x:c r="J262" t="str">
        <x:v>NEWHOPE US LLC</x:v>
      </x:c>
      <x:c r="K262" s="55" t="n">
        <x:v>43161</x:v>
      </x:c>
      <x:c r="L262" t="str">
        <x:v>New York</x:v>
      </x:c>
      <x:c r="M262" t="str">
        <x:v>New York</x:v>
      </x:c>
      <x:c r="N262" t="str">
        <x:v>DOMESTIC LIMITED LIABILITY COMPANY</x:v>
      </x:c>
      <x:c r="O262" t="str">
        <x:v>C/O GHSK</x:v>
      </x:c>
      <x:c r="P262" t="str">
        <x:v>107 Greenwich Street, 25th Floor, New York, NY, 10006</x:v>
      </x:c>
      <x:c r="Q262" t="str"/>
      <x:c r="R262" t="str"/>
      <x:c r="S262" t="str"/>
      <x:c r="T262" t="str"/>
      <x:c r="U262" t="str"/>
      <x:c r="V262" t="str"/>
      <x:c r="W262" t="str"/>
      <x:c r="X262" t="str"/>
      <x:c r="Y262" t="str">
        <x:v>https://data.ny.gov/Economic-Development/Active-Corporations-Beginning-1800/n9v6-gdp6</x:v>
      </x:c>
    </x:row>
    <x:row r="263">
      <x:c r="A263" t="str">
        <x:v>DOS-3-088</x:v>
      </x:c>
      <x:c r="B263" t="n">
        <x:v>3</x:v>
      </x:c>
      <x:c r="C263" t="str">
        <x:v>1059 83RD STREET, BROOKLYN, NY, 11228, US</x:v>
      </x:c>
      <x:c r="D263" t="str">
        <x:v>169 175 2ND AVE LLC</x:v>
      </x:c>
      <x:c r="E263" t="str">
        <x:v>169 - 175 2ND AVE, LLC</x:v>
      </x:c>
      <x:c r="F263" t="str">
        <x:v>No active DOS match</x:v>
      </x:c>
      <x:c r="G263" t="n">
        <x:v>0</x:v>
      </x:c>
      <x:c r="H263" t="n">
        <x:v>0</x:v>
      </x:c>
      <x:c r="I263" t="str"/>
      <x:c r="J263" t="str"/>
      <x:c r="K263" s="55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>
        <x:v>https://data.ny.gov/Economic-Development/Active-Corporations-Beginning-1800/n9v6-gdp6</x:v>
      </x:c>
    </x:row>
    <x:row r="264">
      <x:c r="A264" t="str">
        <x:v>DOS-3-088</x:v>
      </x:c>
      <x:c r="B264" t="n">
        <x:v>3</x:v>
      </x:c>
      <x:c r="C264" t="str">
        <x:v>1059 83RD STREET, BROOKLYN, NY, 11228, US</x:v>
      </x:c>
      <x:c r="D264" t="str">
        <x:v>214 18 51ST ST LLC</x:v>
      </x:c>
      <x:c r="E264" t="str">
        <x:v>214-18 51ST ST LLC</x:v>
      </x:c>
      <x:c r="F264" t="str">
        <x:v>Address-corroborated active match</x:v>
      </x:c>
      <x:c r="G264" t="n">
        <x:v>1</x:v>
      </x:c>
      <x:c r="H264" t="n">
        <x:v>2</x:v>
      </x:c>
      <x:c r="I264" t="str">
        <x:v>3294828</x:v>
      </x:c>
      <x:c r="J264" t="str">
        <x:v>214-18 51ST ST LLC</x:v>
      </x:c>
      <x:c r="K264" s="55" t="n">
        <x:v>38706</x:v>
      </x:c>
      <x:c r="L264" t="str">
        <x:v>Kings</x:v>
      </x:c>
      <x:c r="M264" t="str">
        <x:v>New York</x:v>
      </x:c>
      <x:c r="N264" t="str">
        <x:v>DOMESTIC LIMITED LIABILITY COMPANY</x:v>
      </x:c>
      <x:c r="O264" t="str">
        <x:v>PATRICIA GALLINA</x:v>
      </x:c>
      <x:c r="P264" t="str">
        <x:v>1059 83RD STREET, BROOKLYN, NY, 11228</x:v>
      </x:c>
      <x:c r="Q264" t="str"/>
      <x:c r="R264" t="str"/>
      <x:c r="S264" t="str"/>
      <x:c r="T264" t="str"/>
      <x:c r="U264" t="str"/>
      <x:c r="V264" t="str"/>
      <x:c r="W264" t="str"/>
      <x:c r="X264" t="str"/>
      <x:c r="Y264" t="str">
        <x:v>https://data.ny.gov/Economic-Development/Active-Corporations-Beginning-1800/n9v6-gdp6</x:v>
      </x:c>
    </x:row>
    <x:row r="265">
      <x:c r="A265" t="str">
        <x:v>DOS-3-088</x:v>
      </x:c>
      <x:c r="B265" t="n">
        <x:v>3</x:v>
      </x:c>
      <x:c r="C265" t="str">
        <x:v>1059 83RD STREET, BROOKLYN, NY, 11228, US</x:v>
      </x:c>
      <x:c r="D265" t="str">
        <x:v>5114 3RD AVE LLC</x:v>
      </x:c>
      <x:c r="E265" t="str">
        <x:v>5114 3RD AVE LLC</x:v>
      </x:c>
      <x:c r="F265" t="str">
        <x:v>Address-corroborated active match</x:v>
      </x:c>
      <x:c r="G265" t="n">
        <x:v>1</x:v>
      </x:c>
      <x:c r="H265" t="n">
        <x:v>2</x:v>
      </x:c>
      <x:c r="I265" t="str">
        <x:v>3294830</x:v>
      </x:c>
      <x:c r="J265" t="str">
        <x:v>5114 3RD AVE LLC</x:v>
      </x:c>
      <x:c r="K265" s="55" t="n">
        <x:v>38706</x:v>
      </x:c>
      <x:c r="L265" t="str">
        <x:v>Kings</x:v>
      </x:c>
      <x:c r="M265" t="str">
        <x:v>New York</x:v>
      </x:c>
      <x:c r="N265" t="str">
        <x:v>DOMESTIC LIMITED LIABILITY COMPANY</x:v>
      </x:c>
      <x:c r="O265" t="str">
        <x:v>PATRICIA GALLINA</x:v>
      </x:c>
      <x:c r="P265" t="str">
        <x:v>1059 83RD STREET, BROOKLYN, NY, 11228</x:v>
      </x:c>
      <x:c r="Q265" t="str"/>
      <x:c r="R265" t="str"/>
      <x:c r="S265" t="str"/>
      <x:c r="T265" t="str"/>
      <x:c r="U265" t="str"/>
      <x:c r="V265" t="str"/>
      <x:c r="W265" t="str"/>
      <x:c r="X265" t="str"/>
      <x:c r="Y265" t="str">
        <x:v>https://data.ny.gov/Economic-Development/Active-Corporations-Beginning-1800/n9v6-gdp6</x:v>
      </x:c>
    </x:row>
    <x:row r="266">
      <x:c r="A266" t="str">
        <x:v>DOS-3-089</x:v>
      </x:c>
      <x:c r="B266" t="n">
        <x:v>3</x:v>
      </x:c>
      <x:c r="C266" t="str">
        <x:v>1065 83RD STREET, BROOKLYN, NY, 11228, US</x:v>
      </x:c>
      <x:c r="D266" t="str">
        <x:v>1403 BAY RIDGE PARKWAY LLC</x:v>
      </x:c>
      <x:c r="E266" t="str">
        <x:v>1403 BAY RIDGE PARKWAY LLC</x:v>
      </x:c>
      <x:c r="F266" t="str">
        <x:v>Address-corroborated active match</x:v>
      </x:c>
      <x:c r="G266" t="n">
        <x:v>1</x:v>
      </x:c>
      <x:c r="H266" t="n">
        <x:v>2</x:v>
      </x:c>
      <x:c r="I266" t="str">
        <x:v>4638388</x:v>
      </x:c>
      <x:c r="J266" t="str">
        <x:v>1403 BAY RIDGE PARKWAY LLC</x:v>
      </x:c>
      <x:c r="K266" s="55" t="n">
        <x:v>41900</x:v>
      </x:c>
      <x:c r="L266" t="str">
        <x:v>Kings</x:v>
      </x:c>
      <x:c r="M266" t="str">
        <x:v>New York</x:v>
      </x:c>
      <x:c r="N266" t="str">
        <x:v>DOMESTIC LIMITED LIABILITY COMPANY</x:v>
      </x:c>
      <x:c r="O266" t="str">
        <x:v>1403 BAY RIDGE PARKWAY LLC</x:v>
      </x:c>
      <x:c r="P266" t="str">
        <x:v>1065 83RD STREET, BROOKLYN, NY, 11228</x:v>
      </x:c>
      <x:c r="Q266" t="str"/>
      <x:c r="R266" t="str"/>
      <x:c r="S266" t="str"/>
      <x:c r="T266" t="str"/>
      <x:c r="U266" t="str"/>
      <x:c r="V266" t="str"/>
      <x:c r="W266" t="str"/>
      <x:c r="X266" t="str"/>
      <x:c r="Y266" t="str">
        <x:v>https://data.ny.gov/Economic-Development/Active-Corporations-Beginning-1800/n9v6-gdp6</x:v>
      </x:c>
    </x:row>
    <x:row r="267">
      <x:c r="A267" t="str">
        <x:v>DOS-3-089</x:v>
      </x:c>
      <x:c r="B267" t="n">
        <x:v>3</x:v>
      </x:c>
      <x:c r="C267" t="str">
        <x:v>1065 83RD STREET, BROOKLYN, NY, 11228, US</x:v>
      </x:c>
      <x:c r="D267" t="str">
        <x:v>6412 11TH AVENUE LLC</x:v>
      </x:c>
      <x:c r="E267" t="str">
        <x:v>6412 11TH AVENUE LLC</x:v>
      </x:c>
      <x:c r="F267" t="str">
        <x:v>Active name match</x:v>
      </x:c>
      <x:c r="G267" t="n">
        <x:v>1</x:v>
      </x:c>
      <x:c r="H267" t="n">
        <x:v>1</x:v>
      </x:c>
      <x:c r="I267" t="str">
        <x:v>4812142</x:v>
      </x:c>
      <x:c r="J267" t="str">
        <x:v>6412 11TH AVENUE LLC</x:v>
      </x:c>
      <x:c r="K267" s="55" t="n">
        <x:v>42244</x:v>
      </x:c>
      <x:c r="L267" t="str">
        <x:v>Kings</x:v>
      </x:c>
      <x:c r="M267" t="str">
        <x:v>New York</x:v>
      </x:c>
      <x:c r="N267" t="str">
        <x:v>DOMESTIC LIMITED LIABILITY COMPANY</x:v>
      </x:c>
      <x:c r="O267" t="str">
        <x:v>C/O LUGARA PLLC</x:v>
      </x:c>
      <x:c r="P267" t="str">
        <x:v>7811 15TH AVENUE, BROOKLYN, NY, 11228</x:v>
      </x:c>
      <x:c r="Q267" t="str"/>
      <x:c r="R267" t="str"/>
      <x:c r="S267" t="str"/>
      <x:c r="T267" t="str"/>
      <x:c r="U267" t="str"/>
      <x:c r="V267" t="str"/>
      <x:c r="W267" t="str"/>
      <x:c r="X267" t="str"/>
      <x:c r="Y267" t="str">
        <x:v>https://data.ny.gov/Economic-Development/Active-Corporations-Beginning-1800/n9v6-gdp6</x:v>
      </x:c>
    </x:row>
    <x:row r="268">
      <x:c r="A268" t="str">
        <x:v>DOS-3-089</x:v>
      </x:c>
      <x:c r="B268" t="n">
        <x:v>3</x:v>
      </x:c>
      <x:c r="C268" t="str">
        <x:v>1065 83RD STREET, BROOKLYN, NY, 11228, US</x:v>
      </x:c>
      <x:c r="D268" t="str">
        <x:v>BAY 11TH LLC</x:v>
      </x:c>
      <x:c r="E268" t="str">
        <x:v>BAY 11TH LLC</x:v>
      </x:c>
      <x:c r="F268" t="str">
        <x:v>Active name match</x:v>
      </x:c>
      <x:c r="G268" t="n">
        <x:v>1</x:v>
      </x:c>
      <x:c r="H268" t="n">
        <x:v>0</x:v>
      </x:c>
      <x:c r="I268" t="str">
        <x:v>2724338</x:v>
      </x:c>
      <x:c r="J268" t="str">
        <x:v>BAY 11TH LLC</x:v>
      </x:c>
      <x:c r="K268" s="55" t="n">
        <x:v>37284</x:v>
      </x:c>
      <x:c r="L268" t="str">
        <x:v>Kings</x:v>
      </x:c>
      <x:c r="M268" t="str">
        <x:v>New York</x:v>
      </x:c>
      <x:c r="N268" t="str">
        <x:v>DOMESTIC LIMITED LIABILITY COMPANY</x:v>
      </x:c>
      <x:c r="O268" t="str">
        <x:v>BAY 11TH LLC</x:v>
      </x:c>
      <x:c r="P268" t="str">
        <x:v>527 Court Street, C2, brooklyn, NY, 11231</x:v>
      </x:c>
      <x:c r="Q268" t="str"/>
      <x:c r="R268" t="str"/>
      <x:c r="S268" t="str"/>
      <x:c r="T268" t="str"/>
      <x:c r="U268" t="str"/>
      <x:c r="V268" t="str"/>
      <x:c r="W268" t="str"/>
      <x:c r="X268" t="str"/>
      <x:c r="Y268" t="str">
        <x:v>https://data.ny.gov/Economic-Development/Active-Corporations-Beginning-1800/n9v6-gdp6</x:v>
      </x:c>
    </x:row>
    <x:row r="269">
      <x:c r="A269" t="str">
        <x:v>DOS-3-090</x:v>
      </x:c>
      <x:c r="B269" t="n">
        <x:v>3</x:v>
      </x:c>
      <x:c r="C269" t="str">
        <x:v>110-64 QUEENS BLVD, FOREST HILLS, NY, 11375, US | 110-64 QUEENS BLVD., FOREST HILLS, NY, 11375, US</x:v>
      </x:c>
      <x:c r="D269" t="str">
        <x:v>FRANCES LEWIS SUNRISE LLC</x:v>
      </x:c>
      <x:c r="E269" t="str">
        <x:v>FRANCES LEWIS SUNRISE, LLC</x:v>
      </x:c>
      <x:c r="F269" t="str">
        <x:v>Active name match</x:v>
      </x:c>
      <x:c r="G269" t="n">
        <x:v>1</x:v>
      </x:c>
      <x:c r="H269" t="n">
        <x:v>1</x:v>
      </x:c>
      <x:c r="I269" t="str">
        <x:v>3398623</x:v>
      </x:c>
      <x:c r="J269" t="str">
        <x:v>FRANCES LEWIS SUNRISE, LLC</x:v>
      </x:c>
      <x:c r="K269" s="55" t="n">
        <x:v>38938</x:v>
      </x:c>
      <x:c r="L269" t="str">
        <x:v>Queens</x:v>
      </x:c>
      <x:c r="M269" t="str">
        <x:v>New York</x:v>
      </x:c>
      <x:c r="N269" t="str">
        <x:v>DOMESTIC LIMITED LIABILITY COMPANY</x:v>
      </x:c>
      <x:c r="O269" t="str">
        <x:v>FRANCES LEWIS SUNRISE, LLC</x:v>
      </x:c>
      <x:c r="P269" t="str">
        <x:v>64-31 108 STREET, SUITE 1010, FOREST HILLS, NY, 11375</x:v>
      </x:c>
      <x:c r="Q269" t="str"/>
      <x:c r="R269" t="str"/>
      <x:c r="S269" t="str"/>
      <x:c r="T269" t="str"/>
      <x:c r="U269" t="str"/>
      <x:c r="V269" t="str"/>
      <x:c r="W269" t="str"/>
      <x:c r="X269" t="str"/>
      <x:c r="Y269" t="str">
        <x:v>https://data.ny.gov/Economic-Development/Active-Corporations-Beginning-1800/n9v6-gdp6</x:v>
      </x:c>
    </x:row>
    <x:row r="270">
      <x:c r="A270" t="str">
        <x:v>DOS-3-090</x:v>
      </x:c>
      <x:c r="B270" t="n">
        <x:v>3</x:v>
      </x:c>
      <x:c r="C270" t="str">
        <x:v>110-64 QUEENS BLVD, FOREST HILLS, NY, 11375, US | 110-64 QUEENS BLVD., FOREST HILLS, NY, 11375, US</x:v>
      </x:c>
      <x:c r="D270" t="str">
        <x:v>HEMPSPRING LLC</x:v>
      </x:c>
      <x:c r="E270" t="str">
        <x:v>HEMPSPRING LLC</x:v>
      </x:c>
      <x:c r="F270" t="str">
        <x:v>Active name match</x:v>
      </x:c>
      <x:c r="G270" t="n">
        <x:v>1</x:v>
      </x:c>
      <x:c r="H270" t="n">
        <x:v>1</x:v>
      </x:c>
      <x:c r="I270" t="str">
        <x:v>4158364</x:v>
      </x:c>
      <x:c r="J270" t="str">
        <x:v>HEMPSPRING LLC</x:v>
      </x:c>
      <x:c r="K270" s="55" t="n">
        <x:v>40843</x:v>
      </x:c>
      <x:c r="L270" t="str">
        <x:v>Queens</x:v>
      </x:c>
      <x:c r="M270" t="str">
        <x:v>New York</x:v>
      </x:c>
      <x:c r="N270" t="str">
        <x:v>DOMESTIC LIMITED LIABILITY COMPANY</x:v>
      </x:c>
      <x:c r="O270" t="str">
        <x:v>HEMPSPRING LLC</x:v>
      </x:c>
      <x:c r="P270" t="str">
        <x:v>64-31 108 STREET, SUITE 1010, FOREST HILLS, NY, 11375</x:v>
      </x:c>
      <x:c r="Q270" t="str"/>
      <x:c r="R270" t="str"/>
      <x:c r="S270" t="str"/>
      <x:c r="T270" t="str"/>
      <x:c r="U270" t="str"/>
      <x:c r="V270" t="str"/>
      <x:c r="W270" t="str"/>
      <x:c r="X270" t="str"/>
      <x:c r="Y270" t="str">
        <x:v>https://data.ny.gov/Economic-Development/Active-Corporations-Beginning-1800/n9v6-gdp6</x:v>
      </x:c>
    </x:row>
    <x:row r="271">
      <x:c r="A271" t="str">
        <x:v>DOS-3-090</x:v>
      </x:c>
      <x:c r="B271" t="n">
        <x:v>3</x:v>
      </x:c>
      <x:c r="C271" t="str">
        <x:v>110-64 QUEENS BLVD, FOREST HILLS, NY, 11375, US | 110-64 QUEENS BLVD., FOREST HILLS, NY, 11375, US</x:v>
      </x:c>
      <x:c r="D271" t="str">
        <x:v>ZALIV LLC</x:v>
      </x:c>
      <x:c r="E271" t="str">
        <x:v>ZALIV, LLC.</x:v>
      </x:c>
      <x:c r="F271" t="str">
        <x:v>Active name match</x:v>
      </x:c>
      <x:c r="G271" t="n">
        <x:v>1</x:v>
      </x:c>
      <x:c r="H271" t="n">
        <x:v>1</x:v>
      </x:c>
      <x:c r="I271" t="str">
        <x:v>3300040</x:v>
      </x:c>
      <x:c r="J271" t="str">
        <x:v>ZALIV, LLC</x:v>
      </x:c>
      <x:c r="K271" s="55" t="n">
        <x:v>38721</x:v>
      </x:c>
      <x:c r="L271" t="str">
        <x:v>Kings</x:v>
      </x:c>
      <x:c r="M271" t="str">
        <x:v>New York</x:v>
      </x:c>
      <x:c r="N271" t="str">
        <x:v>DOMESTIC LIMITED LIABILITY COMPANY</x:v>
      </x:c>
      <x:c r="O271" t="str">
        <x:v>ZALIV LLC</x:v>
      </x:c>
      <x:c r="P271" t="str">
        <x:v>64-31 108 STREET, 1010, FOREST HILLS, NY, 11375</x:v>
      </x:c>
      <x:c r="Q271" t="str"/>
      <x:c r="R271" t="str"/>
      <x:c r="S271" t="str"/>
      <x:c r="T271" t="str"/>
      <x:c r="U271" t="str"/>
      <x:c r="V271" t="str"/>
      <x:c r="W271" t="str"/>
      <x:c r="X271" t="str"/>
      <x:c r="Y271" t="str">
        <x:v>https://data.ny.gov/Economic-Development/Active-Corporations-Beginning-1800/n9v6-gdp6</x:v>
      </x:c>
    </x:row>
    <x:row r="272">
      <x:c r="A272" t="str">
        <x:v>DOS-3-091</x:v>
      </x:c>
      <x:c r="B272" t="n">
        <x:v>3</x:v>
      </x:c>
      <x:c r="C272" t="str">
        <x:v>112-21 JAMAICA AVENUE, RICHMOND HILL, NY, 11418, US</x:v>
      </x:c>
      <x:c r="D272" t="str">
        <x:v>10034 198 LLC</x:v>
      </x:c>
      <x:c r="E272" t="str">
        <x:v>10034 198 LLC</x:v>
      </x:c>
      <x:c r="F272" t="str">
        <x:v>Active name match</x:v>
      </x:c>
      <x:c r="G272" t="n">
        <x:v>1</x:v>
      </x:c>
      <x:c r="H272" t="n">
        <x:v>0</x:v>
      </x:c>
      <x:c r="I272" t="str">
        <x:v>7841770</x:v>
      </x:c>
      <x:c r="J272" t="str">
        <x:v>10034 198 LLC</x:v>
      </x:c>
      <x:c r="K272" s="55" t="n">
        <x:v>46077</x:v>
      </x:c>
      <x:c r="L272" t="str">
        <x:v>Queens</x:v>
      </x:c>
      <x:c r="M272" t="str">
        <x:v>New York</x:v>
      </x:c>
      <x:c r="N272" t="str">
        <x:v>DOMESTIC LIMITED LIABILITY COMPANY</x:v>
      </x:c>
      <x:c r="O272" t="str">
        <x:v>10034 198 LLC</x:v>
      </x:c>
      <x:c r="P272" t="str">
        <x:v>64-25 CENTRAL AVENUE, 2nd floor, GLENDALE, NY, 11385</x:v>
      </x:c>
      <x:c r="Q272" t="str"/>
      <x:c r="R272" t="str"/>
      <x:c r="S272" t="str"/>
      <x:c r="T272" t="str"/>
      <x:c r="U272" t="str"/>
      <x:c r="V272" t="str"/>
      <x:c r="W272" t="str"/>
      <x:c r="X272" t="str"/>
      <x:c r="Y272" t="str">
        <x:v>https://data.ny.gov/Economic-Development/Active-Corporations-Beginning-1800/n9v6-gdp6</x:v>
      </x:c>
    </x:row>
    <x:row r="273">
      <x:c r="A273" t="str">
        <x:v>DOS-3-091</x:v>
      </x:c>
      <x:c r="B273" t="n">
        <x:v>3</x:v>
      </x:c>
      <x:c r="C273" t="str">
        <x:v>112-21 JAMAICA AVENUE, RICHMOND HILL, NY, 11418, US</x:v>
      </x:c>
      <x:c r="D273" t="str">
        <x:v>558 GATES AVENUE LLC</x:v>
      </x:c>
      <x:c r="E273" t="str">
        <x:v>558 GATES AVENUE LLC</x:v>
      </x:c>
      <x:c r="F273" t="str">
        <x:v>Active name match</x:v>
      </x:c>
      <x:c r="G273" t="n">
        <x:v>1</x:v>
      </x:c>
      <x:c r="H273" t="n">
        <x:v>0</x:v>
      </x:c>
      <x:c r="I273" t="str">
        <x:v>4525108</x:v>
      </x:c>
      <x:c r="J273" t="str">
        <x:v>558 GATES AVENUE LLC</x:v>
      </x:c>
      <x:c r="K273" s="55" t="n">
        <x:v>41676</x:v>
      </x:c>
      <x:c r="L273" t="str">
        <x:v>Queens</x:v>
      </x:c>
      <x:c r="M273" t="str">
        <x:v>New York</x:v>
      </x:c>
      <x:c r="N273" t="str">
        <x:v>DOMESTIC LIMITED LIABILITY COMPANY</x:v>
      </x:c>
      <x:c r="O273" t="str">
        <x:v>TAL SHLOMI</x:v>
      </x:c>
      <x:c r="P273" t="str">
        <x:v>517 ROUTE 1 SOUTH, ISELIN, NJ, 08830</x:v>
      </x:c>
      <x:c r="Q273" t="str"/>
      <x:c r="R273" t="str"/>
      <x:c r="S273" t="str"/>
      <x:c r="T273" t="str"/>
      <x:c r="U273" t="str"/>
      <x:c r="V273" t="str"/>
      <x:c r="W273" t="str"/>
      <x:c r="X273" t="str"/>
      <x:c r="Y273" t="str">
        <x:v>https://data.ny.gov/Economic-Development/Active-Corporations-Beginning-1800/n9v6-gdp6</x:v>
      </x:c>
    </x:row>
    <x:row r="274">
      <x:c r="A274" t="str">
        <x:v>DOS-3-091</x:v>
      </x:c>
      <x:c r="B274" t="n">
        <x:v>3</x:v>
      </x:c>
      <x:c r="C274" t="str">
        <x:v>112-21 JAMAICA AVENUE, RICHMOND HILL, NY, 11418, US</x:v>
      </x:c>
      <x:c r="D274" t="str">
        <x:v>BARNES AND LEVI LLC</x:v>
      </x:c>
      <x:c r="E274" t="str">
        <x:v>BARNES &amp; LEVI LLC</x:v>
      </x:c>
      <x:c r="F274" t="str">
        <x:v>Address-corroborated active match</x:v>
      </x:c>
      <x:c r="G274" t="n">
        <x:v>1</x:v>
      </x:c>
      <x:c r="H274" t="n">
        <x:v>2</x:v>
      </x:c>
      <x:c r="I274" t="str">
        <x:v>3895500</x:v>
      </x:c>
      <x:c r="J274" t="str">
        <x:v>BARNES &amp; LEVI LLC</x:v>
      </x:c>
      <x:c r="K274" s="55" t="n">
        <x:v>40183</x:v>
      </x:c>
      <x:c r="L274" t="str">
        <x:v>Nassau</x:v>
      </x:c>
      <x:c r="M274" t="str">
        <x:v>New York</x:v>
      </x:c>
      <x:c r="N274" t="str">
        <x:v>DOMESTIC LIMITED LIABILITY COMPANY</x:v>
      </x:c>
      <x:c r="O274" t="str">
        <x:v>BARNES &amp; LEVI LLC</x:v>
      </x:c>
      <x:c r="P274" t="str">
        <x:v>112-21 JAMAICA AVENUE, RICHMOND HILL, NY, 11418</x:v>
      </x:c>
      <x:c r="Q274" t="str"/>
      <x:c r="R274" t="str"/>
      <x:c r="S274" t="str"/>
      <x:c r="T274" t="str"/>
      <x:c r="U274" t="str"/>
      <x:c r="V274" t="str"/>
      <x:c r="W274" t="str"/>
      <x:c r="X274" t="str"/>
      <x:c r="Y274" t="str">
        <x:v>https://data.ny.gov/Economic-Development/Active-Corporations-Beginning-1800/n9v6-gdp6</x:v>
      </x:c>
    </x:row>
    <x:row r="275">
      <x:c r="A275" t="str">
        <x:v>DOS-3-092</x:v>
      </x:c>
      <x:c r="B275" t="n">
        <x:v>3</x:v>
      </x:c>
      <x:c r="C275" t="str">
        <x:v>119 ELM LANE, NEW HYDE PARK, NY, 11040, US</x:v>
      </x:c>
      <x:c r="D275" t="str">
        <x:v>75 PARSONS BLVD LLC</x:v>
      </x:c>
      <x:c r="E275" t="str">
        <x:v>75 PARSONS BLVD. LLC</x:v>
      </x:c>
      <x:c r="F275" t="str">
        <x:v>Active name match</x:v>
      </x:c>
      <x:c r="G275" t="n">
        <x:v>1</x:v>
      </x:c>
      <x:c r="H275" t="n">
        <x:v>0</x:v>
      </x:c>
      <x:c r="I275" t="str">
        <x:v>3112719</x:v>
      </x:c>
      <x:c r="J275" t="str">
        <x:v>75 PARSONS BLVD. LLC</x:v>
      </x:c>
      <x:c r="K275" s="55" t="n">
        <x:v>38272</x:v>
      </x:c>
      <x:c r="L275" t="str">
        <x:v>Nassau</x:v>
      </x:c>
      <x:c r="M275" t="str">
        <x:v>New York</x:v>
      </x:c>
      <x:c r="N275" t="str">
        <x:v>DOMESTIC LIMITED LIABILITY COMPANY</x:v>
      </x:c>
      <x:c r="O275" t="str">
        <x:v>75 PARSONS BLVD.LLC</x:v>
      </x:c>
      <x:c r="P275" t="str">
        <x:v>27 HICKORY DRIVE, GREAT NECK, NY, 11021</x:v>
      </x:c>
      <x:c r="Q275" t="str"/>
      <x:c r="R275" t="str"/>
      <x:c r="S275" t="str"/>
      <x:c r="T275" t="str"/>
      <x:c r="U275" t="str"/>
      <x:c r="V275" t="str"/>
      <x:c r="W275" t="str"/>
      <x:c r="X275" t="str"/>
      <x:c r="Y275" t="str">
        <x:v>https://data.ny.gov/Economic-Development/Active-Corporations-Beginning-1800/n9v6-gdp6</x:v>
      </x:c>
    </x:row>
    <x:row r="276">
      <x:c r="A276" t="str">
        <x:v>DOS-3-092</x:v>
      </x:c>
      <x:c r="B276" t="n">
        <x:v>3</x:v>
      </x:c>
      <x:c r="C276" t="str">
        <x:v>119 ELM LANE, NEW HYDE PARK, NY, 11040, US</x:v>
      </x:c>
      <x:c r="D276" t="str">
        <x:v>KMPD REAL ESTATE LLC</x:v>
      </x:c>
      <x:c r="E276" t="str">
        <x:v>KMPD REAL ESTATE LLC</x:v>
      </x:c>
      <x:c r="F276" t="str">
        <x:v>Address-corroborated active match</x:v>
      </x:c>
      <x:c r="G276" t="n">
        <x:v>1</x:v>
      </x:c>
      <x:c r="H276" t="n">
        <x:v>2</x:v>
      </x:c>
      <x:c r="I276" t="str">
        <x:v>7283052</x:v>
      </x:c>
      <x:c r="J276" t="str">
        <x:v>KMPD REAL ESTATE LLC</x:v>
      </x:c>
      <x:c r="K276" s="55" t="n">
        <x:v>45370</x:v>
      </x:c>
      <x:c r="L276" t="str">
        <x:v>Nassau</x:v>
      </x:c>
      <x:c r="M276" t="str">
        <x:v>New York</x:v>
      </x:c>
      <x:c r="N276" t="str">
        <x:v>DOMESTIC LIMITED LIABILITY COMPANY</x:v>
      </x:c>
      <x:c r="O276" t="str">
        <x:v>THE LIMITED LIABILITY COMPANY</x:v>
      </x:c>
      <x:c r="P276" t="str">
        <x:v>119 ELM LANE, NEW HYDE PARK, NY, 11040</x:v>
      </x:c>
      <x:c r="Q276" t="str"/>
      <x:c r="R276" t="str"/>
      <x:c r="S276" t="str"/>
      <x:c r="T276" t="str"/>
      <x:c r="U276" t="str"/>
      <x:c r="V276" t="str"/>
      <x:c r="W276" t="str"/>
      <x:c r="X276" t="str"/>
      <x:c r="Y276" t="str">
        <x:v>https://data.ny.gov/Economic-Development/Active-Corporations-Beginning-1800/n9v6-gdp6</x:v>
      </x:c>
    </x:row>
    <x:row r="277">
      <x:c r="A277" t="str">
        <x:v>DOS-3-092</x:v>
      </x:c>
      <x:c r="B277" t="n">
        <x:v>3</x:v>
      </x:c>
      <x:c r="C277" t="str">
        <x:v>119 ELM LANE, NEW HYDE PARK, NY, 11040, US</x:v>
      </x:c>
      <x:c r="D277" t="str">
        <x:v>SADOO REAL ESTATE LLC</x:v>
      </x:c>
      <x:c r="E277" t="str">
        <x:v>SADOO REAL ESTATE LLC</x:v>
      </x:c>
      <x:c r="F277" t="str">
        <x:v>Address-corroborated active match</x:v>
      </x:c>
      <x:c r="G277" t="n">
        <x:v>1</x:v>
      </x:c>
      <x:c r="H277" t="n">
        <x:v>2</x:v>
      </x:c>
      <x:c r="I277" t="str">
        <x:v>5692135</x:v>
      </x:c>
      <x:c r="J277" t="str">
        <x:v>SADOO REAL ESTATE LLC</x:v>
      </x:c>
      <x:c r="K277" s="55" t="n">
        <x:v>43851</x:v>
      </x:c>
      <x:c r="L277" t="str">
        <x:v>Nassau</x:v>
      </x:c>
      <x:c r="M277" t="str">
        <x:v>New York</x:v>
      </x:c>
      <x:c r="N277" t="str">
        <x:v>DOMESTIC LIMITED LIABILITY COMPANY</x:v>
      </x:c>
      <x:c r="O277" t="str">
        <x:v>SADOO REAL ESTATE LLC</x:v>
      </x:c>
      <x:c r="P277" t="str">
        <x:v>119 ELM LANE, NEW HYDE PARK, NY, 11040</x:v>
      </x:c>
      <x:c r="Q277" t="str"/>
      <x:c r="R277" t="str"/>
      <x:c r="S277" t="str"/>
      <x:c r="T277" t="str"/>
      <x:c r="U277" t="str"/>
      <x:c r="V277" t="str"/>
      <x:c r="W277" t="str"/>
      <x:c r="X277" t="str"/>
      <x:c r="Y277" t="str">
        <x:v>https://data.ny.gov/Economic-Development/Active-Corporations-Beginning-1800/n9v6-gdp6</x:v>
      </x:c>
    </x:row>
    <x:row r="278">
      <x:c r="A278" t="str">
        <x:v>DOS-3-093</x:v>
      </x:c>
      <x:c r="B278" t="n">
        <x:v>3</x:v>
      </x:c>
      <x:c r="C278" t="str">
        <x:v>133 NORTH 4TH STREET, BROOKLYN, NY, 11249, US</x:v>
      </x:c>
      <x:c r="D278" t="str">
        <x:v>2 LIKA LLC</x:v>
      </x:c>
      <x:c r="E278" t="str">
        <x:v>2 LIKA LLC</x:v>
      </x:c>
      <x:c r="F278" t="str">
        <x:v>Address-corroborated active match</x:v>
      </x:c>
      <x:c r="G278" t="n">
        <x:v>1</x:v>
      </x:c>
      <x:c r="H278" t="n">
        <x:v>2</x:v>
      </x:c>
      <x:c r="I278" t="str">
        <x:v>4494549</x:v>
      </x:c>
      <x:c r="J278" t="str">
        <x:v>2 LIKA LLC</x:v>
      </x:c>
      <x:c r="K278" s="55" t="n">
        <x:v>41610</x:v>
      </x:c>
      <x:c r="L278" t="str">
        <x:v>Kings</x:v>
      </x:c>
      <x:c r="M278" t="str">
        <x:v>New York</x:v>
      </x:c>
      <x:c r="N278" t="str">
        <x:v>DOMESTIC LIMITED LIABILITY COMPANY</x:v>
      </x:c>
      <x:c r="O278" t="str">
        <x:v>2 LIKA LLC</x:v>
      </x:c>
      <x:c r="P278" t="str">
        <x:v>133 NORTH 4TH STREET, BROOKLYN, NY, 11249</x:v>
      </x:c>
      <x:c r="Q278" t="str"/>
      <x:c r="R278" t="str"/>
      <x:c r="S278" t="str"/>
      <x:c r="T278" t="str"/>
      <x:c r="U278" t="str"/>
      <x:c r="V278" t="str"/>
      <x:c r="W278" t="str"/>
      <x:c r="X278" t="str"/>
      <x:c r="Y278" t="str">
        <x:v>https://data.ny.gov/Economic-Development/Active-Corporations-Beginning-1800/n9v6-gdp6</x:v>
      </x:c>
    </x:row>
    <x:row r="279">
      <x:c r="A279" t="str">
        <x:v>DOS-3-093</x:v>
      </x:c>
      <x:c r="B279" t="n">
        <x:v>3</x:v>
      </x:c>
      <x:c r="C279" t="str">
        <x:v>133 NORTH 4TH STREET, BROOKLYN, NY, 11249, US</x:v>
      </x:c>
      <x:c r="D279" t="str">
        <x:v>3 LIKA LLC</x:v>
      </x:c>
      <x:c r="E279" t="str">
        <x:v>3 LIKA LLC</x:v>
      </x:c>
      <x:c r="F279" t="str">
        <x:v>Address-corroborated active match</x:v>
      </x:c>
      <x:c r="G279" t="n">
        <x:v>1</x:v>
      </x:c>
      <x:c r="H279" t="n">
        <x:v>2</x:v>
      </x:c>
      <x:c r="I279" t="str">
        <x:v>4494552</x:v>
      </x:c>
      <x:c r="J279" t="str">
        <x:v>3 LIKA LLC</x:v>
      </x:c>
      <x:c r="K279" s="55" t="n">
        <x:v>41610</x:v>
      </x:c>
      <x:c r="L279" t="str">
        <x:v>Kings</x:v>
      </x:c>
      <x:c r="M279" t="str">
        <x:v>New York</x:v>
      </x:c>
      <x:c r="N279" t="str">
        <x:v>DOMESTIC LIMITED LIABILITY COMPANY</x:v>
      </x:c>
      <x:c r="O279" t="str">
        <x:v>3 LIKA LLC</x:v>
      </x:c>
      <x:c r="P279" t="str">
        <x:v>133 NORTH 4TH STREET, BROOKLYN, NY, 11249</x:v>
      </x:c>
      <x:c r="Q279" t="str"/>
      <x:c r="R279" t="str"/>
      <x:c r="S279" t="str"/>
      <x:c r="T279" t="str"/>
      <x:c r="U279" t="str"/>
      <x:c r="V279" t="str"/>
      <x:c r="W279" t="str"/>
      <x:c r="X279" t="str"/>
      <x:c r="Y279" t="str">
        <x:v>https://data.ny.gov/Economic-Development/Active-Corporations-Beginning-1800/n9v6-gdp6</x:v>
      </x:c>
    </x:row>
    <x:row r="280">
      <x:c r="A280" t="str">
        <x:v>DOS-3-093</x:v>
      </x:c>
      <x:c r="B280" t="n">
        <x:v>3</x:v>
      </x:c>
      <x:c r="C280" t="str">
        <x:v>133 NORTH 4TH STREET, BROOKLYN, NY, 11249, US</x:v>
      </x:c>
      <x:c r="D280" t="str">
        <x:v>6 LIKA LLC</x:v>
      </x:c>
      <x:c r="E280" t="str">
        <x:v>6 LIKA LLC</x:v>
      </x:c>
      <x:c r="F280" t="str">
        <x:v>Address-corroborated active match</x:v>
      </x:c>
      <x:c r="G280" t="n">
        <x:v>1</x:v>
      </x:c>
      <x:c r="H280" t="n">
        <x:v>2</x:v>
      </x:c>
      <x:c r="I280" t="str">
        <x:v>4494564</x:v>
      </x:c>
      <x:c r="J280" t="str">
        <x:v>6 LIKA LLC</x:v>
      </x:c>
      <x:c r="K280" s="55" t="n">
        <x:v>41610</x:v>
      </x:c>
      <x:c r="L280" t="str">
        <x:v>Kings</x:v>
      </x:c>
      <x:c r="M280" t="str">
        <x:v>New York</x:v>
      </x:c>
      <x:c r="N280" t="str">
        <x:v>DOMESTIC LIMITED LIABILITY COMPANY</x:v>
      </x:c>
      <x:c r="O280" t="str">
        <x:v>6 LIKA LLC</x:v>
      </x:c>
      <x:c r="P280" t="str">
        <x:v>133 NORTH 4TH STREET, BROOKLYN, NY, 11249</x:v>
      </x:c>
      <x:c r="Q280" t="str"/>
      <x:c r="R280" t="str"/>
      <x:c r="S280" t="str"/>
      <x:c r="T280" t="str"/>
      <x:c r="U280" t="str"/>
      <x:c r="V280" t="str"/>
      <x:c r="W280" t="str"/>
      <x:c r="X280" t="str"/>
      <x:c r="Y280" t="str">
        <x:v>https://data.ny.gov/Economic-Development/Active-Corporations-Beginning-1800/n9v6-gdp6</x:v>
      </x:c>
    </x:row>
    <x:row r="281">
      <x:c r="A281" t="str">
        <x:v>DOS-3-094</x:v>
      </x:c>
      <x:c r="B281" t="n">
        <x:v>3</x:v>
      </x:c>
      <x:c r="C281" t="str">
        <x:v>14-32 BURTON STREET, WHITESTONE, NY, 11357, US</x:v>
      </x:c>
      <x:c r="D281" t="str">
        <x:v>BIUNDO REALTY I LLC</x:v>
      </x:c>
      <x:c r="E281" t="str">
        <x:v>BIUNDO REALTY I LLC</x:v>
      </x:c>
      <x:c r="F281" t="str">
        <x:v>Address-corroborated active match</x:v>
      </x:c>
      <x:c r="G281" t="n">
        <x:v>1</x:v>
      </x:c>
      <x:c r="H281" t="n">
        <x:v>2</x:v>
      </x:c>
      <x:c r="I281" t="str">
        <x:v>5511689</x:v>
      </x:c>
      <x:c r="J281" t="str">
        <x:v>BIUNDO REALTY I LLC</x:v>
      </x:c>
      <x:c r="K281" s="55" t="n">
        <x:v>43536</x:v>
      </x:c>
      <x:c r="L281" t="str">
        <x:v>Queens</x:v>
      </x:c>
      <x:c r="M281" t="str">
        <x:v>New York</x:v>
      </x:c>
      <x:c r="N281" t="str">
        <x:v>DOMESTIC LIMITED LIABILITY COMPANY</x:v>
      </x:c>
      <x:c r="O281" t="str">
        <x:v>BIUNDO REALTY I LLC</x:v>
      </x:c>
      <x:c r="P281" t="str">
        <x:v>14-32 BURTON STREET, WHITESTONE, NY, 11357</x:v>
      </x:c>
      <x:c r="Q281" t="str"/>
      <x:c r="R281" t="str"/>
      <x:c r="S281" t="str"/>
      <x:c r="T281" t="str"/>
      <x:c r="U281" t="str"/>
      <x:c r="V281" t="str"/>
      <x:c r="W281" t="str"/>
      <x:c r="X281" t="str"/>
      <x:c r="Y281" t="str">
        <x:v>https://data.ny.gov/Economic-Development/Active-Corporations-Beginning-1800/n9v6-gdp6</x:v>
      </x:c>
    </x:row>
    <x:row r="282">
      <x:c r="A282" t="str">
        <x:v>DOS-3-094</x:v>
      </x:c>
      <x:c r="B282" t="n">
        <x:v>3</x:v>
      </x:c>
      <x:c r="C282" t="str">
        <x:v>14-32 BURTON STREET, WHITESTONE, NY, 11357, US</x:v>
      </x:c>
      <x:c r="D282" t="str">
        <x:v>BIUNDO REALTY II LLC</x:v>
      </x:c>
      <x:c r="E282" t="str">
        <x:v>BIUNDO REALTY II LLC</x:v>
      </x:c>
      <x:c r="F282" t="str">
        <x:v>Address-corroborated active match</x:v>
      </x:c>
      <x:c r="G282" t="n">
        <x:v>1</x:v>
      </x:c>
      <x:c r="H282" t="n">
        <x:v>2</x:v>
      </x:c>
      <x:c r="I282" t="str">
        <x:v>5511686</x:v>
      </x:c>
      <x:c r="J282" t="str">
        <x:v>BIUNDO REALTY II LLC</x:v>
      </x:c>
      <x:c r="K282" s="55" t="n">
        <x:v>43536</x:v>
      </x:c>
      <x:c r="L282" t="str">
        <x:v>Queens</x:v>
      </x:c>
      <x:c r="M282" t="str">
        <x:v>New York</x:v>
      </x:c>
      <x:c r="N282" t="str">
        <x:v>DOMESTIC LIMITED LIABILITY COMPANY</x:v>
      </x:c>
      <x:c r="O282" t="str">
        <x:v>BIUNDO REALTY II LLC</x:v>
      </x:c>
      <x:c r="P282" t="str">
        <x:v>14-32 BURTON STREET, WHITESTONE, NY, 11357</x:v>
      </x:c>
      <x:c r="Q282" t="str"/>
      <x:c r="R282" t="str"/>
      <x:c r="S282" t="str"/>
      <x:c r="T282" t="str"/>
      <x:c r="U282" t="str"/>
      <x:c r="V282" t="str"/>
      <x:c r="W282" t="str"/>
      <x:c r="X282" t="str"/>
      <x:c r="Y282" t="str">
        <x:v>https://data.ny.gov/Economic-Development/Active-Corporations-Beginning-1800/n9v6-gdp6</x:v>
      </x:c>
    </x:row>
    <x:row r="283">
      <x:c r="A283" t="str">
        <x:v>DOS-3-094</x:v>
      </x:c>
      <x:c r="B283" t="n">
        <x:v>3</x:v>
      </x:c>
      <x:c r="C283" t="str">
        <x:v>14-32 BURTON STREET, WHITESTONE, NY, 11357, US</x:v>
      </x:c>
      <x:c r="D283" t="str">
        <x:v>BIUNDO REALTY III LLC</x:v>
      </x:c>
      <x:c r="E283" t="str">
        <x:v>BIUNDO REALTY III LLC</x:v>
      </x:c>
      <x:c r="F283" t="str">
        <x:v>Address-corroborated active match</x:v>
      </x:c>
      <x:c r="G283" t="n">
        <x:v>1</x:v>
      </x:c>
      <x:c r="H283" t="n">
        <x:v>2</x:v>
      </x:c>
      <x:c r="I283" t="str">
        <x:v>5511684</x:v>
      </x:c>
      <x:c r="J283" t="str">
        <x:v>BIUNDO REALTY III LLC</x:v>
      </x:c>
      <x:c r="K283" s="55" t="n">
        <x:v>43536</x:v>
      </x:c>
      <x:c r="L283" t="str">
        <x:v>Queens</x:v>
      </x:c>
      <x:c r="M283" t="str">
        <x:v>New York</x:v>
      </x:c>
      <x:c r="N283" t="str">
        <x:v>DOMESTIC LIMITED LIABILITY COMPANY</x:v>
      </x:c>
      <x:c r="O283" t="str">
        <x:v>BIUNDO REALTY III LLC</x:v>
      </x:c>
      <x:c r="P283" t="str">
        <x:v>14-32 BURTON STREET, WHITESTONE, NY, 11357</x:v>
      </x:c>
      <x:c r="Q283" t="str"/>
      <x:c r="R283" t="str"/>
      <x:c r="S283" t="str"/>
      <x:c r="T283" t="str"/>
      <x:c r="U283" t="str"/>
      <x:c r="V283" t="str"/>
      <x:c r="W283" t="str"/>
      <x:c r="X283" t="str"/>
      <x:c r="Y283" t="str">
        <x:v>https://data.ny.gov/Economic-Development/Active-Corporations-Beginning-1800/n9v6-gdp6</x:v>
      </x:c>
    </x:row>
    <x:row r="284">
      <x:c r="A284" t="str">
        <x:v>DOS-3-095</x:v>
      </x:c>
      <x:c r="B284" t="n">
        <x:v>3</x:v>
      </x:c>
      <x:c r="C284" t="str">
        <x:v>141 PERRY STREET, NEW YORK, NY, 10014, US</x:v>
      </x:c>
      <x:c r="D284" t="str">
        <x:v>EBH CONCEPT LLC</x:v>
      </x:c>
      <x:c r="E284" t="str">
        <x:v>EBH CONCEPT LLC</x:v>
      </x:c>
      <x:c r="F284" t="str">
        <x:v>Active name match</x:v>
      </x:c>
      <x:c r="G284" t="n">
        <x:v>1</x:v>
      </x:c>
      <x:c r="H284" t="n">
        <x:v>1</x:v>
      </x:c>
      <x:c r="I284" t="str">
        <x:v>4026861</x:v>
      </x:c>
      <x:c r="J284" t="str">
        <x:v>EBH CONCEPT LLC</x:v>
      </x:c>
      <x:c r="K284" s="55" t="n">
        <x:v>40518</x:v>
      </x:c>
      <x:c r="L284" t="str">
        <x:v>New York</x:v>
      </x:c>
      <x:c r="M284" t="str">
        <x:v>New York</x:v>
      </x:c>
      <x:c r="N284" t="str">
        <x:v>DOMESTIC LIMITED LIABILITY COMPANY</x:v>
      </x:c>
      <x:c r="O284" t="str">
        <x:v>ELIZABETH BARBARA HITZ</x:v>
      </x:c>
      <x:c r="P284" t="str">
        <x:v>141 PERRY STREET 1ST FL, 141 Perry street, NEW YORK, NY, 10014</x:v>
      </x:c>
      <x:c r="Q284" t="str"/>
      <x:c r="R284" t="str"/>
      <x:c r="S284" t="str"/>
      <x:c r="T284" t="str"/>
      <x:c r="U284" t="str"/>
      <x:c r="V284" t="str"/>
      <x:c r="W284" t="str"/>
      <x:c r="X284" t="str"/>
      <x:c r="Y284" t="str">
        <x:v>https://data.ny.gov/Economic-Development/Active-Corporations-Beginning-1800/n9v6-gdp6</x:v>
      </x:c>
    </x:row>
    <x:row r="285">
      <x:c r="A285" t="str">
        <x:v>DOS-3-095</x:v>
      </x:c>
      <x:c r="B285" t="n">
        <x:v>3</x:v>
      </x:c>
      <x:c r="C285" t="str">
        <x:v>141 PERRY STREET, NEW YORK, NY, 10014, US</x:v>
      </x:c>
      <x:c r="D285" t="str">
        <x:v>TOOLBOX 33 LLC</x:v>
      </x:c>
      <x:c r="E285" t="str">
        <x:v>TOOLBOX 33 LLC</x:v>
      </x:c>
      <x:c r="F285" t="str">
        <x:v>Address-corroborated active match</x:v>
      </x:c>
      <x:c r="G285" t="n">
        <x:v>1</x:v>
      </x:c>
      <x:c r="H285" t="n">
        <x:v>2</x:v>
      </x:c>
      <x:c r="I285" t="str">
        <x:v>4810123</x:v>
      </x:c>
      <x:c r="J285" t="str">
        <x:v>TOOLBOX 33 LLC</x:v>
      </x:c>
      <x:c r="K285" s="55" t="n">
        <x:v>42241</x:v>
      </x:c>
      <x:c r="L285" t="str">
        <x:v>Kings</x:v>
      </x:c>
      <x:c r="M285" t="str">
        <x:v>New York</x:v>
      </x:c>
      <x:c r="N285" t="str">
        <x:v>DOMESTIC LIMITED LIABILITY COMPANY</x:v>
      </x:c>
      <x:c r="O285" t="str">
        <x:v>TOOLBOX 33 LLC</x:v>
      </x:c>
      <x:c r="P285" t="str">
        <x:v>141 PERRY STREET, 141 Perry Street, NEW YORK, NY, 10014</x:v>
      </x:c>
      <x:c r="Q285" t="str"/>
      <x:c r="R285" t="str"/>
      <x:c r="S285" t="str"/>
      <x:c r="T285" t="str"/>
      <x:c r="U285" t="str"/>
      <x:c r="V285" t="str"/>
      <x:c r="W285" t="str"/>
      <x:c r="X285" t="str"/>
      <x:c r="Y285" t="str">
        <x:v>https://data.ny.gov/Economic-Development/Active-Corporations-Beginning-1800/n9v6-gdp6</x:v>
      </x:c>
    </x:row>
    <x:row r="286">
      <x:c r="A286" t="str">
        <x:v>DOS-3-095</x:v>
      </x:c>
      <x:c r="B286" t="n">
        <x:v>3</x:v>
      </x:c>
      <x:c r="C286" t="str">
        <x:v>141 PERRY STREET, NEW YORK, NY, 10014, US</x:v>
      </x:c>
      <x:c r="D286" t="str">
        <x:v>URBAN HABITAT LLC</x:v>
      </x:c>
      <x:c r="E286" t="str">
        <x:v>URBAN HABITAT LLC</x:v>
      </x:c>
      <x:c r="F286" t="str">
        <x:v>Address-corroborated active match</x:v>
      </x:c>
      <x:c r="G286" t="n">
        <x:v>1</x:v>
      </x:c>
      <x:c r="H286" t="n">
        <x:v>2</x:v>
      </x:c>
      <x:c r="I286" t="str">
        <x:v>3588552</x:v>
      </x:c>
      <x:c r="J286" t="str">
        <x:v>URBAN HABITAT LLC</x:v>
      </x:c>
      <x:c r="K286" s="55" t="n">
        <x:v>39388</x:v>
      </x:c>
      <x:c r="L286" t="str">
        <x:v>New York</x:v>
      </x:c>
      <x:c r="M286" t="str">
        <x:v>New York</x:v>
      </x:c>
      <x:c r="N286" t="str">
        <x:v>DOMESTIC LIMITED LIABILITY COMPANY</x:v>
      </x:c>
      <x:c r="O286" t="str">
        <x:v>SEEMA SINGH</x:v>
      </x:c>
      <x:c r="P286" t="str">
        <x:v>141 PERRY ST., NEW YORK, NY, 10014</x:v>
      </x:c>
      <x:c r="Q286" t="str"/>
      <x:c r="R286" t="str"/>
      <x:c r="S286" t="str"/>
      <x:c r="T286" t="str"/>
      <x:c r="U286" t="str"/>
      <x:c r="V286" t="str"/>
      <x:c r="W286" t="str"/>
      <x:c r="X286" t="str"/>
      <x:c r="Y286" t="str">
        <x:v>https://data.ny.gov/Economic-Development/Active-Corporations-Beginning-1800/n9v6-gdp6</x:v>
      </x:c>
    </x:row>
    <x:row r="287">
      <x:c r="A287" t="str">
        <x:v>DOS-3-096</x:v>
      </x:c>
      <x:c r="B287" t="n">
        <x:v>3</x:v>
      </x:c>
      <x:c r="C287" t="str">
        <x:v>150-65 CROSS ISLAND PARKWAY, WHITESTONE, NY, 11357, US</x:v>
      </x:c>
      <x:c r="D287" t="str">
        <x:v>C POINT REALTY LLC</x:v>
      </x:c>
      <x:c r="E287" t="str">
        <x:v>C-POINT REALTY LLC</x:v>
      </x:c>
      <x:c r="F287" t="str">
        <x:v>Address-corroborated active match</x:v>
      </x:c>
      <x:c r="G287" t="n">
        <x:v>1</x:v>
      </x:c>
      <x:c r="H287" t="n">
        <x:v>2</x:v>
      </x:c>
      <x:c r="I287" t="str">
        <x:v>3488170</x:v>
      </x:c>
      <x:c r="J287" t="str">
        <x:v>C-POINT REALTY LLC</x:v>
      </x:c>
      <x:c r="K287" s="55" t="n">
        <x:v>39154</x:v>
      </x:c>
      <x:c r="L287" t="str">
        <x:v>Queens</x:v>
      </x:c>
      <x:c r="M287" t="str">
        <x:v>New York</x:v>
      </x:c>
      <x:c r="N287" t="str">
        <x:v>DOMESTIC LIMITED LIABILITY COMPANY</x:v>
      </x:c>
      <x:c r="O287" t="str">
        <x:v>GINO ROMANO</x:v>
      </x:c>
      <x:c r="P287" t="str">
        <x:v>150-65 CROSS ISLAND PARKWAY, WHITESTONE, NY, 11357</x:v>
      </x:c>
      <x:c r="Q287" t="str"/>
      <x:c r="R287" t="str"/>
      <x:c r="S287" t="str"/>
      <x:c r="T287" t="str"/>
      <x:c r="U287" t="str"/>
      <x:c r="V287" t="str"/>
      <x:c r="W287" t="str"/>
      <x:c r="X287" t="str"/>
      <x:c r="Y287" t="str">
        <x:v>https://data.ny.gov/Economic-Development/Active-Corporations-Beginning-1800/n9v6-gdp6</x:v>
      </x:c>
    </x:row>
    <x:row r="288">
      <x:c r="A288" t="str">
        <x:v>DOS-3-096</x:v>
      </x:c>
      <x:c r="B288" t="n">
        <x:v>3</x:v>
      </x:c>
      <x:c r="C288" t="str">
        <x:v>150-65 CROSS ISLAND PARKWAY, WHITESTONE, NY, 11357, US</x:v>
      </x:c>
      <x:c r="D288" t="str">
        <x:v>ELM PROPERTY HOLDINGS LLC</x:v>
      </x:c>
      <x:c r="E288" t="str">
        <x:v>ELM PROPERTY HOLDINGS LLC</x:v>
      </x:c>
      <x:c r="F288" t="str">
        <x:v>Address-corroborated active match</x:v>
      </x:c>
      <x:c r="G288" t="n">
        <x:v>1</x:v>
      </x:c>
      <x:c r="H288" t="n">
        <x:v>2</x:v>
      </x:c>
      <x:c r="I288" t="str">
        <x:v>2965272</x:v>
      </x:c>
      <x:c r="J288" t="str">
        <x:v>ELM PROPERTY HOLDINGS LLC</x:v>
      </x:c>
      <x:c r="K288" s="55" t="n">
        <x:v>37909</x:v>
      </x:c>
      <x:c r="L288" t="str">
        <x:v>Queens</x:v>
      </x:c>
      <x:c r="M288" t="str">
        <x:v>New York</x:v>
      </x:c>
      <x:c r="N288" t="str">
        <x:v>DOMESTIC LIMITED LIABILITY COMPANY</x:v>
      </x:c>
      <x:c r="O288" t="str">
        <x:v>ELM PROPERTY HOLDINGS LLC</x:v>
      </x:c>
      <x:c r="P288" t="str">
        <x:v>150-65 CROSS ISLAND PARKWAY, WHITESTONE, NY, 11357</x:v>
      </x:c>
      <x:c r="Q288" t="str"/>
      <x:c r="R288" t="str"/>
      <x:c r="S288" t="str"/>
      <x:c r="T288" t="str"/>
      <x:c r="U288" t="str"/>
      <x:c r="V288" t="str"/>
      <x:c r="W288" t="str"/>
      <x:c r="X288" t="str"/>
      <x:c r="Y288" t="str">
        <x:v>https://data.ny.gov/Economic-Development/Active-Corporations-Beginning-1800/n9v6-gdp6</x:v>
      </x:c>
    </x:row>
    <x:row r="289">
      <x:c r="A289" t="str">
        <x:v>DOS-3-096</x:v>
      </x:c>
      <x:c r="B289" t="n">
        <x:v>3</x:v>
      </x:c>
      <x:c r="C289" t="str">
        <x:v>150-65 CROSS ISLAND PARKWAY, WHITESTONE, NY, 11357, US</x:v>
      </x:c>
      <x:c r="D289" t="str">
        <x:v>LRGM LLC</x:v>
      </x:c>
      <x:c r="E289" t="str">
        <x:v>LRGM LLC</x:v>
      </x:c>
      <x:c r="F289" t="str">
        <x:v>Active name match</x:v>
      </x:c>
      <x:c r="G289" t="n">
        <x:v>1</x:v>
      </x:c>
      <x:c r="H289" t="n">
        <x:v>0</x:v>
      </x:c>
      <x:c r="I289" t="str">
        <x:v>5897748</x:v>
      </x:c>
      <x:c r="J289" t="str">
        <x:v>LRGM LLC</x:v>
      </x:c>
      <x:c r="K289" s="55" t="n">
        <x:v>44180</x:v>
      </x:c>
      <x:c r="L289" t="str">
        <x:v>Albany</x:v>
      </x:c>
      <x:c r="M289" t="str">
        <x:v>New York</x:v>
      </x:c>
      <x:c r="N289" t="str">
        <x:v>DOMESTIC LIMITED LIABILITY COMPANY</x:v>
      </x:c>
      <x:c r="O289" t="str">
        <x:v>REGISTERED AGENTS INC.</x:v>
      </x:c>
      <x:c r="P289" t="str">
        <x:v>418 BROADWAY, STE R, ALBANY, NY, 12207</x:v>
      </x:c>
      <x:c r="Q289" t="str"/>
      <x:c r="R289" t="str"/>
      <x:c r="S289" t="str"/>
      <x:c r="T289" t="str"/>
      <x:c r="U289" t="str"/>
      <x:c r="V289" t="str"/>
      <x:c r="W289" t="str"/>
      <x:c r="X289" t="str"/>
      <x:c r="Y289" t="str">
        <x:v>https://data.ny.gov/Economic-Development/Active-Corporations-Beginning-1800/n9v6-gdp6</x:v>
      </x:c>
    </x:row>
    <x:row r="290">
      <x:c r="A290" t="str">
        <x:v>DOS-3-097</x:v>
      </x:c>
      <x:c r="B290" t="n">
        <x:v>3</x:v>
      </x:c>
      <x:c r="C290" t="str">
        <x:v>150 GEORGE STREET, BROOKLYN, NY, 11237, US</x:v>
      </x:c>
      <x:c r="D290" t="str">
        <x:v>9013 JAMAICA AVE LLC</x:v>
      </x:c>
      <x:c r="E290" t="str">
        <x:v>9013 JAMAICA AVE LLC</x:v>
      </x:c>
      <x:c r="F290" t="str">
        <x:v>Active name match</x:v>
      </x:c>
      <x:c r="G290" t="n">
        <x:v>1</x:v>
      </x:c>
      <x:c r="H290" t="n">
        <x:v>0</x:v>
      </x:c>
      <x:c r="I290" t="str">
        <x:v>4627331</x:v>
      </x:c>
      <x:c r="J290" t="str">
        <x:v>9013 JAMAICA AVE LLC</x:v>
      </x:c>
      <x:c r="K290" s="55" t="n">
        <x:v>41877</x:v>
      </x:c>
      <x:c r="L290" t="str">
        <x:v>Queens</x:v>
      </x:c>
      <x:c r="M290" t="str">
        <x:v>New York</x:v>
      </x:c>
      <x:c r="N290" t="str">
        <x:v>DOMESTIC LIMITED LIABILITY COMPANY</x:v>
      </x:c>
      <x:c r="O290" t="str">
        <x:v>9013 JAMAICA AVE LLC</x:v>
      </x:c>
      <x:c r="P290" t="str">
        <x:v>9013 JAMAICA AVENUE, WOODHAVEN, NY, 11421</x:v>
      </x:c>
      <x:c r="Q290" t="str"/>
      <x:c r="R290" t="str"/>
      <x:c r="S290" t="str">
        <x:v>jacky jiang</x:v>
      </x:c>
      <x:c r="T290" t="str">
        <x:v>90-13 jamaica ave, 3 fl, WOODHAVEN, NEW YORK, 11421</x:v>
      </x:c>
      <x:c r="U290" t="str"/>
      <x:c r="V290" t="str"/>
      <x:c r="W290" t="str"/>
      <x:c r="X290" t="str"/>
      <x:c r="Y290" t="str">
        <x:v>https://data.ny.gov/Economic-Development/Active-Corporations-Beginning-1800/n9v6-gdp6</x:v>
      </x:c>
    </x:row>
    <x:row r="291">
      <x:c r="A291" t="str">
        <x:v>DOS-3-097</x:v>
      </x:c>
      <x:c r="B291" t="n">
        <x:v>3</x:v>
      </x:c>
      <x:c r="C291" t="str">
        <x:v>150 GEORGE STREET, BROOKLYN, NY, 11237, US</x:v>
      </x:c>
      <x:c r="D291" t="str">
        <x:v>JUNGLE MEADOWS LLC</x:v>
      </x:c>
      <x:c r="E291" t="str">
        <x:v>JUNGLE MEADOWS LLC</x:v>
      </x:c>
      <x:c r="F291" t="str">
        <x:v>Address-corroborated active match</x:v>
      </x:c>
      <x:c r="G291" t="n">
        <x:v>1</x:v>
      </x:c>
      <x:c r="H291" t="n">
        <x:v>2</x:v>
      </x:c>
      <x:c r="I291" t="str">
        <x:v>4972620</x:v>
      </x:c>
      <x:c r="J291" t="str">
        <x:v>JUNGLE MEADOWS LLC</x:v>
      </x:c>
      <x:c r="K291" s="55" t="n">
        <x:v>42556</x:v>
      </x:c>
      <x:c r="L291" t="str">
        <x:v>Kings</x:v>
      </x:c>
      <x:c r="M291" t="str">
        <x:v>New York</x:v>
      </x:c>
      <x:c r="N291" t="str">
        <x:v>DOMESTIC LIMITED LIABILITY COMPANY</x:v>
      </x:c>
      <x:c r="O291" t="str">
        <x:v>JUNGLE MEADOWS LLC</x:v>
      </x:c>
      <x:c r="P291" t="str">
        <x:v>150 GEORGE ST, BROOKLYN, NY, 11237</x:v>
      </x:c>
      <x:c r="Q291" t="str"/>
      <x:c r="R291" t="str"/>
      <x:c r="S291" t="str"/>
      <x:c r="T291" t="str"/>
      <x:c r="U291" t="str"/>
      <x:c r="V291" t="str"/>
      <x:c r="W291" t="str"/>
      <x:c r="X291" t="str"/>
      <x:c r="Y291" t="str">
        <x:v>https://data.ny.gov/Economic-Development/Active-Corporations-Beginning-1800/n9v6-gdp6</x:v>
      </x:c>
    </x:row>
    <x:row r="292">
      <x:c r="A292" t="str">
        <x:v>DOS-3-097</x:v>
      </x:c>
      <x:c r="B292" t="n">
        <x:v>3</x:v>
      </x:c>
      <x:c r="C292" t="str">
        <x:v>150 GEORGE STREET, BROOKLYN, NY, 11237, US</x:v>
      </x:c>
      <x:c r="D292" t="str">
        <x:v>YUKAH LLC</x:v>
      </x:c>
      <x:c r="E292" t="str">
        <x:v>YUKAH LLC</x:v>
      </x:c>
      <x:c r="F292" t="str">
        <x:v>Active name match</x:v>
      </x:c>
      <x:c r="G292" t="n">
        <x:v>1</x:v>
      </x:c>
      <x:c r="H292" t="n">
        <x:v>0</x:v>
      </x:c>
      <x:c r="I292" t="str">
        <x:v>3675274</x:v>
      </x:c>
      <x:c r="J292" t="str">
        <x:v>YUKAH LLC</x:v>
      </x:c>
      <x:c r="K292" s="55" t="n">
        <x:v>39590</x:v>
      </x:c>
      <x:c r="L292" t="str">
        <x:v>New York</x:v>
      </x:c>
      <x:c r="M292" t="str">
        <x:v>New York</x:v>
      </x:c>
      <x:c r="N292" t="str">
        <x:v>DOMESTIC LIMITED LIABILITY COMPANY</x:v>
      </x:c>
      <x:c r="O292" t="str">
        <x:v>YUKAH LLC</x:v>
      </x:c>
      <x:c r="P292" t="str">
        <x:v>2 ALLEN STREET, UNIT 3H, NEW YORK, NY, 10002</x:v>
      </x:c>
      <x:c r="Q292" t="str"/>
      <x:c r="R292" t="str"/>
      <x:c r="S292" t="str"/>
      <x:c r="T292" t="str"/>
      <x:c r="U292" t="str"/>
      <x:c r="V292" t="str"/>
      <x:c r="W292" t="str"/>
      <x:c r="X292" t="str"/>
      <x:c r="Y292" t="str">
        <x:v>https://data.ny.gov/Economic-Development/Active-Corporations-Beginning-1800/n9v6-gdp6</x:v>
      </x:c>
    </x:row>
    <x:row r="293">
      <x:c r="A293" t="str">
        <x:v>DOS-3-098</x:v>
      </x:c>
      <x:c r="B293" t="n">
        <x:v>3</x:v>
      </x:c>
      <x:c r="C293" t="str">
        <x:v>1548 E 2ND STREET, BROOKLYN, NY, 11230, US | 1548 E. 2ND STREET, BROOKLYN, NY, 11230, US</x:v>
      </x:c>
      <x:c r="D293" t="str">
        <x:v>1241 FINDLAY LLC</x:v>
      </x:c>
      <x:c r="E293" t="str">
        <x:v>1241 FINDLAY LLC</x:v>
      </x:c>
      <x:c r="F293" t="str">
        <x:v>Address-corroborated active match</x:v>
      </x:c>
      <x:c r="G293" t="n">
        <x:v>1</x:v>
      </x:c>
      <x:c r="H293" t="n">
        <x:v>2</x:v>
      </x:c>
      <x:c r="I293" t="str">
        <x:v>5618043</x:v>
      </x:c>
      <x:c r="J293" t="str">
        <x:v>1241 FINDLAY LLC</x:v>
      </x:c>
      <x:c r="K293" s="55" t="n">
        <x:v>43718</x:v>
      </x:c>
      <x:c r="L293" t="str">
        <x:v>Kings</x:v>
      </x:c>
      <x:c r="M293" t="str">
        <x:v>New York</x:v>
      </x:c>
      <x:c r="N293" t="str">
        <x:v>DOMESTIC LIMITED LIABILITY COMPANY</x:v>
      </x:c>
      <x:c r="O293" t="str">
        <x:v>1241 FINDLAY LLC</x:v>
      </x:c>
      <x:c r="P293" t="str">
        <x:v>1548 E. 2ND ST, BROOKLYN, NY, 11230</x:v>
      </x:c>
      <x:c r="Q293" t="str"/>
      <x:c r="R293" t="str"/>
      <x:c r="S293" t="str"/>
      <x:c r="T293" t="str"/>
      <x:c r="U293" t="str"/>
      <x:c r="V293" t="str"/>
      <x:c r="W293" t="str"/>
      <x:c r="X293" t="str"/>
      <x:c r="Y293" t="str">
        <x:v>https://data.ny.gov/Economic-Development/Active-Corporations-Beginning-1800/n9v6-gdp6</x:v>
      </x:c>
    </x:row>
    <x:row r="294">
      <x:c r="A294" t="str">
        <x:v>DOS-3-098</x:v>
      </x:c>
      <x:c r="B294" t="n">
        <x:v>3</x:v>
      </x:c>
      <x:c r="C294" t="str">
        <x:v>1548 E 2ND STREET, BROOKLYN, NY, 11230, US | 1548 E. 2ND STREET, BROOKLYN, NY, 11230, US</x:v>
      </x:c>
      <x:c r="D294" t="str">
        <x:v>3217 3223 PEARSALL LLC</x:v>
      </x:c>
      <x:c r="E294" t="str">
        <x:v>3217-3223 PEARSALL LLC</x:v>
      </x:c>
      <x:c r="F294" t="str">
        <x:v>Active name match</x:v>
      </x:c>
      <x:c r="G294" t="n">
        <x:v>1</x:v>
      </x:c>
      <x:c r="H294" t="n">
        <x:v>1</x:v>
      </x:c>
      <x:c r="I294" t="str">
        <x:v>7438071</x:v>
      </x:c>
      <x:c r="J294" t="str">
        <x:v>3217-3223 PEARSALL LLC</x:v>
      </x:c>
      <x:c r="K294" s="55" t="n">
        <x:v>45574</x:v>
      </x:c>
      <x:c r="L294" t="str">
        <x:v>New York</x:v>
      </x:c>
      <x:c r="M294" t="str">
        <x:v>New York</x:v>
      </x:c>
      <x:c r="N294" t="str">
        <x:v>DOMESTIC LIMITED LIABILITY COMPANY</x:v>
      </x:c>
      <x:c r="O294" t="str">
        <x:v>3217-3223 Pearsall LLC</x:v>
      </x:c>
      <x:c r="P294" t="str">
        <x:v>1548 East 2nd Street, Brooklyb, NY, 11230</x:v>
      </x:c>
      <x:c r="Q294" t="str"/>
      <x:c r="R294" t="str"/>
      <x:c r="S294" t="str"/>
      <x:c r="T294" t="str"/>
      <x:c r="U294" t="str"/>
      <x:c r="V294" t="str"/>
      <x:c r="W294" t="str"/>
      <x:c r="X294" t="str"/>
      <x:c r="Y294" t="str">
        <x:v>https://data.ny.gov/Economic-Development/Active-Corporations-Beginning-1800/n9v6-gdp6</x:v>
      </x:c>
    </x:row>
    <x:row r="295">
      <x:c r="A295" t="str">
        <x:v>DOS-3-098</x:v>
      </x:c>
      <x:c r="B295" t="n">
        <x:v>3</x:v>
      </x:c>
      <x:c r="C295" t="str">
        <x:v>1548 E 2ND STREET, BROOKLYN, NY, 11230, US | 1548 E. 2ND STREET, BROOKLYN, NY, 11230, US</x:v>
      </x:c>
      <x:c r="D295" t="str">
        <x:v>JS EVERGREEN REALTY LLC</x:v>
      </x:c>
      <x:c r="E295" t="str">
        <x:v>JS EVERGREEN REALTY LLC</x:v>
      </x:c>
      <x:c r="F295" t="str">
        <x:v>Active name match</x:v>
      </x:c>
      <x:c r="G295" t="n">
        <x:v>1</x:v>
      </x:c>
      <x:c r="H295" t="n">
        <x:v>0</x:v>
      </x:c>
      <x:c r="I295" t="str">
        <x:v>5307197</x:v>
      </x:c>
      <x:c r="J295" t="str">
        <x:v>JS EVERGREEN REALTY LLC</x:v>
      </x:c>
      <x:c r="K295" s="55" t="n">
        <x:v>43179</x:v>
      </x:c>
      <x:c r="L295" t="str">
        <x:v>Albany</x:v>
      </x:c>
      <x:c r="M295" t="str">
        <x:v>New York</x:v>
      </x:c>
      <x:c r="N295" t="str">
        <x:v>DOMESTIC LIMITED LIABILITY COMPANY</x:v>
      </x:c>
      <x:c r="O295" t="str">
        <x:v>NORTHWEST REGISTERED AGENT LLC</x:v>
      </x:c>
      <x:c r="P295" t="str">
        <x:v>90 STATE STREET, SUITE 700, OFFICE 40, ALBANY, NY, 12207</x:v>
      </x:c>
      <x:c r="Q295" t="str"/>
      <x:c r="R295" t="str"/>
      <x:c r="S295" t="str">
        <x:v>NORTHWEST REGISTERED AGENT LLC</x:v>
      </x:c>
      <x:c r="T295" t="str">
        <x:v>90 STATE STREET, SUITE 700, OFFICE 40, ALBANY, NEW YORK, 12207</x:v>
      </x:c>
      <x:c r="U295" t="str"/>
      <x:c r="V295" t="str"/>
      <x:c r="W295" t="str"/>
      <x:c r="X295" t="str"/>
      <x:c r="Y295" t="str">
        <x:v>https://data.ny.gov/Economic-Development/Active-Corporations-Beginning-1800/n9v6-gdp6</x:v>
      </x:c>
    </x:row>
    <x:row r="296">
      <x:c r="A296" t="str">
        <x:v>DOS-3-099</x:v>
      </x:c>
      <x:c r="B296" t="n">
        <x:v>3</x:v>
      </x:c>
      <x:c r="C296" t="str">
        <x:v>1601 55TH STREET, BROOKLYN, NY, 11204, US</x:v>
      </x:c>
      <x:c r="D296" t="str">
        <x:v>592 596 UNION AVENUE LLC</x:v>
      </x:c>
      <x:c r="E296" t="str">
        <x:v>592-596 UNION AVENUE LLC</x:v>
      </x:c>
      <x:c r="F296" t="str">
        <x:v>Active name match</x:v>
      </x:c>
      <x:c r="G296" t="n">
        <x:v>1</x:v>
      </x:c>
      <x:c r="H296" t="n">
        <x:v>0</x:v>
      </x:c>
      <x:c r="I296" t="str">
        <x:v>4254407</x:v>
      </x:c>
      <x:c r="J296" t="str">
        <x:v>592-596 UNION AVENUE LLC</x:v>
      </x:c>
      <x:c r="K296" s="55" t="n">
        <x:v>41065</x:v>
      </x:c>
      <x:c r="L296" t="str">
        <x:v>Kings</x:v>
      </x:c>
      <x:c r="M296" t="str">
        <x:v>New York</x:v>
      </x:c>
      <x:c r="N296" t="str">
        <x:v>DOMESTIC LIMITED LIABILITY COMPANY</x:v>
      </x:c>
      <x:c r="O296" t="str">
        <x:v>592-596 UNION AVENUE LLC</x:v>
      </x:c>
      <x:c r="P296" t="str">
        <x:v>5308 13th Ave, Suite 252, BROOKLYN, NY, 11219</x:v>
      </x:c>
      <x:c r="Q296" t="str"/>
      <x:c r="R296" t="str"/>
      <x:c r="S296" t="str"/>
      <x:c r="T296" t="str"/>
      <x:c r="U296" t="str"/>
      <x:c r="V296" t="str"/>
      <x:c r="W296" t="str"/>
      <x:c r="X296" t="str"/>
      <x:c r="Y296" t="str">
        <x:v>https://data.ny.gov/Economic-Development/Active-Corporations-Beginning-1800/n9v6-gdp6</x:v>
      </x:c>
    </x:row>
    <x:row r="297">
      <x:c r="A297" t="str">
        <x:v>DOS-3-099</x:v>
      </x:c>
      <x:c r="B297" t="n">
        <x:v>3</x:v>
      </x:c>
      <x:c r="C297" t="str">
        <x:v>1601 55TH STREET, BROOKLYN, NY, 11204, US</x:v>
      </x:c>
      <x:c r="D297" t="str">
        <x:v>ESJI EQUITIES LLC</x:v>
      </x:c>
      <x:c r="E297" t="str">
        <x:v>ESJI EQUITIES LLC</x:v>
      </x:c>
      <x:c r="F297" t="str">
        <x:v>Active name match</x:v>
      </x:c>
      <x:c r="G297" t="n">
        <x:v>1</x:v>
      </x:c>
      <x:c r="H297" t="n">
        <x:v>0</x:v>
      </x:c>
      <x:c r="I297" t="str">
        <x:v>3475077</x:v>
      </x:c>
      <x:c r="J297" t="str">
        <x:v>ESJI EQUITIES LLC</x:v>
      </x:c>
      <x:c r="K297" s="55" t="n">
        <x:v>39122</x:v>
      </x:c>
      <x:c r="L297" t="str">
        <x:v>Kings</x:v>
      </x:c>
      <x:c r="M297" t="str">
        <x:v>New York</x:v>
      </x:c>
      <x:c r="N297" t="str">
        <x:v>DOMESTIC LIMITED LIABILITY COMPANY</x:v>
      </x:c>
      <x:c r="O297" t="str">
        <x:v>ESJI EQUITIES LLC</x:v>
      </x:c>
      <x:c r="P297" t="str">
        <x:v>7 LAWRENCE AVE, BROOKLYN, NY, 11230</x:v>
      </x:c>
      <x:c r="Q297" t="str"/>
      <x:c r="R297" t="str"/>
      <x:c r="S297" t="str"/>
      <x:c r="T297" t="str"/>
      <x:c r="U297" t="str"/>
      <x:c r="V297" t="str"/>
      <x:c r="W297" t="str"/>
      <x:c r="X297" t="str"/>
      <x:c r="Y297" t="str">
        <x:v>https://data.ny.gov/Economic-Development/Active-Corporations-Beginning-1800/n9v6-gdp6</x:v>
      </x:c>
    </x:row>
    <x:row r="298">
      <x:c r="A298" t="str">
        <x:v>DOS-3-099</x:v>
      </x:c>
      <x:c r="B298" t="n">
        <x:v>3</x:v>
      </x:c>
      <x:c r="C298" t="str">
        <x:v>1601 55TH STREET, BROOKLYN, NY, 11204, US</x:v>
      </x:c>
      <x:c r="D298" t="str">
        <x:v>JAHO ON BROADWAY LLC</x:v>
      </x:c>
      <x:c r="E298" t="str">
        <x:v>JAHO ON BROADWAY LLC</x:v>
      </x:c>
      <x:c r="F298" t="str">
        <x:v>Active name match</x:v>
      </x:c>
      <x:c r="G298" t="n">
        <x:v>1</x:v>
      </x:c>
      <x:c r="H298" t="n">
        <x:v>0</x:v>
      </x:c>
      <x:c r="I298" t="str">
        <x:v>4517676</x:v>
      </x:c>
      <x:c r="J298" t="str">
        <x:v>JAHO ON BROADWAY LLC</x:v>
      </x:c>
      <x:c r="K298" s="55" t="n">
        <x:v>41661</x:v>
      </x:c>
      <x:c r="L298" t="str">
        <x:v>Kings</x:v>
      </x:c>
      <x:c r="M298" t="str">
        <x:v>New York</x:v>
      </x:c>
      <x:c r="N298" t="str">
        <x:v>DOMESTIC LIMITED LIABILITY COMPANY</x:v>
      </x:c>
      <x:c r="O298" t="str">
        <x:v>JAHO ON BROADWAY LLC</x:v>
      </x:c>
      <x:c r="P298" t="str">
        <x:v>7 LAWRENCE AVE, BROOKLYN, NY, 11230</x:v>
      </x:c>
      <x:c r="Q298" t="str"/>
      <x:c r="R298" t="str"/>
      <x:c r="S298" t="str"/>
      <x:c r="T298" t="str"/>
      <x:c r="U298" t="str"/>
      <x:c r="V298" t="str"/>
      <x:c r="W298" t="str"/>
      <x:c r="X298" t="str"/>
      <x:c r="Y298" t="str">
        <x:v>https://data.ny.gov/Economic-Development/Active-Corporations-Beginning-1800/n9v6-gdp6</x:v>
      </x:c>
    </x:row>
    <x:row r="299">
      <x:c r="A299" t="str">
        <x:v>DOS-3-100</x:v>
      </x:c>
      <x:c r="B299" t="n">
        <x:v>3</x:v>
      </x:c>
      <x:c r="C299" t="str">
        <x:v>174 DELANCEY PLACE, BRONX, NY, 10462, US</x:v>
      </x:c>
      <x:c r="D299" t="str">
        <x:v>D A B REALTY LLC</x:v>
      </x:c>
      <x:c r="E299" t="str">
        <x:v>D.A.B. REALTY LLC</x:v>
      </x:c>
      <x:c r="F299" t="str">
        <x:v>Address-corroborated active match</x:v>
      </x:c>
      <x:c r="G299" t="n">
        <x:v>1</x:v>
      </x:c>
      <x:c r="H299" t="n">
        <x:v>2</x:v>
      </x:c>
      <x:c r="I299" t="str">
        <x:v>3052755</x:v>
      </x:c>
      <x:c r="J299" t="str">
        <x:v>D.A.B. REALTY, LLC</x:v>
      </x:c>
      <x:c r="K299" s="55" t="n">
        <x:v>38119</x:v>
      </x:c>
      <x:c r="L299" t="str">
        <x:v>Bronx</x:v>
      </x:c>
      <x:c r="M299" t="str">
        <x:v>New York</x:v>
      </x:c>
      <x:c r="N299" t="str">
        <x:v>DOMESTIC LIMITED LIABILITY COMPANY</x:v>
      </x:c>
      <x:c r="O299" t="str">
        <x:v>D.A.B. REALTY, LLC</x:v>
      </x:c>
      <x:c r="P299" t="str">
        <x:v>174 DELANCEY PL, BRONX, NY, 10462</x:v>
      </x:c>
      <x:c r="Q299" t="str"/>
      <x:c r="R299" t="str"/>
      <x:c r="S299" t="str"/>
      <x:c r="T299" t="str"/>
      <x:c r="U299" t="str"/>
      <x:c r="V299" t="str"/>
      <x:c r="W299" t="str"/>
      <x:c r="X299" t="str"/>
      <x:c r="Y299" t="str">
        <x:v>https://data.ny.gov/Economic-Development/Active-Corporations-Beginning-1800/n9v6-gdp6</x:v>
      </x:c>
    </x:row>
    <x:row r="300">
      <x:c r="A300" t="str">
        <x:v>DOS-3-100</x:v>
      </x:c>
      <x:c r="B300" t="n">
        <x:v>3</x:v>
      </x:c>
      <x:c r="C300" t="str">
        <x:v>174 DELANCEY PLACE, BRONX, NY, 10462, US</x:v>
      </x:c>
      <x:c r="D300" t="str">
        <x:v>DOREEN DEVELOPMENT LLC</x:v>
      </x:c>
      <x:c r="E300" t="str">
        <x:v>DOREEN DEVELOPMENT LLC</x:v>
      </x:c>
      <x:c r="F300" t="str">
        <x:v>Address-corroborated active match</x:v>
      </x:c>
      <x:c r="G300" t="n">
        <x:v>1</x:v>
      </x:c>
      <x:c r="H300" t="n">
        <x:v>2</x:v>
      </x:c>
      <x:c r="I300" t="str">
        <x:v>3237983</x:v>
      </x:c>
      <x:c r="J300" t="str">
        <x:v>DOREEN DEVELOPMENT LLC</x:v>
      </x:c>
      <x:c r="K300" s="55" t="n">
        <x:v>38566</x:v>
      </x:c>
      <x:c r="L300" t="str">
        <x:v>Bronx</x:v>
      </x:c>
      <x:c r="M300" t="str">
        <x:v>New York</x:v>
      </x:c>
      <x:c r="N300" t="str">
        <x:v>DOMESTIC LIMITED LIABILITY COMPANY</x:v>
      </x:c>
      <x:c r="O300" t="str">
        <x:v>DOREEN DEVELOPMENT LLC</x:v>
      </x:c>
      <x:c r="P300" t="str">
        <x:v>174 DELANCEY PLACE, BRONX, NY, 10462</x:v>
      </x:c>
      <x:c r="Q300" t="str"/>
      <x:c r="R300" t="str"/>
      <x:c r="S300" t="str"/>
      <x:c r="T300" t="str"/>
      <x:c r="U300" t="str"/>
      <x:c r="V300" t="str"/>
      <x:c r="W300" t="str"/>
      <x:c r="X300" t="str"/>
      <x:c r="Y300" t="str">
        <x:v>https://data.ny.gov/Economic-Development/Active-Corporations-Beginning-1800/n9v6-gdp6</x:v>
      </x:c>
    </x:row>
    <x:row r="301">
      <x:c r="A301" t="str">
        <x:v>DOS-3-100</x:v>
      </x:c>
      <x:c r="B301" t="n">
        <x:v>3</x:v>
      </x:c>
      <x:c r="C301" t="str">
        <x:v>174 DELANCEY PLACE, BRONX, NY, 10462, US</x:v>
      </x:c>
      <x:c r="D301" t="str">
        <x:v>G Y R DEVELOPMENT LLC</x:v>
      </x:c>
      <x:c r="E301" t="str">
        <x:v>G.Y.R. DEVELOPMENT LLC</x:v>
      </x:c>
      <x:c r="F301" t="str">
        <x:v>Address-corroborated active match</x:v>
      </x:c>
      <x:c r="G301" t="n">
        <x:v>1</x:v>
      </x:c>
      <x:c r="H301" t="n">
        <x:v>2</x:v>
      </x:c>
      <x:c r="I301" t="str">
        <x:v>3283506</x:v>
      </x:c>
      <x:c r="J301" t="str">
        <x:v>G.Y.R. DEVELOPMENT LLC</x:v>
      </x:c>
      <x:c r="K301" s="55" t="n">
        <x:v>38677</x:v>
      </x:c>
      <x:c r="L301" t="str">
        <x:v>Bronx</x:v>
      </x:c>
      <x:c r="M301" t="str">
        <x:v>New York</x:v>
      </x:c>
      <x:c r="N301" t="str">
        <x:v>DOMESTIC LIMITED LIABILITY COMPANY</x:v>
      </x:c>
      <x:c r="O301" t="str">
        <x:v>G.Y.R. DEVELOPMENT LLC</x:v>
      </x:c>
      <x:c r="P301" t="str">
        <x:v>174 DELANCEY PLACE, BRONX, NY, 10462</x:v>
      </x:c>
      <x:c r="Q301" t="str"/>
      <x:c r="R301" t="str"/>
      <x:c r="S301" t="str"/>
      <x:c r="T301" t="str"/>
      <x:c r="U301" t="str"/>
      <x:c r="V301" t="str"/>
      <x:c r="W301" t="str"/>
      <x:c r="X301" t="str"/>
      <x:c r="Y301" t="str">
        <x:v>https://data.ny.gov/Economic-Development/Active-Corporations-Beginning-1800/n9v6-gdp6</x:v>
      </x:c>
    </x:row>
    <x:row r="302">
      <x:c r="A302" t="str">
        <x:v>DOS-4-001</x:v>
      </x:c>
      <x:c r="B302" t="n">
        <x:v>4</x:v>
      </x:c>
      <x:c r="C302" t="str">
        <x:v>780 WEST END AVENUE, SUITE 1E, NEW YORK, NY, 10025, US</x:v>
      </x:c>
      <x:c r="D302" t="str">
        <x:v>200 E 62 ST LLC</x:v>
      </x:c>
      <x:c r="E302" t="str">
        <x:v>200 E 62 ST LLC</x:v>
      </x:c>
      <x:c r="F302" t="str">
        <x:v>Active name match</x:v>
      </x:c>
      <x:c r="G302" t="n">
        <x:v>1</x:v>
      </x:c>
      <x:c r="H302" t="n">
        <x:v>1</x:v>
      </x:c>
      <x:c r="I302" t="str">
        <x:v>6552714</x:v>
      </x:c>
      <x:c r="J302" t="str">
        <x:v>200 E 62 ST LLC</x:v>
      </x:c>
      <x:c r="K302" s="55" t="n">
        <x:v>44774</x:v>
      </x:c>
      <x:c r="L302" t="str">
        <x:v>New York</x:v>
      </x:c>
      <x:c r="M302" t="str">
        <x:v>New York</x:v>
      </x:c>
      <x:c r="N302" t="str">
        <x:v>DOMESTIC LIMITED LIABILITY COMPANY</x:v>
      </x:c>
      <x:c r="O302" t="str">
        <x:v>200 E 62 ST LLC</x:v>
      </x:c>
      <x:c r="P302" t="str">
        <x:v>780 West End Avenue, Ste 1E, NEW YORK, NY, 10025</x:v>
      </x:c>
      <x:c r="Q302" t="str"/>
      <x:c r="R302" t="str"/>
      <x:c r="S302" t="str"/>
      <x:c r="T302" t="str"/>
      <x:c r="U302" t="str"/>
      <x:c r="V302" t="str"/>
      <x:c r="W302" t="str"/>
      <x:c r="X302" t="str"/>
      <x:c r="Y302" t="str">
        <x:v>https://data.ny.gov/Economic-Development/Active-Corporations-Beginning-1800/n9v6-gdp6</x:v>
      </x:c>
    </x:row>
    <x:row r="303">
      <x:c r="A303" t="str">
        <x:v>DOS-4-001</x:v>
      </x:c>
      <x:c r="B303" t="n">
        <x:v>4</x:v>
      </x:c>
      <x:c r="C303" t="str">
        <x:v>780 WEST END AVENUE, SUITE 1E, NEW YORK, NY, 10025, US</x:v>
      </x:c>
      <x:c r="D303" t="str">
        <x:v>215 W 88 LLC</x:v>
      </x:c>
      <x:c r="E303" t="str">
        <x:v>215 W 88 LLC</x:v>
      </x:c>
      <x:c r="F303" t="str">
        <x:v>Active name match</x:v>
      </x:c>
      <x:c r="G303" t="n">
        <x:v>1</x:v>
      </x:c>
      <x:c r="H303" t="n">
        <x:v>1</x:v>
      </x:c>
      <x:c r="I303" t="str">
        <x:v>4661352</x:v>
      </x:c>
      <x:c r="J303" t="str">
        <x:v>215 W 88 LLC</x:v>
      </x:c>
      <x:c r="K303" s="55" t="n">
        <x:v>41947</x:v>
      </x:c>
      <x:c r="L303" t="str">
        <x:v>New York</x:v>
      </x:c>
      <x:c r="M303" t="str">
        <x:v>New York</x:v>
      </x:c>
      <x:c r="N303" t="str">
        <x:v>DOMESTIC LIMITED LIABILITY COMPANY</x:v>
      </x:c>
      <x:c r="O303" t="str">
        <x:v>215 W 88 LLC</x:v>
      </x:c>
      <x:c r="P303" t="str">
        <x:v>780 WEST END AVE, Ste 1E, NEW YORK, NY, 10025</x:v>
      </x:c>
      <x:c r="Q303" t="str"/>
      <x:c r="R303" t="str"/>
      <x:c r="S303" t="str"/>
      <x:c r="T303" t="str"/>
      <x:c r="U303" t="str"/>
      <x:c r="V303" t="str"/>
      <x:c r="W303" t="str"/>
      <x:c r="X303" t="str"/>
      <x:c r="Y303" t="str">
        <x:v>https://data.ny.gov/Economic-Development/Active-Corporations-Beginning-1800/n9v6-gdp6</x:v>
      </x:c>
    </x:row>
    <x:row r="304">
      <x:c r="A304" t="str">
        <x:v>DOS-4-001</x:v>
      </x:c>
      <x:c r="B304" t="n">
        <x:v>4</x:v>
      </x:c>
      <x:c r="C304" t="str">
        <x:v>780 WEST END AVENUE, SUITE 1E, NEW YORK, NY, 10025, US</x:v>
      </x:c>
      <x:c r="D304" t="str">
        <x:v>610 WEST 110 LLC</x:v>
      </x:c>
      <x:c r="E304" t="str">
        <x:v>610 WEST 110 LLC</x:v>
      </x:c>
      <x:c r="F304" t="str">
        <x:v>Address-corroborated active match</x:v>
      </x:c>
      <x:c r="G304" t="n">
        <x:v>1</x:v>
      </x:c>
      <x:c r="H304" t="n">
        <x:v>2</x:v>
      </x:c>
      <x:c r="I304" t="str">
        <x:v>4577421</x:v>
      </x:c>
      <x:c r="J304" t="str">
        <x:v>610 WEST 110 LLC</x:v>
      </x:c>
      <x:c r="K304" s="55" t="n">
        <x:v>41773</x:v>
      </x:c>
      <x:c r="L304" t="str">
        <x:v>New York</x:v>
      </x:c>
      <x:c r="M304" t="str">
        <x:v>New York</x:v>
      </x:c>
      <x:c r="N304" t="str">
        <x:v>DOMESTIC LIMITED LIABILITY COMPANY</x:v>
      </x:c>
      <x:c r="O304" t="str">
        <x:v>610 WEST 110 LLC</x:v>
      </x:c>
      <x:c r="P304" t="str">
        <x:v>780 WEST End Ave, Ste 1E, NEW YORK, NY, 10025</x:v>
      </x:c>
      <x:c r="Q304" t="str"/>
      <x:c r="R304" t="str"/>
      <x:c r="S304" t="str"/>
      <x:c r="T304" t="str"/>
      <x:c r="U304" t="str"/>
      <x:c r="V304" t="str"/>
      <x:c r="W304" t="str"/>
      <x:c r="X304" t="str"/>
      <x:c r="Y304" t="str">
        <x:v>https://data.ny.gov/Economic-Development/Active-Corporations-Beginning-1800/n9v6-gdp6</x:v>
      </x:c>
    </x:row>
    <x:row r="305">
      <x:c r="A305" t="str">
        <x:v>DOS-4-001</x:v>
      </x:c>
      <x:c r="B305" t="n">
        <x:v>4</x:v>
      </x:c>
      <x:c r="C305" t="str">
        <x:v>780 WEST END AVENUE, SUITE 1E, NEW YORK, NY, 10025, US</x:v>
      </x:c>
      <x:c r="D305" t="str">
        <x:v>NIB HOLDINGS LLC</x:v>
      </x:c>
      <x:c r="E305" t="str">
        <x:v>NIB HOLDINGS, LLC</x:v>
      </x:c>
      <x:c r="F305" t="str">
        <x:v>Active name match</x:v>
      </x:c>
      <x:c r="G305" t="n">
        <x:v>1</x:v>
      </x:c>
      <x:c r="H305" t="n">
        <x:v>1</x:v>
      </x:c>
      <x:c r="I305" t="str">
        <x:v>5245174</x:v>
      </x:c>
      <x:c r="J305" t="str">
        <x:v>NIB HOLDINGS, LLC</x:v>
      </x:c>
      <x:c r="K305" s="55" t="n">
        <x:v>43074</x:v>
      </x:c>
      <x:c r="L305" t="str">
        <x:v>New York</x:v>
      </x:c>
      <x:c r="M305" t="str">
        <x:v>New York</x:v>
      </x:c>
      <x:c r="N305" t="str">
        <x:v>DOMESTIC LIMITED LIABILITY COMPANY</x:v>
      </x:c>
      <x:c r="O305" t="str">
        <x:v>NIB HOLDINGS LLC</x:v>
      </x:c>
      <x:c r="P305" t="str">
        <x:v>780 WEST END AVE STE 1E, NEW YORK, NY, 10025</x:v>
      </x:c>
      <x:c r="Q305" t="str"/>
      <x:c r="R305" t="str"/>
      <x:c r="S305" t="str"/>
      <x:c r="T305" t="str"/>
      <x:c r="U305" t="str"/>
      <x:c r="V305" t="str"/>
      <x:c r="W305" t="str"/>
      <x:c r="X305" t="str"/>
      <x:c r="Y305" t="str">
        <x:v>https://data.ny.gov/Economic-Development/Active-Corporations-Beginning-1800/n9v6-gdp6</x:v>
      </x:c>
    </x:row>
    <x:row r="306">
      <x:c r="A306" t="str">
        <x:v>DOS-4-002</x:v>
      </x:c>
      <x:c r="B306" t="n">
        <x:v>4</x:v>
      </x:c>
      <x:c r="C306" t="str">
        <x:v>1225 39TH STREET, BROOKLYN, NY, 11218, US</x:v>
      </x:c>
      <x:c r="D306" t="str">
        <x:v>261 WADSWORTH LLC</x:v>
      </x:c>
      <x:c r="E306" t="str">
        <x:v>261 WADSWORTH LLC</x:v>
      </x:c>
      <x:c r="F306" t="str">
        <x:v>Address-corroborated active match</x:v>
      </x:c>
      <x:c r="G306" t="n">
        <x:v>1</x:v>
      </x:c>
      <x:c r="H306" t="n">
        <x:v>2</x:v>
      </x:c>
      <x:c r="I306" t="str">
        <x:v>4487352</x:v>
      </x:c>
      <x:c r="J306" t="str">
        <x:v>261 WADSWORTH LLC</x:v>
      </x:c>
      <x:c r="K306" s="55" t="n">
        <x:v>41592</x:v>
      </x:c>
      <x:c r="L306" t="str">
        <x:v>Kings</x:v>
      </x:c>
      <x:c r="M306" t="str">
        <x:v>New York</x:v>
      </x:c>
      <x:c r="N306" t="str">
        <x:v>DOMESTIC LIMITED LIABILITY COMPANY</x:v>
      </x:c>
      <x:c r="O306" t="str">
        <x:v>261 WADSWORTH LLC</x:v>
      </x:c>
      <x:c r="P306" t="str">
        <x:v>1225 39TH STREET, BROOKLYN, NY, 11218</x:v>
      </x:c>
      <x:c r="Q306" t="str"/>
      <x:c r="R306" t="str"/>
      <x:c r="S306" t="str"/>
      <x:c r="T306" t="str"/>
      <x:c r="U306" t="str"/>
      <x:c r="V306" t="str"/>
      <x:c r="W306" t="str"/>
      <x:c r="X306" t="str"/>
      <x:c r="Y306" t="str">
        <x:v>https://data.ny.gov/Economic-Development/Active-Corporations-Beginning-1800/n9v6-gdp6</x:v>
      </x:c>
    </x:row>
    <x:row r="307">
      <x:c r="A307" t="str">
        <x:v>DOS-4-002</x:v>
      </x:c>
      <x:c r="B307" t="n">
        <x:v>4</x:v>
      </x:c>
      <x:c r="C307" t="str">
        <x:v>1225 39TH STREET, BROOKLYN, NY, 11218, US</x:v>
      </x:c>
      <x:c r="D307" t="str">
        <x:v>57 63 WADSWORTH LLC</x:v>
      </x:c>
      <x:c r="E307" t="str">
        <x:v>57-63 WADSWORTH LLC</x:v>
      </x:c>
      <x:c r="F307" t="str">
        <x:v>Active name match</x:v>
      </x:c>
      <x:c r="G307" t="n">
        <x:v>1</x:v>
      </x:c>
      <x:c r="H307" t="n">
        <x:v>0</x:v>
      </x:c>
      <x:c r="I307" t="str">
        <x:v>4509251</x:v>
      </x:c>
      <x:c r="J307" t="str">
        <x:v>57-63 WADSWORTH LLC</x:v>
      </x:c>
      <x:c r="K307" s="55" t="n">
        <x:v>41646</x:v>
      </x:c>
      <x:c r="L307" t="str">
        <x:v>Kings</x:v>
      </x:c>
      <x:c r="M307" t="str">
        <x:v>New York</x:v>
      </x:c>
      <x:c r="N307" t="str">
        <x:v>DOMESTIC LIMITED LIABILITY COMPANY</x:v>
      </x:c>
      <x:c r="O307" t="str">
        <x:v>57 - 63 WADSWORTH LLC</x:v>
      </x:c>
      <x:c r="P307" t="str">
        <x:v>5605 14th Avenue, BROOKLYN, NY, 11219</x:v>
      </x:c>
      <x:c r="Q307" t="str"/>
      <x:c r="R307" t="str"/>
      <x:c r="S307" t="str"/>
      <x:c r="T307" t="str"/>
      <x:c r="U307" t="str"/>
      <x:c r="V307" t="str"/>
      <x:c r="W307" t="str"/>
      <x:c r="X307" t="str"/>
      <x:c r="Y307" t="str">
        <x:v>https://data.ny.gov/Economic-Development/Active-Corporations-Beginning-1800/n9v6-gdp6</x:v>
      </x:c>
    </x:row>
    <x:row r="308">
      <x:c r="A308" t="str">
        <x:v>DOS-4-002</x:v>
      </x:c>
      <x:c r="B308" t="n">
        <x:v>4</x:v>
      </x:c>
      <x:c r="C308" t="str">
        <x:v>1225 39TH STREET, BROOKLYN, NY, 11218, US</x:v>
      </x:c>
      <x:c r="D308" t="str">
        <x:v>840 REALTY GROUP LLC</x:v>
      </x:c>
      <x:c r="E308" t="str">
        <x:v>840 REALTY GROUP LLC</x:v>
      </x:c>
      <x:c r="F308" t="str">
        <x:v>Active name match</x:v>
      </x:c>
      <x:c r="G308" t="n">
        <x:v>1</x:v>
      </x:c>
      <x:c r="H308" t="n">
        <x:v>0</x:v>
      </x:c>
      <x:c r="I308" t="str">
        <x:v>2948034</x:v>
      </x:c>
      <x:c r="J308" t="str">
        <x:v>840 REALTY GROUP LLC</x:v>
      </x:c>
      <x:c r="K308" s="55" t="n">
        <x:v>37861</x:v>
      </x:c>
      <x:c r="L308" t="str">
        <x:v>Kings</x:v>
      </x:c>
      <x:c r="M308" t="str">
        <x:v>New York</x:v>
      </x:c>
      <x:c r="N308" t="str">
        <x:v>DOMESTIC LIMITED LIABILITY COMPANY</x:v>
      </x:c>
      <x:c r="O308" t="str">
        <x:v>840 REALTY GROUP LLC</x:v>
      </x:c>
      <x:c r="P308" t="str">
        <x:v>5605 14TH AVENUE, BROOKLYN, NY, 11219</x:v>
      </x:c>
      <x:c r="Q308" t="str"/>
      <x:c r="R308" t="str"/>
      <x:c r="S308" t="str"/>
      <x:c r="T308" t="str"/>
      <x:c r="U308" t="str"/>
      <x:c r="V308" t="str"/>
      <x:c r="W308" t="str"/>
      <x:c r="X308" t="str"/>
      <x:c r="Y308" t="str">
        <x:v>https://data.ny.gov/Economic-Development/Active-Corporations-Beginning-1800/n9v6-gdp6</x:v>
      </x:c>
    </x:row>
    <x:row r="309">
      <x:c r="A309" t="str">
        <x:v>DOS-4-002</x:v>
      </x:c>
      <x:c r="B309" t="n">
        <x:v>4</x:v>
      </x:c>
      <x:c r="C309" t="str">
        <x:v>1225 39TH STREET, BROOKLYN, NY, 11218, US</x:v>
      </x:c>
      <x:c r="D309" t="str">
        <x:v>REGO ESTATES LLC</x:v>
      </x:c>
      <x:c r="E309" t="str">
        <x:v>REGO ESTATES LLC</x:v>
      </x:c>
      <x:c r="F309" t="str">
        <x:v>Active name match</x:v>
      </x:c>
      <x:c r="G309" t="n">
        <x:v>1</x:v>
      </x:c>
      <x:c r="H309" t="n">
        <x:v>0</x:v>
      </x:c>
      <x:c r="I309" t="str">
        <x:v>4519991</x:v>
      </x:c>
      <x:c r="J309" t="str">
        <x:v>REGO ESTATES LLC</x:v>
      </x:c>
      <x:c r="K309" s="55" t="n">
        <x:v>41667</x:v>
      </x:c>
      <x:c r="L309" t="str">
        <x:v>Kings</x:v>
      </x:c>
      <x:c r="M309" t="str">
        <x:v>New York</x:v>
      </x:c>
      <x:c r="N309" t="str">
        <x:v>DOMESTIC LIMITED LIABILITY COMPANY</x:v>
      </x:c>
      <x:c r="O309" t="str">
        <x:v>REGO ESTATES LLC</x:v>
      </x:c>
      <x:c r="P309" t="str">
        <x:v>5605 14TH AVENUE, BROOKLYN, NY, 11219</x:v>
      </x:c>
      <x:c r="Q309" t="str"/>
      <x:c r="R309" t="str"/>
      <x:c r="S309" t="str"/>
      <x:c r="T309" t="str"/>
      <x:c r="U309" t="str"/>
      <x:c r="V309" t="str"/>
      <x:c r="W309" t="str"/>
      <x:c r="X309" t="str"/>
      <x:c r="Y309" t="str">
        <x:v>https://data.ny.gov/Economic-Development/Active-Corporations-Beginning-1800/n9v6-gdp6</x:v>
      </x:c>
    </x:row>
    <x:row r="310">
      <x:c r="A310" t="str">
        <x:v>DOS-4-003</x:v>
      </x:c>
      <x:c r="B310" t="n">
        <x:v>4</x:v>
      </x:c>
      <x:c r="C310" t="str">
        <x:v>51-01 GRAND AVENUE, MASPETH, NY, 11378, US</x:v>
      </x:c>
      <x:c r="D310" t="str">
        <x:v>ELM 53 TOWER LLC</x:v>
      </x:c>
      <x:c r="E310" t="str">
        <x:v>ELM 53 TOWER LLC</x:v>
      </x:c>
      <x:c r="F310" t="str">
        <x:v>Address-corroborated active match</x:v>
      </x:c>
      <x:c r="G310" t="n">
        <x:v>1</x:v>
      </x:c>
      <x:c r="H310" t="n">
        <x:v>2</x:v>
      </x:c>
      <x:c r="I310" t="str">
        <x:v>5648877</x:v>
      </x:c>
      <x:c r="J310" t="str">
        <x:v>ELM 53 TOWER LLC</x:v>
      </x:c>
      <x:c r="K310" s="55" t="n">
        <x:v>43770</x:v>
      </x:c>
      <x:c r="L310" t="str">
        <x:v>Queens</x:v>
      </x:c>
      <x:c r="M310" t="str">
        <x:v>New York</x:v>
      </x:c>
      <x:c r="N310" t="str">
        <x:v>DOMESTIC LIMITED LIABILITY COMPANY</x:v>
      </x:c>
      <x:c r="O310" t="str">
        <x:v>ELM 53 TOWER LLC</x:v>
      </x:c>
      <x:c r="P310" t="str">
        <x:v>51-01 GRAND AVE, MASPETH, NY, 11378</x:v>
      </x:c>
      <x:c r="Q310" t="str"/>
      <x:c r="R310" t="str"/>
      <x:c r="S310" t="str"/>
      <x:c r="T310" t="str"/>
      <x:c r="U310" t="str"/>
      <x:c r="V310" t="str"/>
      <x:c r="W310" t="str"/>
      <x:c r="X310" t="str"/>
      <x:c r="Y310" t="str">
        <x:v>https://data.ny.gov/Economic-Development/Active-Corporations-Beginning-1800/n9v6-gdp6</x:v>
      </x:c>
    </x:row>
    <x:row r="311">
      <x:c r="A311" t="str">
        <x:v>DOS-4-003</x:v>
      </x:c>
      <x:c r="B311" t="n">
        <x:v>4</x:v>
      </x:c>
      <x:c r="C311" t="str">
        <x:v>51-01 GRAND AVENUE, MASPETH, NY, 11378, US</x:v>
      </x:c>
      <x:c r="D311" t="str">
        <x:v>PDW HOLDINGS LLC</x:v>
      </x:c>
      <x:c r="E311" t="str">
        <x:v>PDW HOLDINGS LLC</x:v>
      </x:c>
      <x:c r="F311" t="str">
        <x:v>Address-corroborated active match</x:v>
      </x:c>
      <x:c r="G311" t="n">
        <x:v>1</x:v>
      </x:c>
      <x:c r="H311" t="n">
        <x:v>2</x:v>
      </x:c>
      <x:c r="I311" t="str">
        <x:v>5434426</x:v>
      </x:c>
      <x:c r="J311" t="str">
        <x:v>PDW HOLDINGS LLC</x:v>
      </x:c>
      <x:c r="K311" s="55" t="n">
        <x:v>43403</x:v>
      </x:c>
      <x:c r="L311" t="str">
        <x:v>Queens</x:v>
      </x:c>
      <x:c r="M311" t="str">
        <x:v>New York</x:v>
      </x:c>
      <x:c r="N311" t="str">
        <x:v>DOMESTIC LIMITED LIABILITY COMPANY</x:v>
      </x:c>
      <x:c r="O311" t="str">
        <x:v>PDW HOLDINGS LLC</x:v>
      </x:c>
      <x:c r="P311" t="str">
        <x:v>51-01 GRAND AVE, MASPETH, NY, 11378</x:v>
      </x:c>
      <x:c r="Q311" t="str"/>
      <x:c r="R311" t="str"/>
      <x:c r="S311" t="str"/>
      <x:c r="T311" t="str"/>
      <x:c r="U311" t="str"/>
      <x:c r="V311" t="str"/>
      <x:c r="W311" t="str"/>
      <x:c r="X311" t="str"/>
      <x:c r="Y311" t="str">
        <x:v>https://data.ny.gov/Economic-Development/Active-Corporations-Beginning-1800/n9v6-gdp6</x:v>
      </x:c>
    </x:row>
    <x:row r="312">
      <x:c r="A312" t="str">
        <x:v>DOS-4-003</x:v>
      </x:c>
      <x:c r="B312" t="n">
        <x:v>4</x:v>
      </x:c>
      <x:c r="C312" t="str">
        <x:v>51-01 GRAND AVENUE, MASPETH, NY, 11378, US</x:v>
      </x:c>
      <x:c r="D312" t="str">
        <x:v>ROCKFU ENCORE LLC</x:v>
      </x:c>
      <x:c r="E312" t="str">
        <x:v>ROCKFU ENCORE LLC</x:v>
      </x:c>
      <x:c r="F312" t="str">
        <x:v>Address-corroborated active match</x:v>
      </x:c>
      <x:c r="G312" t="n">
        <x:v>1</x:v>
      </x:c>
      <x:c r="H312" t="n">
        <x:v>2</x:v>
      </x:c>
      <x:c r="I312" t="str">
        <x:v>5553973</x:v>
      </x:c>
      <x:c r="J312" t="str">
        <x:v>ROCKFU ENCORE LLC</x:v>
      </x:c>
      <x:c r="K312" s="55" t="n">
        <x:v>43601</x:v>
      </x:c>
      <x:c r="L312" t="str">
        <x:v>Queens</x:v>
      </x:c>
      <x:c r="M312" t="str">
        <x:v>New York</x:v>
      </x:c>
      <x:c r="N312" t="str">
        <x:v>DOMESTIC LIMITED LIABILITY COMPANY</x:v>
      </x:c>
      <x:c r="O312" t="str">
        <x:v>ROCKFU ENCORE LLC</x:v>
      </x:c>
      <x:c r="P312" t="str">
        <x:v>51-01 GRAND AVE, MASPETH, NY, 11378</x:v>
      </x:c>
      <x:c r="Q312" t="str"/>
      <x:c r="R312" t="str"/>
      <x:c r="S312" t="str"/>
      <x:c r="T312" t="str"/>
      <x:c r="U312" t="str"/>
      <x:c r="V312" t="str"/>
      <x:c r="W312" t="str"/>
      <x:c r="X312" t="str"/>
      <x:c r="Y312" t="str">
        <x:v>https://data.ny.gov/Economic-Development/Active-Corporations-Beginning-1800/n9v6-gdp6</x:v>
      </x:c>
    </x:row>
    <x:row r="313">
      <x:c r="A313" t="str">
        <x:v>DOS-4-003</x:v>
      </x:c>
      <x:c r="B313" t="n">
        <x:v>4</x:v>
      </x:c>
      <x:c r="C313" t="str">
        <x:v>51-01 GRAND AVENUE, MASPETH, NY, 11378, US</x:v>
      </x:c>
      <x:c r="D313" t="str">
        <x:v>Y AND H REALTY NY LLC</x:v>
      </x:c>
      <x:c r="E313" t="str">
        <x:v>Y&amp;H REALTY NY LLC</x:v>
      </x:c>
      <x:c r="F313" t="str">
        <x:v>Active name match</x:v>
      </x:c>
      <x:c r="G313" t="n">
        <x:v>1</x:v>
      </x:c>
      <x:c r="H313" t="n">
        <x:v>0</x:v>
      </x:c>
      <x:c r="I313" t="str">
        <x:v>7399097</x:v>
      </x:c>
      <x:c r="J313" t="str">
        <x:v>Y&amp;H REALTY NY LLC</x:v>
      </x:c>
      <x:c r="K313" s="55" t="n">
        <x:v>45520</x:v>
      </x:c>
      <x:c r="L313" t="str">
        <x:v>Queens</x:v>
      </x:c>
      <x:c r="M313" t="str">
        <x:v>New York</x:v>
      </x:c>
      <x:c r="N313" t="str">
        <x:v>DOMESTIC LIMITED LIABILITY COMPANY</x:v>
      </x:c>
      <x:c r="O313" t="str">
        <x:v>Y&amp;H REALTY NY LLC</x:v>
      </x:c>
      <x:c r="P313" t="str">
        <x:v>7238 CALAMUS AVE, WOODSIDE, NY, 11377</x:v>
      </x:c>
      <x:c r="Q313" t="str"/>
      <x:c r="R313" t="str"/>
      <x:c r="S313" t="str"/>
      <x:c r="T313" t="str"/>
      <x:c r="U313" t="str"/>
      <x:c r="V313" t="str"/>
      <x:c r="W313" t="str"/>
      <x:c r="X313" t="str"/>
      <x:c r="Y313" t="str">
        <x:v>https://data.ny.gov/Economic-Development/Active-Corporations-Beginning-1800/n9v6-gdp6</x:v>
      </x:c>
    </x:row>
    <x:row r="314">
      <x:c r="A314" t="str">
        <x:v>DOS-4-004</x:v>
      </x:c>
      <x:c r="B314" t="n">
        <x:v>4</x:v>
      </x:c>
      <x:c r="C314" t="str">
        <x:v>366 NORTH BROADWAY, SUITE 410, JERICHO, NY, 11753, US</x:v>
      </x:c>
      <x:c r="D314" t="str">
        <x:v>44TH STREET LLC</x:v>
      </x:c>
      <x:c r="E314" t="str">
        <x:v>44TH STREET LLC</x:v>
      </x:c>
      <x:c r="F314" t="str">
        <x:v>Active name match</x:v>
      </x:c>
      <x:c r="G314" t="n">
        <x:v>1</x:v>
      </x:c>
      <x:c r="H314" t="n">
        <x:v>1</x:v>
      </x:c>
      <x:c r="I314" t="str">
        <x:v>3663679</x:v>
      </x:c>
      <x:c r="J314" t="str">
        <x:v>44TH STREET LLC</x:v>
      </x:c>
      <x:c r="K314" s="55" t="n">
        <x:v>39563</x:v>
      </x:c>
      <x:c r="L314" t="str">
        <x:v>Nassau</x:v>
      </x:c>
      <x:c r="M314" t="str">
        <x:v>New York</x:v>
      </x:c>
      <x:c r="N314" t="str">
        <x:v>DOMESTIC LIMITED LIABILITY COMPANY</x:v>
      </x:c>
      <x:c r="O314" t="str">
        <x:v>44TH STREET LLC</x:v>
      </x:c>
      <x:c r="P314" t="str">
        <x:v>420 JERICHO TPKE, SUITE 327, JERICHO, NY, 11753</x:v>
      </x:c>
      <x:c r="Q314" t="str"/>
      <x:c r="R314" t="str"/>
      <x:c r="S314" t="str"/>
      <x:c r="T314" t="str"/>
      <x:c r="U314" t="str"/>
      <x:c r="V314" t="str"/>
      <x:c r="W314" t="str"/>
      <x:c r="X314" t="str"/>
      <x:c r="Y314" t="str">
        <x:v>https://data.ny.gov/Economic-Development/Active-Corporations-Beginning-1800/n9v6-gdp6</x:v>
      </x:c>
    </x:row>
    <x:row r="315">
      <x:c r="A315" t="str">
        <x:v>DOS-4-004</x:v>
      </x:c>
      <x:c r="B315" t="n">
        <x:v>4</x:v>
      </x:c>
      <x:c r="C315" t="str">
        <x:v>366 NORTH BROADWAY, SUITE 410, JERICHO, NY, 11753, US</x:v>
      </x:c>
      <x:c r="D315" t="str">
        <x:v>572 5TH AVE REALTY LLC</x:v>
      </x:c>
      <x:c r="E315" t="str">
        <x:v>572 5TH AVE REALTY LLC</x:v>
      </x:c>
      <x:c r="F315" t="str">
        <x:v>Address-corroborated active match</x:v>
      </x:c>
      <x:c r="G315" t="n">
        <x:v>1</x:v>
      </x:c>
      <x:c r="H315" t="n">
        <x:v>2</x:v>
      </x:c>
      <x:c r="I315" t="str">
        <x:v>6402101</x:v>
      </x:c>
      <x:c r="J315" t="str">
        <x:v>572 5TH AVE. REALTY, LLC</x:v>
      </x:c>
      <x:c r="K315" s="55" t="n">
        <x:v>44603</x:v>
      </x:c>
      <x:c r="L315" t="str">
        <x:v>Nassau</x:v>
      </x:c>
      <x:c r="M315" t="str">
        <x:v>New York</x:v>
      </x:c>
      <x:c r="N315" t="str">
        <x:v>DOMESTIC LIMITED LIABILITY COMPANY</x:v>
      </x:c>
      <x:c r="O315" t="str">
        <x:v>ASH DEVELOPMENT LLC</x:v>
      </x:c>
      <x:c r="P315" t="str">
        <x:v>366 North Broadway, Suite 410, Jericho, NY, 11753</x:v>
      </x:c>
      <x:c r="Q315" t="str"/>
      <x:c r="R315" t="str"/>
      <x:c r="S315" t="str"/>
      <x:c r="T315" t="str"/>
      <x:c r="U315" t="str"/>
      <x:c r="V315" t="str"/>
      <x:c r="W315" t="str"/>
      <x:c r="X315" t="str"/>
      <x:c r="Y315" t="str">
        <x:v>https://data.ny.gov/Economic-Development/Active-Corporations-Beginning-1800/n9v6-gdp6</x:v>
      </x:c>
    </x:row>
    <x:row r="316">
      <x:c r="A316" t="str">
        <x:v>DOS-4-004</x:v>
      </x:c>
      <x:c r="B316" t="n">
        <x:v>4</x:v>
      </x:c>
      <x:c r="C316" t="str">
        <x:v>366 NORTH BROADWAY, SUITE 410, JERICHO, NY, 11753, US</x:v>
      </x:c>
      <x:c r="D316" t="str">
        <x:v>ELUR COMPANY LLC</x:v>
      </x:c>
      <x:c r="E316" t="str">
        <x:v>ELUR COMPANY LLC</x:v>
      </x:c>
      <x:c r="F316" t="str">
        <x:v>Active name match</x:v>
      </x:c>
      <x:c r="G316" t="n">
        <x:v>1</x:v>
      </x:c>
      <x:c r="H316" t="n">
        <x:v>1</x:v>
      </x:c>
      <x:c r="I316" t="str">
        <x:v>3268112</x:v>
      </x:c>
      <x:c r="J316" t="str">
        <x:v>ELUR COMPANY LLC</x:v>
      </x:c>
      <x:c r="K316" s="55" t="n">
        <x:v>38638</x:v>
      </x:c>
      <x:c r="L316" t="str">
        <x:v>Nassau</x:v>
      </x:c>
      <x:c r="M316" t="str">
        <x:v>New York</x:v>
      </x:c>
      <x:c r="N316" t="str">
        <x:v>DOMESTIC LIMITED LIABILITY COMPANY</x:v>
      </x:c>
      <x:c r="O316" t="str">
        <x:v>ELUR COMPANY LLC</x:v>
      </x:c>
      <x:c r="P316" t="str">
        <x:v>366 N BROADWAY, STE 410, JERICHO, NY, 11753</x:v>
      </x:c>
      <x:c r="Q316" t="str"/>
      <x:c r="R316" t="str"/>
      <x:c r="S316" t="str"/>
      <x:c r="T316" t="str"/>
      <x:c r="U316" t="str"/>
      <x:c r="V316" t="str"/>
      <x:c r="W316" t="str"/>
      <x:c r="X316" t="str"/>
      <x:c r="Y316" t="str">
        <x:v>https://data.ny.gov/Economic-Development/Active-Corporations-Beginning-1800/n9v6-gdp6</x:v>
      </x:c>
    </x:row>
    <x:row r="317">
      <x:c r="A317" t="str">
        <x:v>DOS-4-004</x:v>
      </x:c>
      <x:c r="B317" t="n">
        <x:v>4</x:v>
      </x:c>
      <x:c r="C317" t="str">
        <x:v>366 NORTH BROADWAY, SUITE 410, JERICHO, NY, 11753, US</x:v>
      </x:c>
      <x:c r="D317" t="str">
        <x:v>LINK 52 LLC</x:v>
      </x:c>
      <x:c r="E317" t="str">
        <x:v>LINK 52 LLC</x:v>
      </x:c>
      <x:c r="F317" t="str">
        <x:v>Address-corroborated active match</x:v>
      </x:c>
      <x:c r="G317" t="n">
        <x:v>1</x:v>
      </x:c>
      <x:c r="H317" t="n">
        <x:v>2</x:v>
      </x:c>
      <x:c r="I317" t="str">
        <x:v>3281719</x:v>
      </x:c>
      <x:c r="J317" t="str">
        <x:v>LINK 52 LLC</x:v>
      </x:c>
      <x:c r="K317" s="55" t="n">
        <x:v>38672</x:v>
      </x:c>
      <x:c r="L317" t="str">
        <x:v>Nassau</x:v>
      </x:c>
      <x:c r="M317" t="str">
        <x:v>New York</x:v>
      </x:c>
      <x:c r="N317" t="str">
        <x:v>DOMESTIC LIMITED LIABILITY COMPANY</x:v>
      </x:c>
      <x:c r="O317" t="str">
        <x:v>LINK 52 LLC</x:v>
      </x:c>
      <x:c r="P317" t="str">
        <x:v>366 NORTH BROADWAY SUITE 410, JERICHO, NY, 11753</x:v>
      </x:c>
      <x:c r="Q317" t="str"/>
      <x:c r="R317" t="str"/>
      <x:c r="S317" t="str"/>
      <x:c r="T317" t="str"/>
      <x:c r="U317" t="str"/>
      <x:c r="V317" t="str"/>
      <x:c r="W317" t="str"/>
      <x:c r="X317" t="str"/>
      <x:c r="Y317" t="str">
        <x:v>https://data.ny.gov/Economic-Development/Active-Corporations-Beginning-1800/n9v6-gdp6</x:v>
      </x:c>
    </x:row>
    <x:row r="318">
      <x:c r="A318" t="str">
        <x:v>DOS-4-005</x:v>
      </x:c>
      <x:c r="B318" t="n">
        <x:v>4</x:v>
      </x:c>
      <x:c r="C318" t="str">
        <x:v>25-19 BORDEN AVENUE, LONG ISLAND CITY, NY, 11101, US</x:v>
      </x:c>
      <x:c r="D318" t="str">
        <x:v>533 48TH LLC</x:v>
      </x:c>
      <x:c r="E318" t="str">
        <x:v>533 48TH LLC</x:v>
      </x:c>
      <x:c r="F318" t="str">
        <x:v>Address-corroborated active match</x:v>
      </x:c>
      <x:c r="G318" t="n">
        <x:v>1</x:v>
      </x:c>
      <x:c r="H318" t="n">
        <x:v>2</x:v>
      </x:c>
      <x:c r="I318" t="str">
        <x:v>4422921</x:v>
      </x:c>
      <x:c r="J318" t="str">
        <x:v>533 48TH LLC</x:v>
      </x:c>
      <x:c r="K318" s="55" t="n">
        <x:v>41451</x:v>
      </x:c>
      <x:c r="L318" t="str">
        <x:v>Queens</x:v>
      </x:c>
      <x:c r="M318" t="str">
        <x:v>New York</x:v>
      </x:c>
      <x:c r="N318" t="str">
        <x:v>DOMESTIC LIMITED LIABILITY COMPANY</x:v>
      </x:c>
      <x:c r="O318" t="str">
        <x:v>533 48TH LLC</x:v>
      </x:c>
      <x:c r="P318" t="str">
        <x:v>25-19 BORDEN AVENUE, LONG ISLAND CITY, NY, 11101</x:v>
      </x:c>
      <x:c r="Q318" t="str"/>
      <x:c r="R318" t="str"/>
      <x:c r="S318" t="str"/>
      <x:c r="T318" t="str"/>
      <x:c r="U318" t="str"/>
      <x:c r="V318" t="str"/>
      <x:c r="W318" t="str"/>
      <x:c r="X318" t="str"/>
      <x:c r="Y318" t="str">
        <x:v>https://data.ny.gov/Economic-Development/Active-Corporations-Beginning-1800/n9v6-gdp6</x:v>
      </x:c>
    </x:row>
    <x:row r="319">
      <x:c r="A319" t="str">
        <x:v>DOS-4-005</x:v>
      </x:c>
      <x:c r="B319" t="n">
        <x:v>4</x:v>
      </x:c>
      <x:c r="C319" t="str">
        <x:v>25-19 BORDEN AVENUE, LONG ISLAND CITY, NY, 11101, US</x:v>
      </x:c>
      <x:c r="D319" t="str">
        <x:v>55BC LLC</x:v>
      </x:c>
      <x:c r="E319" t="str">
        <x:v>55BC LLC</x:v>
      </x:c>
      <x:c r="F319" t="str">
        <x:v>Address-corroborated active match</x:v>
      </x:c>
      <x:c r="G319" t="n">
        <x:v>1</x:v>
      </x:c>
      <x:c r="H319" t="n">
        <x:v>2</x:v>
      </x:c>
      <x:c r="I319" t="str">
        <x:v>7183096</x:v>
      </x:c>
      <x:c r="J319" t="str">
        <x:v>55BC LLC</x:v>
      </x:c>
      <x:c r="K319" s="55" t="n">
        <x:v>45244</x:v>
      </x:c>
      <x:c r="L319" t="str">
        <x:v>Queens</x:v>
      </x:c>
      <x:c r="M319" t="str">
        <x:v>New York</x:v>
      </x:c>
      <x:c r="N319" t="str">
        <x:v>DOMESTIC LIMITED LIABILITY COMPANY</x:v>
      </x:c>
      <x:c r="O319" t="str">
        <x:v>55BC LLC</x:v>
      </x:c>
      <x:c r="P319" t="str">
        <x:v>25-19 Borden Avenue, Long Island City, NY, 11101</x:v>
      </x:c>
      <x:c r="Q319" t="str"/>
      <x:c r="R319" t="str"/>
      <x:c r="S319" t="str"/>
      <x:c r="T319" t="str"/>
      <x:c r="U319" t="str"/>
      <x:c r="V319" t="str"/>
      <x:c r="W319" t="str"/>
      <x:c r="X319" t="str"/>
      <x:c r="Y319" t="str">
        <x:v>https://data.ny.gov/Economic-Development/Active-Corporations-Beginning-1800/n9v6-gdp6</x:v>
      </x:c>
    </x:row>
    <x:row r="320">
      <x:c r="A320" t="str">
        <x:v>DOS-4-005</x:v>
      </x:c>
      <x:c r="B320" t="n">
        <x:v>4</x:v>
      </x:c>
      <x:c r="C320" t="str">
        <x:v>25-19 BORDEN AVENUE, LONG ISLAND CITY, NY, 11101, US</x:v>
      </x:c>
      <x:c r="D320" t="str">
        <x:v>SEABROOK LLC</x:v>
      </x:c>
      <x:c r="E320" t="str">
        <x:v>SEABROOK LLC</x:v>
      </x:c>
      <x:c r="F320" t="str">
        <x:v>Address-corroborated active match</x:v>
      </x:c>
      <x:c r="G320" t="n">
        <x:v>1</x:v>
      </x:c>
      <x:c r="H320" t="n">
        <x:v>2</x:v>
      </x:c>
      <x:c r="I320" t="str">
        <x:v>6005322</x:v>
      </x:c>
      <x:c r="J320" t="str">
        <x:v>SEABROOK LLC</x:v>
      </x:c>
      <x:c r="K320" s="55" t="n">
        <x:v>44320</x:v>
      </x:c>
      <x:c r="L320" t="str">
        <x:v>Queens</x:v>
      </x:c>
      <x:c r="M320" t="str">
        <x:v>New York</x:v>
      </x:c>
      <x:c r="N320" t="str">
        <x:v>DOMESTIC LIMITED LIABILITY COMPANY</x:v>
      </x:c>
      <x:c r="O320" t="str">
        <x:v>SEABROOK LLC</x:v>
      </x:c>
      <x:c r="P320" t="str">
        <x:v>25-19 BORDEN AVENUE, LONG ISLAND CITY, NY, 11101</x:v>
      </x:c>
      <x:c r="Q320" t="str"/>
      <x:c r="R320" t="str"/>
      <x:c r="S320" t="str"/>
      <x:c r="T320" t="str"/>
      <x:c r="U320" t="str"/>
      <x:c r="V320" t="str"/>
      <x:c r="W320" t="str"/>
      <x:c r="X320" t="str"/>
      <x:c r="Y320" t="str">
        <x:v>https://data.ny.gov/Economic-Development/Active-Corporations-Beginning-1800/n9v6-gdp6</x:v>
      </x:c>
    </x:row>
    <x:row r="321">
      <x:c r="A321" t="str">
        <x:v>DOS-4-005</x:v>
      </x:c>
      <x:c r="B321" t="n">
        <x:v>4</x:v>
      </x:c>
      <x:c r="C321" t="str">
        <x:v>25-19 BORDEN AVENUE, LONG ISLAND CITY, NY, 11101, US</x:v>
      </x:c>
      <x:c r="D321" t="str">
        <x:v>SG 31 LLC</x:v>
      </x:c>
      <x:c r="E321" t="str">
        <x:v>SG 31, LLC</x:v>
      </x:c>
      <x:c r="F321" t="str">
        <x:v>Active name match</x:v>
      </x:c>
      <x:c r="G321" t="n">
        <x:v>1</x:v>
      </x:c>
      <x:c r="H321" t="n">
        <x:v>0</x:v>
      </x:c>
      <x:c r="I321" t="str">
        <x:v>3321349</x:v>
      </x:c>
      <x:c r="J321" t="str">
        <x:v>SG 31, LLC</x:v>
      </x:c>
      <x:c r="K321" s="55" t="n">
        <x:v>38763</x:v>
      </x:c>
      <x:c r="L321" t="str">
        <x:v>Suffolk</x:v>
      </x:c>
      <x:c r="M321" t="str">
        <x:v>New York</x:v>
      </x:c>
      <x:c r="N321" t="str">
        <x:v>DOMESTIC LIMITED LIABILITY COMPANY</x:v>
      </x:c>
      <x:c r="O321" t="str">
        <x:v>SG 31, LLC</x:v>
      </x:c>
      <x:c r="P321" t="str">
        <x:v>23-25 31ST STREET, STE 600, ASTORIA, NY, 11105</x:v>
      </x:c>
      <x:c r="Q321" t="str"/>
      <x:c r="R321" t="str"/>
      <x:c r="S321" t="str"/>
      <x:c r="T321" t="str"/>
      <x:c r="U321" t="str"/>
      <x:c r="V321" t="str"/>
      <x:c r="W321" t="str"/>
      <x:c r="X321" t="str"/>
      <x:c r="Y321" t="str">
        <x:v>https://data.ny.gov/Economic-Development/Active-Corporations-Beginning-1800/n9v6-gdp6</x:v>
      </x:c>
    </x:row>
    <x:row r="322">
      <x:c r="A322" t="str">
        <x:v>DOS-4-006</x:v>
      </x:c>
      <x:c r="B322" t="n">
        <x:v>4</x:v>
      </x:c>
      <x:c r="C322" t="str">
        <x:v>410 PARK AVENUE, SUITE 1630, NEW YORK, NY, 10022, US</x:v>
      </x:c>
      <x:c r="D322" t="str">
        <x:v>15 WEST 55TH ST PROPERTY LLC</x:v>
      </x:c>
      <x:c r="E322" t="str">
        <x:v>15 WEST 55TH ST. PROPERTY LLC</x:v>
      </x:c>
      <x:c r="F322" t="str">
        <x:v>Active name match</x:v>
      </x:c>
      <x:c r="G322" t="n">
        <x:v>1</x:v>
      </x:c>
      <x:c r="H322" t="n">
        <x:v>1</x:v>
      </x:c>
      <x:c r="I322" t="str">
        <x:v>4486426</x:v>
      </x:c>
      <x:c r="J322" t="str">
        <x:v>15 WEST 55TH ST. PROPERTY LLC</x:v>
      </x:c>
      <x:c r="K322" s="55" t="n">
        <x:v>41591</x:v>
      </x:c>
      <x:c r="L322" t="str">
        <x:v>New York</x:v>
      </x:c>
      <x:c r="M322" t="str">
        <x:v>Delaware</x:v>
      </x:c>
      <x:c r="N322" t="str">
        <x:v>FOREIGN LIMITED LIABILITY COMPANY</x:v>
      </x:c>
      <x:c r="O322" t="str">
        <x:v>15 WEST 55TH ST. PROPERTY LLC</x:v>
      </x:c>
      <x:c r="P322" t="str">
        <x:v>C/O RICHARD J. MIGLIACCIO, ESQ, 410 PARK AVE., STE. 1630, NEW YORK, NY, 10022</x:v>
      </x:c>
      <x:c r="Q322" t="str"/>
      <x:c r="R322" t="str"/>
      <x:c r="S322" t="str"/>
      <x:c r="T322" t="str"/>
      <x:c r="U322" t="str"/>
      <x:c r="V322" t="str"/>
      <x:c r="W322" t="str"/>
      <x:c r="X322" t="str"/>
      <x:c r="Y322" t="str">
        <x:v>https://data.ny.gov/Economic-Development/Active-Corporations-Beginning-1800/n9v6-gdp6</x:v>
      </x:c>
    </x:row>
    <x:row r="323">
      <x:c r="A323" t="str">
        <x:v>DOS-4-006</x:v>
      </x:c>
      <x:c r="B323" t="n">
        <x:v>4</x:v>
      </x:c>
      <x:c r="C323" t="str">
        <x:v>410 PARK AVENUE, SUITE 1630, NEW YORK, NY, 10022, US</x:v>
      </x:c>
      <x:c r="D323" t="str">
        <x:v>C45 LLC</x:v>
      </x:c>
      <x:c r="E323" t="str">
        <x:v>C45 LLC</x:v>
      </x:c>
      <x:c r="F323" t="str">
        <x:v>Active name match</x:v>
      </x:c>
      <x:c r="G323" t="n">
        <x:v>1</x:v>
      </x:c>
      <x:c r="H323" t="n">
        <x:v>1</x:v>
      </x:c>
      <x:c r="I323" t="str">
        <x:v>6517995</x:v>
      </x:c>
      <x:c r="J323" t="str">
        <x:v>C45 LLC</x:v>
      </x:c>
      <x:c r="K323" s="55" t="n">
        <x:v>44734</x:v>
      </x:c>
      <x:c r="L323" t="str">
        <x:v>New York</x:v>
      </x:c>
      <x:c r="M323" t="str">
        <x:v>New York</x:v>
      </x:c>
      <x:c r="N323" t="str">
        <x:v>DOMESTIC LIMITED LIABILITY COMPANY</x:v>
      </x:c>
      <x:c r="O323" t="str">
        <x:v>C45 LLC</x:v>
      </x:c>
      <x:c r="P323" t="str">
        <x:v>410 PARK AVE STE 1630, NEW YORK, NY, 10022</x:v>
      </x:c>
      <x:c r="Q323" t="str"/>
      <x:c r="R323" t="str"/>
      <x:c r="S323" t="str"/>
      <x:c r="T323" t="str"/>
      <x:c r="U323" t="str"/>
      <x:c r="V323" t="str"/>
      <x:c r="W323" t="str"/>
      <x:c r="X323" t="str"/>
      <x:c r="Y323" t="str">
        <x:v>https://data.ny.gov/Economic-Development/Active-Corporations-Beginning-1800/n9v6-gdp6</x:v>
      </x:c>
    </x:row>
    <x:row r="324">
      <x:c r="A324" t="str">
        <x:v>DOS-4-006</x:v>
      </x:c>
      <x:c r="B324" t="n">
        <x:v>4</x:v>
      </x:c>
      <x:c r="C324" t="str">
        <x:v>410 PARK AVENUE, SUITE 1630, NEW YORK, NY, 10022, US</x:v>
      </x:c>
      <x:c r="D324" t="str">
        <x:v>CASSA 45 LLC</x:v>
      </x:c>
      <x:c r="E324" t="str">
        <x:v>CASSA 45 LLC</x:v>
      </x:c>
      <x:c r="F324" t="str">
        <x:v>Address-corroborated active match</x:v>
      </x:c>
      <x:c r="G324" t="n">
        <x:v>1</x:v>
      </x:c>
      <x:c r="H324" t="n">
        <x:v>2</x:v>
      </x:c>
      <x:c r="I324" t="str">
        <x:v>4153092</x:v>
      </x:c>
      <x:c r="J324" t="str">
        <x:v>CASSA 45 LLC</x:v>
      </x:c>
      <x:c r="K324" s="55" t="n">
        <x:v>40829</x:v>
      </x:c>
      <x:c r="L324" t="str">
        <x:v>New York</x:v>
      </x:c>
      <x:c r="M324" t="str">
        <x:v>New York</x:v>
      </x:c>
      <x:c r="N324" t="str">
        <x:v>DOMESTIC LIMITED LIABILITY COMPANY</x:v>
      </x:c>
      <x:c r="O324" t="str">
        <x:v>CASSA 45 LLC</x:v>
      </x:c>
      <x:c r="P324" t="str">
        <x:v>410 PARK AVENUE SUITE 1630, NEW YORK, NY, 10022</x:v>
      </x:c>
      <x:c r="Q324" t="str"/>
      <x:c r="R324" t="str"/>
      <x:c r="S324" t="str"/>
      <x:c r="T324" t="str"/>
      <x:c r="U324" t="str"/>
      <x:c r="V324" t="str"/>
      <x:c r="W324" t="str"/>
      <x:c r="X324" t="str"/>
      <x:c r="Y324" t="str">
        <x:v>https://data.ny.gov/Economic-Development/Active-Corporations-Beginning-1800/n9v6-gdp6</x:v>
      </x:c>
    </x:row>
    <x:row r="325">
      <x:c r="A325" t="str">
        <x:v>DOS-4-006</x:v>
      </x:c>
      <x:c r="B325" t="n">
        <x:v>4</x:v>
      </x:c>
      <x:c r="C325" t="str">
        <x:v>410 PARK AVENUE, SUITE 1630, NEW YORK, NY, 10022, US</x:v>
      </x:c>
      <x:c r="D325" t="str">
        <x:v>MIDTOWN 45 LLC</x:v>
      </x:c>
      <x:c r="E325" t="str">
        <x:v>MIDTOWN 45 LLC</x:v>
      </x:c>
      <x:c r="F325" t="str">
        <x:v>Active name match</x:v>
      </x:c>
      <x:c r="G325" t="n">
        <x:v>1</x:v>
      </x:c>
      <x:c r="H325" t="n">
        <x:v>1</x:v>
      </x:c>
      <x:c r="I325" t="str">
        <x:v>6614164</x:v>
      </x:c>
      <x:c r="J325" t="str">
        <x:v>MIDTOWN 45 LLC</x:v>
      </x:c>
      <x:c r="K325" s="55" t="n">
        <x:v>44846</x:v>
      </x:c>
      <x:c r="L325" t="str">
        <x:v>New York</x:v>
      </x:c>
      <x:c r="M325" t="str">
        <x:v>New York</x:v>
      </x:c>
      <x:c r="N325" t="str">
        <x:v>DOMESTIC LIMITED LIABILITY COMPANY</x:v>
      </x:c>
      <x:c r="O325" t="str">
        <x:v>MIDTOWN 45 LLC</x:v>
      </x:c>
      <x:c r="P325" t="str">
        <x:v>410 PARK AVE - STE 1630, NEW YORK, NY, 10022</x:v>
      </x:c>
      <x:c r="Q325" t="str"/>
      <x:c r="R325" t="str"/>
      <x:c r="S325" t="str"/>
      <x:c r="T325" t="str"/>
      <x:c r="U325" t="str"/>
      <x:c r="V325" t="str"/>
      <x:c r="W325" t="str"/>
      <x:c r="X325" t="str"/>
      <x:c r="Y325" t="str">
        <x:v>https://data.ny.gov/Economic-Development/Active-Corporations-Beginning-1800/n9v6-gdp6</x:v>
      </x:c>
    </x:row>
    <x:row r="326">
      <x:c r="A326" t="str">
        <x:v>DOS-4-007</x:v>
      </x:c>
      <x:c r="B326" t="n">
        <x:v>4</x:v>
      </x:c>
      <x:c r="C326" t="str">
        <x:v>2307 W 13TH STREET, BROOKLYN, NY, 11223, US</x:v>
      </x:c>
      <x:c r="D326" t="str">
        <x:v>12 AVE CF 108 LLC</x:v>
      </x:c>
      <x:c r="E326" t="str">
        <x:v>12 AVE CF 108 LLC</x:v>
      </x:c>
      <x:c r="F326" t="str">
        <x:v>Active name match</x:v>
      </x:c>
      <x:c r="G326" t="n">
        <x:v>1</x:v>
      </x:c>
      <x:c r="H326" t="n">
        <x:v>1</x:v>
      </x:c>
      <x:c r="I326" t="str">
        <x:v>6457321</x:v>
      </x:c>
      <x:c r="J326" t="str">
        <x:v>12 AVE CF 108 LLC</x:v>
      </x:c>
      <x:c r="K326" s="55" t="n">
        <x:v>44664</x:v>
      </x:c>
      <x:c r="L326" t="str">
        <x:v>Kings</x:v>
      </x:c>
      <x:c r="M326" t="str">
        <x:v>New York</x:v>
      </x:c>
      <x:c r="N326" t="str">
        <x:v>DOMESTIC LIMITED LIABILITY COMPANY</x:v>
      </x:c>
      <x:c r="O326" t="str">
        <x:v>THE LIMITED LIABILITY COMPANY</x:v>
      </x:c>
      <x:c r="P326" t="str">
        <x:v>2307 W 13 STREET, BROOKLYN, NY, 11223</x:v>
      </x:c>
      <x:c r="Q326" t="str"/>
      <x:c r="R326" t="str"/>
      <x:c r="S326" t="str"/>
      <x:c r="T326" t="str"/>
      <x:c r="U326" t="str"/>
      <x:c r="V326" t="str"/>
      <x:c r="W326" t="str"/>
      <x:c r="X326" t="str"/>
      <x:c r="Y326" t="str">
        <x:v>https://data.ny.gov/Economic-Development/Active-Corporations-Beginning-1800/n9v6-gdp6</x:v>
      </x:c>
    </x:row>
    <x:row r="327">
      <x:c r="A327" t="str">
        <x:v>DOS-4-007</x:v>
      </x:c>
      <x:c r="B327" t="n">
        <x:v>4</x:v>
      </x:c>
      <x:c r="C327" t="str">
        <x:v>2307 W 13TH STREET, BROOKLYN, NY, 11223, US</x:v>
      </x:c>
      <x:c r="D327" t="str">
        <x:v>2107 65TH ST LLC</x:v>
      </x:c>
      <x:c r="E327" t="str">
        <x:v>2107 65TH ST LLC</x:v>
      </x:c>
      <x:c r="F327" t="str">
        <x:v>Address-corroborated active match</x:v>
      </x:c>
      <x:c r="G327" t="n">
        <x:v>1</x:v>
      </x:c>
      <x:c r="H327" t="n">
        <x:v>2</x:v>
      </x:c>
      <x:c r="I327" t="str">
        <x:v>7814893</x:v>
      </x:c>
      <x:c r="J327" t="str">
        <x:v>2107 65TH ST LLC</x:v>
      </x:c>
      <x:c r="K327" s="55" t="n">
        <x:v>46045</x:v>
      </x:c>
      <x:c r="L327" t="str">
        <x:v>Kings</x:v>
      </x:c>
      <x:c r="M327" t="str">
        <x:v>New York</x:v>
      </x:c>
      <x:c r="N327" t="str">
        <x:v>DOMESTIC LIMITED LIABILITY COMPANY</x:v>
      </x:c>
      <x:c r="O327" t="str">
        <x:v>THE LIMITED LIABILITY COMPANY</x:v>
      </x:c>
      <x:c r="P327" t="str">
        <x:v>2307 W 13TH ST, BROOKLYN, NY, 11223</x:v>
      </x:c>
      <x:c r="Q327" t="str"/>
      <x:c r="R327" t="str"/>
      <x:c r="S327" t="str"/>
      <x:c r="T327" t="str"/>
      <x:c r="U327" t="str"/>
      <x:c r="V327" t="str"/>
      <x:c r="W327" t="str"/>
      <x:c r="X327" t="str"/>
      <x:c r="Y327" t="str">
        <x:v>https://data.ny.gov/Economic-Development/Active-Corporations-Beginning-1800/n9v6-gdp6</x:v>
      </x:c>
    </x:row>
    <x:row r="328">
      <x:c r="A328" t="str">
        <x:v>DOS-4-007</x:v>
      </x:c>
      <x:c r="B328" t="n">
        <x:v>4</x:v>
      </x:c>
      <x:c r="C328" t="str">
        <x:v>2307 W 13TH STREET, BROOKLYN, NY, 11223, US</x:v>
      </x:c>
      <x:c r="D328" t="str">
        <x:v>6418 8TH AVE REALTY LLC</x:v>
      </x:c>
      <x:c r="E328" t="str">
        <x:v>6418 8TH AVE REALTY LLC</x:v>
      </x:c>
      <x:c r="F328" t="str">
        <x:v>Active name match</x:v>
      </x:c>
      <x:c r="G328" t="n">
        <x:v>1</x:v>
      </x:c>
      <x:c r="H328" t="n">
        <x:v>1</x:v>
      </x:c>
      <x:c r="I328" t="str">
        <x:v>6941553</x:v>
      </x:c>
      <x:c r="J328" t="str">
        <x:v>6418 8TH AVE REALTY LLC</x:v>
      </x:c>
      <x:c r="K328" s="55" t="n">
        <x:v>45127</x:v>
      </x:c>
      <x:c r="L328" t="str">
        <x:v>Kings</x:v>
      </x:c>
      <x:c r="M328" t="str">
        <x:v>New York</x:v>
      </x:c>
      <x:c r="N328" t="str">
        <x:v>DOMESTIC LIMITED LIABILITY COMPANY</x:v>
      </x:c>
      <x:c r="O328" t="str">
        <x:v>THE LIMITED LIABILITY COMPANY</x:v>
      </x:c>
      <x:c r="P328" t="str">
        <x:v>2307 W 13 STREET, BROOKLYN, NY, 11223</x:v>
      </x:c>
      <x:c r="Q328" t="str"/>
      <x:c r="R328" t="str"/>
      <x:c r="S328" t="str"/>
      <x:c r="T328" t="str"/>
      <x:c r="U328" t="str"/>
      <x:c r="V328" t="str"/>
      <x:c r="W328" t="str"/>
      <x:c r="X328" t="str"/>
      <x:c r="Y328" t="str">
        <x:v>https://data.ny.gov/Economic-Development/Active-Corporations-Beginning-1800/n9v6-gdp6</x:v>
      </x:c>
    </x:row>
    <x:row r="329">
      <x:c r="A329" t="str">
        <x:v>DOS-4-007</x:v>
      </x:c>
      <x:c r="B329" t="n">
        <x:v>4</x:v>
      </x:c>
      <x:c r="C329" t="str">
        <x:v>2307 W 13TH STREET, BROOKLYN, NY, 11223, US</x:v>
      </x:c>
      <x:c r="D329" t="str">
        <x:v>DG RESIDENTIAL LLC</x:v>
      </x:c>
      <x:c r="E329" t="str">
        <x:v>DG RESIDENTIAL LLC</x:v>
      </x:c>
      <x:c r="F329" t="str">
        <x:v>Active name match</x:v>
      </x:c>
      <x:c r="G329" t="n">
        <x:v>1</x:v>
      </x:c>
      <x:c r="H329" t="n">
        <x:v>1</x:v>
      </x:c>
      <x:c r="I329" t="str">
        <x:v>7016715</x:v>
      </x:c>
      <x:c r="J329" t="str">
        <x:v>DG RESIDENTIAL LLC</x:v>
      </x:c>
      <x:c r="K329" s="55" t="n">
        <x:v>45167</x:v>
      </x:c>
      <x:c r="L329" t="str">
        <x:v>Kings</x:v>
      </x:c>
      <x:c r="M329" t="str">
        <x:v>New York</x:v>
      </x:c>
      <x:c r="N329" t="str">
        <x:v>DOMESTIC LIMITED LIABILITY COMPANY</x:v>
      </x:c>
      <x:c r="O329" t="str">
        <x:v>THE LIMITED LIABILITY COMPANY</x:v>
      </x:c>
      <x:c r="P329" t="str">
        <x:v>2307 W 13 STREET, BROOKLYN, NY, 11223</x:v>
      </x:c>
      <x:c r="Q329" t="str"/>
      <x:c r="R329" t="str"/>
      <x:c r="S329" t="str"/>
      <x:c r="T329" t="str"/>
      <x:c r="U329" t="str"/>
      <x:c r="V329" t="str"/>
      <x:c r="W329" t="str"/>
      <x:c r="X329" t="str"/>
      <x:c r="Y329" t="str">
        <x:v>https://data.ny.gov/Economic-Development/Active-Corporations-Beginning-1800/n9v6-gdp6</x:v>
      </x:c>
    </x:row>
    <x:row r="330">
      <x:c r="A330" t="str">
        <x:v>DOS-4-008</x:v>
      </x:c>
      <x:c r="B330" t="n">
        <x:v>4</x:v>
      </x:c>
      <x:c r="C330" t="str">
        <x:v>41-63 71ST STREET, WOODSIDE, NY, 11377, US</x:v>
      </x:c>
      <x:c r="D330" t="str">
        <x:v>IL FIGARO LLC</x:v>
      </x:c>
      <x:c r="E330" t="str">
        <x:v>IL FIGARO LLC</x:v>
      </x:c>
      <x:c r="F330" t="str">
        <x:v>Address-corroborated active match</x:v>
      </x:c>
      <x:c r="G330" t="n">
        <x:v>1</x:v>
      </x:c>
      <x:c r="H330" t="n">
        <x:v>2</x:v>
      </x:c>
      <x:c r="I330" t="str">
        <x:v>5417295</x:v>
      </x:c>
      <x:c r="J330" t="str">
        <x:v>IL FIGARO LLC</x:v>
      </x:c>
      <x:c r="K330" s="55" t="n">
        <x:v>43371</x:v>
      </x:c>
      <x:c r="L330" t="str">
        <x:v>Queens</x:v>
      </x:c>
      <x:c r="M330" t="str">
        <x:v>New York</x:v>
      </x:c>
      <x:c r="N330" t="str">
        <x:v>DOMESTIC LIMITED LIABILITY COMPANY</x:v>
      </x:c>
      <x:c r="O330" t="str">
        <x:v>IL FIGARO LLC</x:v>
      </x:c>
      <x:c r="P330" t="str">
        <x:v>41-63 71ST STREET, WOODSIDE, NY, 11377</x:v>
      </x:c>
      <x:c r="Q330" t="str"/>
      <x:c r="R330" t="str"/>
      <x:c r="S330" t="str"/>
      <x:c r="T330" t="str"/>
      <x:c r="U330" t="str"/>
      <x:c r="V330" t="str"/>
      <x:c r="W330" t="str"/>
      <x:c r="X330" t="str"/>
      <x:c r="Y330" t="str">
        <x:v>https://data.ny.gov/Economic-Development/Active-Corporations-Beginning-1800/n9v6-gdp6</x:v>
      </x:c>
    </x:row>
    <x:row r="331">
      <x:c r="A331" t="str">
        <x:v>DOS-4-008</x:v>
      </x:c>
      <x:c r="B331" t="n">
        <x:v>4</x:v>
      </x:c>
      <x:c r="C331" t="str">
        <x:v>41-63 71ST STREET, WOODSIDE, NY, 11377, US</x:v>
      </x:c>
      <x:c r="D331" t="str">
        <x:v>SOLO REAL ESTATE MGMT LLC</x:v>
      </x:c>
      <x:c r="E331" t="str">
        <x:v>SOLO REAL ESTATE MGMT. LLC</x:v>
      </x:c>
      <x:c r="F331" t="str">
        <x:v>Active name match</x:v>
      </x:c>
      <x:c r="G331" t="n">
        <x:v>1</x:v>
      </x:c>
      <x:c r="H331" t="n">
        <x:v>1</x:v>
      </x:c>
      <x:c r="I331" t="str">
        <x:v>4109915</x:v>
      </x:c>
      <x:c r="J331" t="str">
        <x:v>SOLO REAL ESTATE MGMT. LLC</x:v>
      </x:c>
      <x:c r="K331" s="55" t="n">
        <x:v>40716</x:v>
      </x:c>
      <x:c r="L331" t="str">
        <x:v>Queens</x:v>
      </x:c>
      <x:c r="M331" t="str">
        <x:v>New York</x:v>
      </x:c>
      <x:c r="N331" t="str">
        <x:v>DOMESTIC LIMITED LIABILITY COMPANY</x:v>
      </x:c>
      <x:c r="O331" t="str">
        <x:v>ANTONIO DI SAVERIO</x:v>
      </x:c>
      <x:c r="P331" t="str">
        <x:v>41-63 71 STREET, WOODSIDE, NY, 11377</x:v>
      </x:c>
      <x:c r="Q331" t="str"/>
      <x:c r="R331" t="str"/>
      <x:c r="S331" t="str"/>
      <x:c r="T331" t="str"/>
      <x:c r="U331" t="str"/>
      <x:c r="V331" t="str"/>
      <x:c r="W331" t="str"/>
      <x:c r="X331" t="str"/>
      <x:c r="Y331" t="str">
        <x:v>https://data.ny.gov/Economic-Development/Active-Corporations-Beginning-1800/n9v6-gdp6</x:v>
      </x:c>
    </x:row>
    <x:row r="332">
      <x:c r="A332" t="str">
        <x:v>DOS-4-008</x:v>
      </x:c>
      <x:c r="B332" t="n">
        <x:v>4</x:v>
      </x:c>
      <x:c r="C332" t="str">
        <x:v>41-63 71ST STREET, WOODSIDE, NY, 11377, US</x:v>
      </x:c>
      <x:c r="D332" t="str">
        <x:v>TERRA CONSTRUCT MGMT LLC</x:v>
      </x:c>
      <x:c r="E332" t="str">
        <x:v>TERRA CONSTRUCT MGMT LLC</x:v>
      </x:c>
      <x:c r="F332" t="str">
        <x:v>Address-corroborated active match</x:v>
      </x:c>
      <x:c r="G332" t="n">
        <x:v>1</x:v>
      </x:c>
      <x:c r="H332" t="n">
        <x:v>2</x:v>
      </x:c>
      <x:c r="I332" t="str">
        <x:v>6728752</x:v>
      </x:c>
      <x:c r="J332" t="str">
        <x:v>TERRA CONSTRUCT MGMT LLC</x:v>
      </x:c>
      <x:c r="K332" s="55" t="n">
        <x:v>44967</x:v>
      </x:c>
      <x:c r="L332" t="str">
        <x:v>Queens</x:v>
      </x:c>
      <x:c r="M332" t="str">
        <x:v>New York</x:v>
      </x:c>
      <x:c r="N332" t="str">
        <x:v>DOMESTIC LIMITED LIABILITY COMPANY</x:v>
      </x:c>
      <x:c r="O332" t="str">
        <x:v>TERRA CONSTRUCT MGMT LLC</x:v>
      </x:c>
      <x:c r="P332" t="str">
        <x:v>41-63 71ST STREET, WOODSIDE, NY, 11377</x:v>
      </x:c>
      <x:c r="Q332" t="str"/>
      <x:c r="R332" t="str"/>
      <x:c r="S332" t="str"/>
      <x:c r="T332" t="str"/>
      <x:c r="U332" t="str"/>
      <x:c r="V332" t="str"/>
      <x:c r="W332" t="str"/>
      <x:c r="X332" t="str"/>
      <x:c r="Y332" t="str">
        <x:v>https://data.ny.gov/Economic-Development/Active-Corporations-Beginning-1800/n9v6-gdp6</x:v>
      </x:c>
    </x:row>
    <x:row r="333">
      <x:c r="A333" t="str">
        <x:v>DOS-4-008</x:v>
      </x:c>
      <x:c r="B333" t="n">
        <x:v>4</x:v>
      </x:c>
      <x:c r="C333" t="str">
        <x:v>41-63 71ST STREET, WOODSIDE, NY, 11377, US</x:v>
      </x:c>
      <x:c r="D333" t="str">
        <x:v>TOTO MGMT LLC</x:v>
      </x:c>
      <x:c r="E333" t="str">
        <x:v>TOTO MGMT LLC</x:v>
      </x:c>
      <x:c r="F333" t="str">
        <x:v>Address-corroborated active match</x:v>
      </x:c>
      <x:c r="G333" t="n">
        <x:v>1</x:v>
      </x:c>
      <x:c r="H333" t="n">
        <x:v>2</x:v>
      </x:c>
      <x:c r="I333" t="str">
        <x:v>5073397</x:v>
      </x:c>
      <x:c r="J333" t="str">
        <x:v>TOTO MGMT LLC</x:v>
      </x:c>
      <x:c r="K333" s="55" t="n">
        <x:v>42759</x:v>
      </x:c>
      <x:c r="L333" t="str">
        <x:v>Queens</x:v>
      </x:c>
      <x:c r="M333" t="str">
        <x:v>New York</x:v>
      </x:c>
      <x:c r="N333" t="str">
        <x:v>DOMESTIC LIMITED LIABILITY COMPANY</x:v>
      </x:c>
      <x:c r="O333" t="str">
        <x:v>ANTONIO DISAVERIO</x:v>
      </x:c>
      <x:c r="P333" t="str">
        <x:v>41-63 71ST STREET, WOODSIDE, NY, 11377</x:v>
      </x:c>
      <x:c r="Q333" t="str"/>
      <x:c r="R333" t="str"/>
      <x:c r="S333" t="str"/>
      <x:c r="T333" t="str"/>
      <x:c r="U333" t="str"/>
      <x:c r="V333" t="str"/>
      <x:c r="W333" t="str"/>
      <x:c r="X333" t="str"/>
      <x:c r="Y333" t="str">
        <x:v>https://data.ny.gov/Economic-Development/Active-Corporations-Beginning-1800/n9v6-gdp6</x:v>
      </x:c>
    </x:row>
    <x:row r="334">
      <x:c r="A334" t="str">
        <x:v>DOS-4-009</x:v>
      </x:c>
      <x:c r="B334" t="n">
        <x:v>4</x:v>
      </x:c>
      <x:c r="C334" t="str">
        <x:v>3 COLUMBUS CIRCLE, 23RD FLOOR, NEW YORK, NY, 10019, US</x:v>
      </x:c>
      <x:c r="D334" t="str">
        <x:v>147 WEST 24TH OWNER LLC</x:v>
      </x:c>
      <x:c r="E334" t="str">
        <x:v>147 WEST 24TH OWNER LLC</x:v>
      </x:c>
      <x:c r="F334" t="str">
        <x:v>Active name match</x:v>
      </x:c>
      <x:c r="G334" t="n">
        <x:v>1</x:v>
      </x:c>
      <x:c r="H334" t="n">
        <x:v>1</x:v>
      </x:c>
      <x:c r="I334" t="str">
        <x:v>5161435</x:v>
      </x:c>
      <x:c r="J334" t="str">
        <x:v>147 WEST 24TH OWNER LLC</x:v>
      </x:c>
      <x:c r="K334" s="55" t="n">
        <x:v>42913</x:v>
      </x:c>
      <x:c r="L334" t="str">
        <x:v>New York</x:v>
      </x:c>
      <x:c r="M334" t="str">
        <x:v>Delaware</x:v>
      </x:c>
      <x:c r="N334" t="str">
        <x:v>FOREIGN LIMITED LIABILITY COMPANY</x:v>
      </x:c>
      <x:c r="O334" t="str">
        <x:v>147 WEST 24TH OWNER LLC</x:v>
      </x:c>
      <x:c r="P334" t="str">
        <x:v>3 COLUMBUS CIR, FL 26, NEW YORK, NY, 10019</x:v>
      </x:c>
      <x:c r="Q334" t="str"/>
      <x:c r="R334" t="str"/>
      <x:c r="S334" t="str">
        <x:v>UNITED CORPORATE SERVICES, INC.</x:v>
      </x:c>
      <x:c r="T334" t="str">
        <x:v>10 BANK STREET, SUITE 560, WHITE PLAINS, NEW YORK, 10606</x:v>
      </x:c>
      <x:c r="U334" t="str"/>
      <x:c r="V334" t="str"/>
      <x:c r="W334" t="str"/>
      <x:c r="X334" t="str"/>
      <x:c r="Y334" t="str">
        <x:v>https://data.ny.gov/Economic-Development/Active-Corporations-Beginning-1800/n9v6-gdp6</x:v>
      </x:c>
    </x:row>
    <x:row r="335">
      <x:c r="A335" t="str">
        <x:v>DOS-4-009</x:v>
      </x:c>
      <x:c r="B335" t="n">
        <x:v>4</x:v>
      </x:c>
      <x:c r="C335" t="str">
        <x:v>3 COLUMBUS CIRCLE, 23RD FLOOR, NEW YORK, NY, 10019, US</x:v>
      </x:c>
      <x:c r="D335" t="str">
        <x:v>3 COLUMBUS CIRCLE LLC SERIES A</x:v>
      </x:c>
      <x:c r="E335" t="str">
        <x:v>3 COLUMBUS CIRCLE LLC SERIES A</x:v>
      </x:c>
      <x:c r="F335" t="str">
        <x:v>No active DOS match</x:v>
      </x:c>
      <x:c r="G335" t="n">
        <x:v>0</x:v>
      </x:c>
      <x:c r="H335" t="n">
        <x:v>0</x:v>
      </x:c>
      <x:c r="I335" t="str"/>
      <x:c r="J335" t="str"/>
      <x:c r="K335" s="55" t="str"/>
      <x:c r="L335" t="str"/>
      <x:c r="M335" t="str"/>
      <x:c r="N335" t="str"/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>
        <x:v>https://data.ny.gov/Economic-Development/Active-Corporations-Beginning-1800/n9v6-gdp6</x:v>
      </x:c>
    </x:row>
    <x:row r="336">
      <x:c r="A336" t="str">
        <x:v>DOS-4-009</x:v>
      </x:c>
      <x:c r="B336" t="n">
        <x:v>4</x:v>
      </x:c>
      <x:c r="C336" t="str">
        <x:v>3 COLUMBUS CIRCLE, 23RD FLOOR, NEW YORK, NY, 10019, US</x:v>
      </x:c>
      <x:c r="D336" t="str">
        <x:v>37 39 WEST 17TH OWNER LLC</x:v>
      </x:c>
      <x:c r="E336" t="str">
        <x:v>37-39 WEST 17TH OWNER LLC</x:v>
      </x:c>
      <x:c r="F336" t="str">
        <x:v>Active name match</x:v>
      </x:c>
      <x:c r="G336" t="n">
        <x:v>1</x:v>
      </x:c>
      <x:c r="H336" t="n">
        <x:v>1</x:v>
      </x:c>
      <x:c r="I336" t="str">
        <x:v>5161445</x:v>
      </x:c>
      <x:c r="J336" t="str">
        <x:v>37-39 WEST 17TH OWNER LLC</x:v>
      </x:c>
      <x:c r="K336" s="55" t="n">
        <x:v>42913</x:v>
      </x:c>
      <x:c r="L336" t="str">
        <x:v>New York</x:v>
      </x:c>
      <x:c r="M336" t="str">
        <x:v>Delaware</x:v>
      </x:c>
      <x:c r="N336" t="str">
        <x:v>FOREIGN LIMITED LIABILITY COMPANY</x:v>
      </x:c>
      <x:c r="O336" t="str">
        <x:v>37-39 WEST 17TH OWNER LLC</x:v>
      </x:c>
      <x:c r="P336" t="str">
        <x:v>3 COLUMBUS CIR, FL 26, NEW YORK, NY, 10019</x:v>
      </x:c>
      <x:c r="Q336" t="str"/>
      <x:c r="R336" t="str"/>
      <x:c r="S336" t="str">
        <x:v>UNITED CORPORATE SERVICES, INC.</x:v>
      </x:c>
      <x:c r="T336" t="str">
        <x:v>10 BANK STREET, SUITE 560, WHITE PLAINS, NEW YORK, 10606</x:v>
      </x:c>
      <x:c r="U336" t="str"/>
      <x:c r="V336" t="str"/>
      <x:c r="W336" t="str"/>
      <x:c r="X336" t="str"/>
      <x:c r="Y336" t="str">
        <x:v>https://data.ny.gov/Economic-Development/Active-Corporations-Beginning-1800/n9v6-gdp6</x:v>
      </x:c>
    </x:row>
    <x:row r="337">
      <x:c r="A337" t="str">
        <x:v>DOS-4-009</x:v>
      </x:c>
      <x:c r="B337" t="n">
        <x:v>4</x:v>
      </x:c>
      <x:c r="C337" t="str">
        <x:v>3 COLUMBUS CIRCLE, 23RD FLOOR, NEW YORK, NY, 10019, US</x:v>
      </x:c>
      <x:c r="D337" t="str">
        <x:v>53 55 WEST 21ST OWNER LLC</x:v>
      </x:c>
      <x:c r="E337" t="str">
        <x:v>53-55 WEST 21ST OWNER LLC</x:v>
      </x:c>
      <x:c r="F337" t="str">
        <x:v>Active name match</x:v>
      </x:c>
      <x:c r="G337" t="n">
        <x:v>1</x:v>
      </x:c>
      <x:c r="H337" t="n">
        <x:v>1</x:v>
      </x:c>
      <x:c r="I337" t="str">
        <x:v>5161437</x:v>
      </x:c>
      <x:c r="J337" t="str">
        <x:v>53-55 WEST 21ST OWNER LLC</x:v>
      </x:c>
      <x:c r="K337" s="55" t="n">
        <x:v>42913</x:v>
      </x:c>
      <x:c r="L337" t="str">
        <x:v>New York</x:v>
      </x:c>
      <x:c r="M337" t="str">
        <x:v>Delaware</x:v>
      </x:c>
      <x:c r="N337" t="str">
        <x:v>FOREIGN LIMITED LIABILITY COMPANY</x:v>
      </x:c>
      <x:c r="O337" t="str">
        <x:v>53-55 WEST 21ST OWNER LLC</x:v>
      </x:c>
      <x:c r="P337" t="str">
        <x:v>3 COLUMBUS CIR, FL 26, NEW YORK, NY, 10019</x:v>
      </x:c>
      <x:c r="Q337" t="str"/>
      <x:c r="R337" t="str"/>
      <x:c r="S337" t="str">
        <x:v>UNITED CORPORATE SERVICES, INC.</x:v>
      </x:c>
      <x:c r="T337" t="str">
        <x:v>10 BANK STREET, SUITE 560, WHITE PLAINS, NEW YORK, 10606</x:v>
      </x:c>
      <x:c r="U337" t="str"/>
      <x:c r="V337" t="str"/>
      <x:c r="W337" t="str"/>
      <x:c r="X337" t="str"/>
      <x:c r="Y337" t="str">
        <x:v>https://data.ny.gov/Economic-Development/Active-Corporations-Beginning-1800/n9v6-gdp6</x:v>
      </x:c>
    </x:row>
    <x:row r="338">
      <x:c r="A338" t="str">
        <x:v>DOS-4-010</x:v>
      </x:c>
      <x:c r="B338" t="n">
        <x:v>4</x:v>
      </x:c>
      <x:c r="C338" t="str">
        <x:v>805 THIRD AVENUE, 7TH FLOOR, NEW YORK, NY, 10022, US</x:v>
      </x:c>
      <x:c r="D338" t="str">
        <x:v>350 EAST 86 LLC</x:v>
      </x:c>
      <x:c r="E338" t="str">
        <x:v>350 EAST 86 LLC</x:v>
      </x:c>
      <x:c r="F338" t="str">
        <x:v>Active name match</x:v>
      </x:c>
      <x:c r="G338" t="n">
        <x:v>1</x:v>
      </x:c>
      <x:c r="H338" t="n">
        <x:v>0</x:v>
      </x:c>
      <x:c r="I338" t="str">
        <x:v>4965961</x:v>
      </x:c>
      <x:c r="J338" t="str">
        <x:v>350 EAST 86 LLC</x:v>
      </x:c>
      <x:c r="K338" s="55" t="n">
        <x:v>42542</x:v>
      </x:c>
      <x:c r="L338" t="str">
        <x:v>New York</x:v>
      </x:c>
      <x:c r="M338" t="str">
        <x:v>Delaware</x:v>
      </x:c>
      <x:c r="N338" t="str">
        <x:v>FOREIGN LIMITED LIABILITY COMPANY</x:v>
      </x:c>
      <x:c r="O338" t="str">
        <x:v>C T CORPORATION SYSTEM</x:v>
      </x:c>
      <x:c r="P338" t="str">
        <x:v>28 LIBERTY ST., NEW YORK, NY, 10005</x:v>
      </x:c>
      <x:c r="Q338" t="str"/>
      <x:c r="R338" t="str"/>
      <x:c r="S338" t="str"/>
      <x:c r="T338" t="str"/>
      <x:c r="U338" t="str"/>
      <x:c r="V338" t="str"/>
      <x:c r="W338" t="str"/>
      <x:c r="X338" t="str"/>
      <x:c r="Y338" t="str">
        <x:v>https://data.ny.gov/Economic-Development/Active-Corporations-Beginning-1800/n9v6-gdp6</x:v>
      </x:c>
    </x:row>
    <x:row r="339">
      <x:c r="A339" t="str">
        <x:v>DOS-4-010</x:v>
      </x:c>
      <x:c r="B339" t="n">
        <x:v>4</x:v>
      </x:c>
      <x:c r="C339" t="str">
        <x:v>805 THIRD AVENUE, 7TH FLOOR, NEW YORK, NY, 10022, US</x:v>
      </x:c>
      <x:c r="D339" t="str">
        <x:v>46 47 OWNER LLC</x:v>
      </x:c>
      <x:c r="E339" t="str">
        <x:v>46/47 OWNER LLC</x:v>
      </x:c>
      <x:c r="F339" t="str">
        <x:v>Active name match</x:v>
      </x:c>
      <x:c r="G339" t="n">
        <x:v>1</x:v>
      </x:c>
      <x:c r="H339" t="n">
        <x:v>0</x:v>
      </x:c>
      <x:c r="I339" t="str">
        <x:v>4784033</x:v>
      </x:c>
      <x:c r="J339" t="str">
        <x:v>46/47 OWNER LLC</x:v>
      </x:c>
      <x:c r="K339" s="55" t="n">
        <x:v>42187</x:v>
      </x:c>
      <x:c r="L339" t="str">
        <x:v>New York</x:v>
      </x:c>
      <x:c r="M339" t="str">
        <x:v>Delaware</x:v>
      </x:c>
      <x:c r="N339" t="str">
        <x:v>FOREIGN LIMITED LIABILITY COMPANY</x:v>
      </x:c>
      <x:c r="O339" t="str">
        <x:v>C T CORPORATION SYSTEM</x:v>
      </x:c>
      <x:c r="P339" t="str">
        <x:v>28 LIBERTY ST., NEW YORK, NY, 10005</x:v>
      </x:c>
      <x:c r="Q339" t="str"/>
      <x:c r="R339" t="str"/>
      <x:c r="S339" t="str"/>
      <x:c r="T339" t="str"/>
      <x:c r="U339" t="str"/>
      <x:c r="V339" t="str"/>
      <x:c r="W339" t="str"/>
      <x:c r="X339" t="str"/>
      <x:c r="Y339" t="str">
        <x:v>https://data.ny.gov/Economic-Development/Active-Corporations-Beginning-1800/n9v6-gdp6</x:v>
      </x:c>
    </x:row>
    <x:row r="340">
      <x:c r="A340" t="str">
        <x:v>DOS-4-010</x:v>
      </x:c>
      <x:c r="B340" t="n">
        <x:v>4</x:v>
      </x:c>
      <x:c r="C340" t="str">
        <x:v>805 THIRD AVENUE, 7TH FLOOR, NEW YORK, NY, 10022, US</x:v>
      </x:c>
      <x:c r="D340" t="str">
        <x:v>655 MADISON LLC</x:v>
      </x:c>
      <x:c r="E340" t="str">
        <x:v>655 MADISON LLC</x:v>
      </x:c>
      <x:c r="F340" t="str">
        <x:v>Active name match</x:v>
      </x:c>
      <x:c r="G340" t="n">
        <x:v>1</x:v>
      </x:c>
      <x:c r="H340" t="n">
        <x:v>0</x:v>
      </x:c>
      <x:c r="I340" t="str">
        <x:v>7421405</x:v>
      </x:c>
      <x:c r="J340" t="str">
        <x:v>655 MADISON LLC</x:v>
      </x:c>
      <x:c r="K340" s="55" t="n">
        <x:v>45551</x:v>
      </x:c>
      <x:c r="L340" t="str">
        <x:v>New York</x:v>
      </x:c>
      <x:c r="M340" t="str">
        <x:v>Delaware</x:v>
      </x:c>
      <x:c r="N340" t="str">
        <x:v>FOREIGN LIMITED LIABILITY COMPANY</x:v>
      </x:c>
      <x:c r="O340" t="str">
        <x:v>C/O C T CORPORATION SYSTEM</x:v>
      </x:c>
      <x:c r="P340" t="str">
        <x:v>28 LIBERTY STREET, NEW YORK, NY, 10005</x:v>
      </x:c>
      <x:c r="Q340" t="str"/>
      <x:c r="R340" t="str"/>
      <x:c r="S340" t="str">
        <x:v>C T CORPORATION SYSTEM</x:v>
      </x:c>
      <x:c r="T340" t="str">
        <x:v>28 LIBERTY STREET, NEW YORK, NEW YORK, 10005</x:v>
      </x:c>
      <x:c r="U340" t="str"/>
      <x:c r="V340" t="str"/>
      <x:c r="W340" t="str"/>
      <x:c r="X340" t="str"/>
      <x:c r="Y340" t="str">
        <x:v>https://data.ny.gov/Economic-Development/Active-Corporations-Beginning-1800/n9v6-gdp6</x:v>
      </x:c>
    </x:row>
    <x:row r="341">
      <x:c r="A341" t="str">
        <x:v>DOS-4-010</x:v>
      </x:c>
      <x:c r="B341" t="n">
        <x:v>4</x:v>
      </x:c>
      <x:c r="C341" t="str">
        <x:v>805 THIRD AVENUE, 7TH FLOOR, NEW YORK, NY, 10022, US</x:v>
      </x:c>
      <x:c r="D341" t="str">
        <x:v>CLINTON PB HOLDINGS I LLC</x:v>
      </x:c>
      <x:c r="E341" t="str">
        <x:v>CLINTON PB HOLDINGS I LLC</x:v>
      </x:c>
      <x:c r="F341" t="str">
        <x:v>Active name match</x:v>
      </x:c>
      <x:c r="G341" t="n">
        <x:v>1</x:v>
      </x:c>
      <x:c r="H341" t="n">
        <x:v>0</x:v>
      </x:c>
      <x:c r="I341" t="str">
        <x:v>6469038</x:v>
      </x:c>
      <x:c r="J341" t="str">
        <x:v>CLINTON PB HOLDINGS I LLC</x:v>
      </x:c>
      <x:c r="K341" s="55" t="n">
        <x:v>44678</x:v>
      </x:c>
      <x:c r="L341" t="str">
        <x:v>New York</x:v>
      </x:c>
      <x:c r="M341" t="str">
        <x:v>Delaware</x:v>
      </x:c>
      <x:c r="N341" t="str">
        <x:v>FOREIGN LIMITED LIABILITY COMPANY</x:v>
      </x:c>
      <x:c r="O341" t="str">
        <x:v>C T CORPORATION SYSTEM</x:v>
      </x:c>
      <x:c r="P341" t="str">
        <x:v>28 LIBERTY STREET, NEW YORK, NY, 10005</x:v>
      </x:c>
      <x:c r="Q341" t="str"/>
      <x:c r="R341" t="str"/>
      <x:c r="S341" t="str">
        <x:v>C T CORPORATION SYSTEM</x:v>
      </x:c>
      <x:c r="T341" t="str">
        <x:v>28 LIBERTY STREET, NEW YORK, NEW YORK, 10005</x:v>
      </x:c>
      <x:c r="U341" t="str"/>
      <x:c r="V341" t="str"/>
      <x:c r="W341" t="str"/>
      <x:c r="X341" t="str"/>
      <x:c r="Y341" t="str">
        <x:v>https://data.ny.gov/Economic-Development/Active-Corporations-Beginning-1800/n9v6-gdp6</x:v>
      </x:c>
    </x:row>
    <x:row r="342">
      <x:c r="A342" t="str">
        <x:v>DOS-4-011</x:v>
      </x:c>
      <x:c r="B342" t="n">
        <x:v>4</x:v>
      </x:c>
      <x:c r="C342" t="str">
        <x:v>87-01 56TH AVENUE, ELMHURST, NY, 11373, US</x:v>
      </x:c>
      <x:c r="D342" t="str">
        <x:v>8701 56 AVE LLC</x:v>
      </x:c>
      <x:c r="E342" t="str">
        <x:v>8701 56 AVE LLC</x:v>
      </x:c>
      <x:c r="F342" t="str">
        <x:v>Active name match</x:v>
      </x:c>
      <x:c r="G342" t="n">
        <x:v>1</x:v>
      </x:c>
      <x:c r="H342" t="n">
        <x:v>1</x:v>
      </x:c>
      <x:c r="I342" t="str">
        <x:v>7257986</x:v>
      </x:c>
      <x:c r="J342" t="str">
        <x:v>8701 56 AVE LLC</x:v>
      </x:c>
      <x:c r="K342" s="55" t="n">
        <x:v>45341</x:v>
      </x:c>
      <x:c r="L342" t="str">
        <x:v>Queens</x:v>
      </x:c>
      <x:c r="M342" t="str">
        <x:v>New York</x:v>
      </x:c>
      <x:c r="N342" t="str">
        <x:v>DOMESTIC LIMITED LIABILITY COMPANY</x:v>
      </x:c>
      <x:c r="O342" t="str">
        <x:v>8701 56 AVE LLC</x:v>
      </x:c>
      <x:c r="P342" t="str">
        <x:v>87-14 55th Ave, Elmhurst, NY, 11373</x:v>
      </x:c>
      <x:c r="Q342" t="str"/>
      <x:c r="R342" t="str"/>
      <x:c r="S342" t="str"/>
      <x:c r="T342" t="str"/>
      <x:c r="U342" t="str"/>
      <x:c r="V342" t="str"/>
      <x:c r="W342" t="str"/>
      <x:c r="X342" t="str"/>
      <x:c r="Y342" t="str">
        <x:v>https://data.ny.gov/Economic-Development/Active-Corporations-Beginning-1800/n9v6-gdp6</x:v>
      </x:c>
    </x:row>
    <x:row r="343">
      <x:c r="A343" t="str">
        <x:v>DOS-4-011</x:v>
      </x:c>
      <x:c r="B343" t="n">
        <x:v>4</x:v>
      </x:c>
      <x:c r="C343" t="str">
        <x:v>87-01 56TH AVENUE, ELMHURST, NY, 11373, US</x:v>
      </x:c>
      <x:c r="D343" t="str">
        <x:v>W AND K GLOBAL REALTY LLC</x:v>
      </x:c>
      <x:c r="E343" t="str">
        <x:v>W&amp;K GLOBAL REALTY LLC</x:v>
      </x:c>
      <x:c r="F343" t="str">
        <x:v>Active name match</x:v>
      </x:c>
      <x:c r="G343" t="n">
        <x:v>1</x:v>
      </x:c>
      <x:c r="H343" t="n">
        <x:v>0</x:v>
      </x:c>
      <x:c r="I343" t="str">
        <x:v>4276802</x:v>
      </x:c>
      <x:c r="J343" t="str">
        <x:v>W&amp;K GLOBAL REALTY LLC</x:v>
      </x:c>
      <x:c r="K343" s="55" t="n">
        <x:v>41120</x:v>
      </x:c>
      <x:c r="L343" t="str">
        <x:v>Queens</x:v>
      </x:c>
      <x:c r="M343" t="str">
        <x:v>New York</x:v>
      </x:c>
      <x:c r="N343" t="str">
        <x:v>DOMESTIC LIMITED LIABILITY COMPANY</x:v>
      </x:c>
      <x:c r="O343" t="str">
        <x:v>W&amp;K GLOBAL REALTY LLC</x:v>
      </x:c>
      <x:c r="P343" t="str">
        <x:v>C/O CAPITAL HOME REALTY, INC., 37-01 MAIN ST, STE 310, FLUSHING, NY, 11354</x:v>
      </x:c>
      <x:c r="Q343" t="str"/>
      <x:c r="R343" t="str"/>
      <x:c r="S343" t="str"/>
      <x:c r="T343" t="str"/>
      <x:c r="U343" t="str"/>
      <x:c r="V343" t="str"/>
      <x:c r="W343" t="str"/>
      <x:c r="X343" t="str"/>
      <x:c r="Y343" t="str">
        <x:v>https://data.ny.gov/Economic-Development/Active-Corporations-Beginning-1800/n9v6-gdp6</x:v>
      </x:c>
    </x:row>
    <x:row r="344">
      <x:c r="A344" t="str">
        <x:v>DOS-4-011</x:v>
      </x:c>
      <x:c r="B344" t="n">
        <x:v>4</x:v>
      </x:c>
      <x:c r="C344" t="str">
        <x:v>87-01 56TH AVENUE, ELMHURST, NY, 11373, US</x:v>
      </x:c>
      <x:c r="D344" t="str">
        <x:v>W AND W GRAND CENTERS LLC</x:v>
      </x:c>
      <x:c r="E344" t="str">
        <x:v>W &amp; W GRAND CENTERS, LLC</x:v>
      </x:c>
      <x:c r="F344" t="str">
        <x:v>Active name match</x:v>
      </x:c>
      <x:c r="G344" t="n">
        <x:v>1</x:v>
      </x:c>
      <x:c r="H344" t="n">
        <x:v>0</x:v>
      </x:c>
      <x:c r="I344" t="str">
        <x:v>3608278</x:v>
      </x:c>
      <x:c r="J344" t="str">
        <x:v>W &amp; W GRAND CENTERS, LLC</x:v>
      </x:c>
      <x:c r="K344" s="55" t="n">
        <x:v>39437</x:v>
      </x:c>
      <x:c r="L344" t="str">
        <x:v>New York</x:v>
      </x:c>
      <x:c r="M344" t="str">
        <x:v>New York</x:v>
      </x:c>
      <x:c r="N344" t="str">
        <x:v>DOMESTIC LIMITED LIABILITY COMPANY</x:v>
      </x:c>
      <x:c r="O344" t="str">
        <x:v>W &amp; W GRAND CENTERS, LLC</x:v>
      </x:c>
      <x:c r="P344" t="str">
        <x:v>139 CENTRE STREET, UNIT 215, NEW YORK, NY, 10013</x:v>
      </x:c>
      <x:c r="Q344" t="str"/>
      <x:c r="R344" t="str"/>
      <x:c r="S344" t="str"/>
      <x:c r="T344" t="str"/>
      <x:c r="U344" t="str"/>
      <x:c r="V344" t="str"/>
      <x:c r="W344" t="str"/>
      <x:c r="X344" t="str"/>
      <x:c r="Y344" t="str">
        <x:v>https://data.ny.gov/Economic-Development/Active-Corporations-Beginning-1800/n9v6-gdp6</x:v>
      </x:c>
    </x:row>
    <x:row r="345">
      <x:c r="A345" t="str">
        <x:v>DOS-4-011</x:v>
      </x:c>
      <x:c r="B345" t="n">
        <x:v>4</x:v>
      </x:c>
      <x:c r="C345" t="str">
        <x:v>87-01 56TH AVENUE, ELMHURST, NY, 11373, US</x:v>
      </x:c>
      <x:c r="D345" t="str">
        <x:v>W AND W GRAND QUEENS LLC</x:v>
      </x:c>
      <x:c r="E345" t="str">
        <x:v>W &amp; W GRAND QUEENS L.L.C.</x:v>
      </x:c>
      <x:c r="F345" t="str">
        <x:v>Address-corroborated active match</x:v>
      </x:c>
      <x:c r="G345" t="n">
        <x:v>1</x:v>
      </x:c>
      <x:c r="H345" t="n">
        <x:v>2</x:v>
      </x:c>
      <x:c r="I345" t="str">
        <x:v>3173436</x:v>
      </x:c>
      <x:c r="J345" t="str">
        <x:v>W &amp; W GRAND QUEENS L.L.C.</x:v>
      </x:c>
      <x:c r="K345" s="55" t="n">
        <x:v>38418</x:v>
      </x:c>
      <x:c r="L345" t="str">
        <x:v>Queens</x:v>
      </x:c>
      <x:c r="M345" t="str">
        <x:v>New York</x:v>
      </x:c>
      <x:c r="N345" t="str">
        <x:v>DOMESTIC LIMITED LIABILITY COMPANY</x:v>
      </x:c>
      <x:c r="O345" t="str">
        <x:v>YAN WANG</x:v>
      </x:c>
      <x:c r="P345" t="str">
        <x:v>87-01 56TH AVENUE, ELMHURST, NY, 11373</x:v>
      </x:c>
      <x:c r="Q345" t="str"/>
      <x:c r="R345" t="str"/>
      <x:c r="S345" t="str"/>
      <x:c r="T345" t="str"/>
      <x:c r="U345" t="str"/>
      <x:c r="V345" t="str"/>
      <x:c r="W345" t="str"/>
      <x:c r="X345" t="str"/>
      <x:c r="Y345" t="str">
        <x:v>https://data.ny.gov/Economic-Development/Active-Corporations-Beginning-1800/n9v6-gdp6</x:v>
      </x:c>
    </x:row>
    <x:row r="346">
      <x:c r="A346" t="str">
        <x:v>DOS-4-012</x:v>
      </x:c>
      <x:c r="B346" t="n">
        <x:v>4</x:v>
      </x:c>
      <x:c r="C346" t="str">
        <x:v>150 GREAT NECK ROAD SUITE 402, GREAT NECK, NY, 11021, US | 150 GREAT NECK ROAD, SUITE #402, GREAT NECK, NY, 11021, US | 150 GREAT NECK ROAD, SUITE 402, GREAT NECK, NY, 11021, US</x:v>
      </x:c>
      <x:c r="D346" t="str">
        <x:v>1240 HANCOCK LLC</x:v>
      </x:c>
      <x:c r="E346" t="str">
        <x:v>1240 HANCOCK LLC</x:v>
      </x:c>
      <x:c r="F346" t="str">
        <x:v>Active name match</x:v>
      </x:c>
      <x:c r="G346" t="n">
        <x:v>1</x:v>
      </x:c>
      <x:c r="H346" t="n">
        <x:v>0</x:v>
      </x:c>
      <x:c r="I346" t="str">
        <x:v>5070683</x:v>
      </x:c>
      <x:c r="J346" t="str">
        <x:v>1240 HANCOCK LLC</x:v>
      </x:c>
      <x:c r="K346" s="55" t="n">
        <x:v>42754</x:v>
      </x:c>
      <x:c r="L346" t="str">
        <x:v>Nassau</x:v>
      </x:c>
      <x:c r="M346" t="str">
        <x:v>New York</x:v>
      </x:c>
      <x:c r="N346" t="str">
        <x:v>DOMESTIC LIMITED LIABILITY COMPANY</x:v>
      </x:c>
      <x:c r="O346" t="str">
        <x:v>1240 HANCOCK LLC</x:v>
      </x:c>
      <x:c r="P346" t="str">
        <x:v>711 Stewart Ave Suite 100, garden city, NY, 11530</x:v>
      </x:c>
      <x:c r="Q346" t="str"/>
      <x:c r="R346" t="str"/>
      <x:c r="S346" t="str"/>
      <x:c r="T346" t="str"/>
      <x:c r="U346" t="str"/>
      <x:c r="V346" t="str"/>
      <x:c r="W346" t="str"/>
      <x:c r="X346" t="str"/>
      <x:c r="Y346" t="str">
        <x:v>https://data.ny.gov/Economic-Development/Active-Corporations-Beginning-1800/n9v6-gdp6</x:v>
      </x:c>
    </x:row>
    <x:row r="347">
      <x:c r="A347" t="str">
        <x:v>DOS-4-012</x:v>
      </x:c>
      <x:c r="B347" t="n">
        <x:v>4</x:v>
      </x:c>
      <x:c r="C347" t="str">
        <x:v>150 GREAT NECK ROAD SUITE 402, GREAT NECK, NY, 11021, US | 150 GREAT NECK ROAD, SUITE #402, GREAT NECK, NY, 11021, US | 150 GREAT NECK ROAD, SUITE 402, GREAT NECK, NY, 11021, US</x:v>
      </x:c>
      <x:c r="D347" t="str">
        <x:v>714 SENECA REALTY LLC</x:v>
      </x:c>
      <x:c r="E347" t="str">
        <x:v>714 SENECA REALTY LLC</x:v>
      </x:c>
      <x:c r="F347" t="str">
        <x:v>Active name match</x:v>
      </x:c>
      <x:c r="G347" t="n">
        <x:v>1</x:v>
      </x:c>
      <x:c r="H347" t="n">
        <x:v>0</x:v>
      </x:c>
      <x:c r="I347" t="str">
        <x:v>4641651</x:v>
      </x:c>
      <x:c r="J347" t="str">
        <x:v>714 SENECA REALTY LLC</x:v>
      </x:c>
      <x:c r="K347" s="55" t="n">
        <x:v>41906</x:v>
      </x:c>
      <x:c r="L347" t="str">
        <x:v>Nassau</x:v>
      </x:c>
      <x:c r="M347" t="str">
        <x:v>New York</x:v>
      </x:c>
      <x:c r="N347" t="str">
        <x:v>DOMESTIC LIMITED LIABILITY COMPANY</x:v>
      </x:c>
      <x:c r="O347" t="str">
        <x:v>714 SENECA REALTY LLC</x:v>
      </x:c>
      <x:c r="P347" t="str">
        <x:v>711 Stewart Ave Suite 100, garden city, NY, 11530</x:v>
      </x:c>
      <x:c r="Q347" t="str"/>
      <x:c r="R347" t="str"/>
      <x:c r="S347" t="str"/>
      <x:c r="T347" t="str"/>
      <x:c r="U347" t="str"/>
      <x:c r="V347" t="str"/>
      <x:c r="W347" t="str"/>
      <x:c r="X347" t="str"/>
      <x:c r="Y347" t="str">
        <x:v>https://data.ny.gov/Economic-Development/Active-Corporations-Beginning-1800/n9v6-gdp6</x:v>
      </x:c>
    </x:row>
    <x:row r="348">
      <x:c r="A348" t="str">
        <x:v>DOS-4-012</x:v>
      </x:c>
      <x:c r="B348" t="n">
        <x:v>4</x:v>
      </x:c>
      <x:c r="C348" t="str">
        <x:v>150 GREAT NECK ROAD SUITE 402, GREAT NECK, NY, 11021, US | 150 GREAT NECK ROAD, SUITE #402, GREAT NECK, NY, 11021, US | 150 GREAT NECK ROAD, SUITE 402, GREAT NECK, NY, 11021, US</x:v>
      </x:c>
      <x:c r="D348" t="str">
        <x:v>822 KNICKERBOCKER LLC</x:v>
      </x:c>
      <x:c r="E348" t="str">
        <x:v>822 KNICKERBOCKER LLC</x:v>
      </x:c>
      <x:c r="F348" t="str">
        <x:v>Active name match</x:v>
      </x:c>
      <x:c r="G348" t="n">
        <x:v>1</x:v>
      </x:c>
      <x:c r="H348" t="n">
        <x:v>0</x:v>
      </x:c>
      <x:c r="I348" t="str">
        <x:v>4568468</x:v>
      </x:c>
      <x:c r="J348" t="str">
        <x:v>822 KNICKERBOCKER LLC</x:v>
      </x:c>
      <x:c r="K348" s="55" t="n">
        <x:v>41757</x:v>
      </x:c>
      <x:c r="L348" t="str">
        <x:v>Kings</x:v>
      </x:c>
      <x:c r="M348" t="str">
        <x:v>New York</x:v>
      </x:c>
      <x:c r="N348" t="str">
        <x:v>DOMESTIC LIMITED LIABILITY COMPANY</x:v>
      </x:c>
      <x:c r="O348" t="str">
        <x:v>BRG 250 LLC</x:v>
      </x:c>
      <x:c r="P348" t="str">
        <x:v>711 Stewart Ave Suite 100, garden city, NY, 11530</x:v>
      </x:c>
      <x:c r="Q348" t="str"/>
      <x:c r="R348" t="str"/>
      <x:c r="S348" t="str"/>
      <x:c r="T348" t="str"/>
      <x:c r="U348" t="str"/>
      <x:c r="V348" t="str"/>
      <x:c r="W348" t="str"/>
      <x:c r="X348" t="str"/>
      <x:c r="Y348" t="str">
        <x:v>https://data.ny.gov/Economic-Development/Active-Corporations-Beginning-1800/n9v6-gdp6</x:v>
      </x:c>
    </x:row>
    <x:row r="349">
      <x:c r="A349" t="str">
        <x:v>DOS-4-012</x:v>
      </x:c>
      <x:c r="B349" t="n">
        <x:v>4</x:v>
      </x:c>
      <x:c r="C349" t="str">
        <x:v>150 GREAT NECK ROAD SUITE 402, GREAT NECK, NY, 11021, US | 150 GREAT NECK ROAD, SUITE #402, GREAT NECK, NY, 11021, US | 150 GREAT NECK ROAD, SUITE 402, GREAT NECK, NY, 11021, US</x:v>
      </x:c>
      <x:c r="D349" t="str">
        <x:v>BLEECKER GROUP LLC</x:v>
      </x:c>
      <x:c r="E349" t="str">
        <x:v>BLEECKER GROUP LLC</x:v>
      </x:c>
      <x:c r="F349" t="str">
        <x:v>Active name match</x:v>
      </x:c>
      <x:c r="G349" t="n">
        <x:v>1</x:v>
      </x:c>
      <x:c r="H349" t="n">
        <x:v>0</x:v>
      </x:c>
      <x:c r="I349" t="str">
        <x:v>4283050</x:v>
      </x:c>
      <x:c r="J349" t="str">
        <x:v>BLEECKER GROUP LLC</x:v>
      </x:c>
      <x:c r="K349" s="55" t="n">
        <x:v>41135</x:v>
      </x:c>
      <x:c r="L349" t="str">
        <x:v>Kings</x:v>
      </x:c>
      <x:c r="M349" t="str">
        <x:v>New York</x:v>
      </x:c>
      <x:c r="N349" t="str">
        <x:v>DOMESTIC LIMITED LIABILITY COMPANY</x:v>
      </x:c>
      <x:c r="O349" t="str">
        <x:v>BLEECKER GROUP LLC</x:v>
      </x:c>
      <x:c r="P349" t="str">
        <x:v>711 STEWART AVE, SUITE 100, GARDEN CITY, NY, 11530</x:v>
      </x:c>
      <x:c r="Q349" t="str"/>
      <x:c r="R349" t="str"/>
      <x:c r="S349" t="str"/>
      <x:c r="T349" t="str"/>
      <x:c r="U349" t="str"/>
      <x:c r="V349" t="str"/>
      <x:c r="W349" t="str"/>
      <x:c r="X349" t="str"/>
      <x:c r="Y349" t="str">
        <x:v>https://data.ny.gov/Economic-Development/Active-Corporations-Beginning-1800/n9v6-gdp6</x:v>
      </x:c>
    </x:row>
    <x:row r="350">
      <x:c r="A350" t="str">
        <x:v>DOS-4-013</x:v>
      </x:c>
      <x:c r="B350" t="n">
        <x:v>4</x:v>
      </x:c>
      <x:c r="C350" t="str">
        <x:v>203 PARK LANE, DOUGLASTON, NY, 11363, US</x:v>
      </x:c>
      <x:c r="D350" t="str">
        <x:v>30TH AVENUE EAST ELMHURST LLC</x:v>
      </x:c>
      <x:c r="E350" t="str">
        <x:v>30TH AVENUE EAST ELMHURST LLC</x:v>
      </x:c>
      <x:c r="F350" t="str">
        <x:v>Address-corroborated active match</x:v>
      </x:c>
      <x:c r="G350" t="n">
        <x:v>1</x:v>
      </x:c>
      <x:c r="H350" t="n">
        <x:v>2</x:v>
      </x:c>
      <x:c r="I350" t="str">
        <x:v>7867009</x:v>
      </x:c>
      <x:c r="J350" t="str">
        <x:v>30TH AVENUE EAST ELMHURST LLC</x:v>
      </x:c>
      <x:c r="K350" s="55" t="n">
        <x:v>46104</x:v>
      </x:c>
      <x:c r="L350" t="str">
        <x:v>Queens</x:v>
      </x:c>
      <x:c r="M350" t="str">
        <x:v>New York</x:v>
      </x:c>
      <x:c r="N350" t="str">
        <x:v>DOMESTIC LIMITED LIABILITY COMPANY</x:v>
      </x:c>
      <x:c r="O350" t="str">
        <x:v>30TH AVENUE EAST ELMHURST LLC</x:v>
      </x:c>
      <x:c r="P350" t="str">
        <x:v>203 park lane, LITTLE NECK, NY, 11363</x:v>
      </x:c>
      <x:c r="Q350" t="str"/>
      <x:c r="R350" t="str"/>
      <x:c r="S350" t="str"/>
      <x:c r="T350" t="str"/>
      <x:c r="U350" t="str"/>
      <x:c r="V350" t="str"/>
      <x:c r="W350" t="str"/>
      <x:c r="X350" t="str"/>
      <x:c r="Y350" t="str">
        <x:v>https://data.ny.gov/Economic-Development/Active-Corporations-Beginning-1800/n9v6-gdp6</x:v>
      </x:c>
    </x:row>
    <x:row r="351">
      <x:c r="A351" t="str">
        <x:v>DOS-4-013</x:v>
      </x:c>
      <x:c r="B351" t="n">
        <x:v>4</x:v>
      </x:c>
      <x:c r="C351" t="str">
        <x:v>203 PARK LANE, DOUGLASTON, NY, 11363, US</x:v>
      </x:c>
      <x:c r="D351" t="str">
        <x:v>59TH STREET WOODSIDE LLC</x:v>
      </x:c>
      <x:c r="E351" t="str">
        <x:v>59TH STREET WOODSIDE LLC</x:v>
      </x:c>
      <x:c r="F351" t="str">
        <x:v>Active name match</x:v>
      </x:c>
      <x:c r="G351" t="n">
        <x:v>1</x:v>
      </x:c>
      <x:c r="H351" t="n">
        <x:v>0</x:v>
      </x:c>
      <x:c r="I351" t="str">
        <x:v>5148989</x:v>
      </x:c>
      <x:c r="J351" t="str">
        <x:v>59TH STREET WOODSIDE LLC</x:v>
      </x:c>
      <x:c r="K351" s="55" t="n">
        <x:v>42892</x:v>
      </x:c>
      <x:c r="L351" t="str">
        <x:v>Queens</x:v>
      </x:c>
      <x:c r="M351" t="str">
        <x:v>New York</x:v>
      </x:c>
      <x:c r="N351" t="str">
        <x:v>DOMESTIC LIMITED LIABILITY COMPANY</x:v>
      </x:c>
      <x:c r="O351" t="str">
        <x:v>59TH STREET WOODSIDE LLC</x:v>
      </x:c>
      <x:c r="P351" t="str">
        <x:v>61-18 77TH PLACE, MIDDLE VILLAGE, NY, 11379</x:v>
      </x:c>
      <x:c r="Q351" t="str"/>
      <x:c r="R351" t="str"/>
      <x:c r="S351" t="str"/>
      <x:c r="T351" t="str"/>
      <x:c r="U351" t="str"/>
      <x:c r="V351" t="str"/>
      <x:c r="W351" t="str"/>
      <x:c r="X351" t="str"/>
      <x:c r="Y351" t="str">
        <x:v>https://data.ny.gov/Economic-Development/Active-Corporations-Beginning-1800/n9v6-gdp6</x:v>
      </x:c>
    </x:row>
    <x:row r="352">
      <x:c r="A352" t="str">
        <x:v>DOS-4-013</x:v>
      </x:c>
      <x:c r="B352" t="n">
        <x:v>4</x:v>
      </x:c>
      <x:c r="C352" t="str">
        <x:v>203 PARK LANE, DOUGLASTON, NY, 11363, US</x:v>
      </x:c>
      <x:c r="D352" t="str">
        <x:v>77TH STREET ELMHURST LLC</x:v>
      </x:c>
      <x:c r="E352" t="str">
        <x:v>77TH STREET ELMHURST LLC</x:v>
      </x:c>
      <x:c r="F352" t="str">
        <x:v>No active DOS match</x:v>
      </x:c>
      <x:c r="G352" t="n">
        <x:v>0</x:v>
      </x:c>
      <x:c r="H352" t="n">
        <x:v>0</x:v>
      </x:c>
      <x:c r="I352" t="str"/>
      <x:c r="J352" t="str"/>
      <x:c r="K352" s="55" t="str"/>
      <x:c r="L352" t="str"/>
      <x:c r="M352" t="str"/>
      <x:c r="N352" t="str"/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>
        <x:v>https://data.ny.gov/Economic-Development/Active-Corporations-Beginning-1800/n9v6-gdp6</x:v>
      </x:c>
    </x:row>
    <x:row r="353">
      <x:c r="A353" t="str">
        <x:v>DOS-4-013</x:v>
      </x:c>
      <x:c r="B353" t="n">
        <x:v>4</x:v>
      </x:c>
      <x:c r="C353" t="str">
        <x:v>203 PARK LANE, DOUGLASTON, NY, 11363, US</x:v>
      </x:c>
      <x:c r="D353" t="str">
        <x:v>WOODSIDE NORTH LLC</x:v>
      </x:c>
      <x:c r="E353" t="str">
        <x:v>WOODSIDE NORTH LLC</x:v>
      </x:c>
      <x:c r="F353" t="str">
        <x:v>Active name match</x:v>
      </x:c>
      <x:c r="G353" t="n">
        <x:v>1</x:v>
      </x:c>
      <x:c r="H353" t="n">
        <x:v>0</x:v>
      </x:c>
      <x:c r="I353" t="str">
        <x:v>5452751</x:v>
      </x:c>
      <x:c r="J353" t="str">
        <x:v>WOODSIDE NORTH LLC</x:v>
      </x:c>
      <x:c r="K353" s="55" t="n">
        <x:v>43438</x:v>
      </x:c>
      <x:c r="L353" t="str">
        <x:v>New York</x:v>
      </x:c>
      <x:c r="M353" t="str">
        <x:v>New York</x:v>
      </x:c>
      <x:c r="N353" t="str">
        <x:v>DOMESTIC LIMITED LIABILITY COMPANY</x:v>
      </x:c>
      <x:c r="O353" t="str">
        <x:v>JONES LAW FIRM, P.C.</x:v>
      </x:c>
      <x:c r="P353" t="str">
        <x:v>450 7TH AVE, SUITE 1408, NEW YORK, NY, 10123</x:v>
      </x:c>
      <x:c r="Q353" t="str"/>
      <x:c r="R353" t="str"/>
      <x:c r="S353" t="str"/>
      <x:c r="T353" t="str"/>
      <x:c r="U353" t="str"/>
      <x:c r="V353" t="str"/>
      <x:c r="W353" t="str"/>
      <x:c r="X353" t="str"/>
      <x:c r="Y353" t="str">
        <x:v>https://data.ny.gov/Economic-Development/Active-Corporations-Beginning-1800/n9v6-gdp6</x:v>
      </x:c>
    </x:row>
    <x:row r="354">
      <x:c r="A354" t="str">
        <x:v>DOS-4-014</x:v>
      </x:c>
      <x:c r="B354" t="n">
        <x:v>4</x:v>
      </x:c>
      <x:c r="C354" t="str">
        <x:v>58-51 MASPETH AVENUE, MASPETH, NY, 11378, US</x:v>
      </x:c>
      <x:c r="D354" t="str">
        <x:v>KH MAIN STREET REALTY LLC</x:v>
      </x:c>
      <x:c r="E354" t="str">
        <x:v>KH MAIN STREET REALTY LLC</x:v>
      </x:c>
      <x:c r="F354" t="str">
        <x:v>Active name match</x:v>
      </x:c>
      <x:c r="G354" t="n">
        <x:v>1</x:v>
      </x:c>
      <x:c r="H354" t="n">
        <x:v>1</x:v>
      </x:c>
      <x:c r="I354" t="str">
        <x:v>7154797</x:v>
      </x:c>
      <x:c r="J354" t="str">
        <x:v>KH MAIN STREET REALTY LLC</x:v>
      </x:c>
      <x:c r="K354" s="55" t="n">
        <x:v>45209</x:v>
      </x:c>
      <x:c r="L354" t="str">
        <x:v>Queens</x:v>
      </x:c>
      <x:c r="M354" t="str">
        <x:v>New York</x:v>
      </x:c>
      <x:c r="N354" t="str">
        <x:v>DOMESTIC LIMITED LIABILITY COMPANY</x:v>
      </x:c>
      <x:c r="O354" t="str">
        <x:v>KH Main Street Realty LLC</x:v>
      </x:c>
      <x:c r="P354" t="str">
        <x:v>5851 Maspeth Ave, Maspeth, NY, 11378</x:v>
      </x:c>
      <x:c r="Q354" t="str"/>
      <x:c r="R354" t="str"/>
      <x:c r="S354" t="str"/>
      <x:c r="T354" t="str"/>
      <x:c r="U354" t="str"/>
      <x:c r="V354" t="str"/>
      <x:c r="W354" t="str"/>
      <x:c r="X354" t="str"/>
      <x:c r="Y354" t="str">
        <x:v>https://data.ny.gov/Economic-Development/Active-Corporations-Beginning-1800/n9v6-gdp6</x:v>
      </x:c>
    </x:row>
    <x:row r="355">
      <x:c r="A355" t="str">
        <x:v>DOS-4-014</x:v>
      </x:c>
      <x:c r="B355" t="n">
        <x:v>4</x:v>
      </x:c>
      <x:c r="C355" t="str">
        <x:v>58-51 MASPETH AVENUE, MASPETH, NY, 11378, US</x:v>
      </x:c>
      <x:c r="D355" t="str">
        <x:v>KH REALTY OF FLUSHING LLC</x:v>
      </x:c>
      <x:c r="E355" t="str">
        <x:v>KH REALTY OF FLUSHING LLC</x:v>
      </x:c>
      <x:c r="F355" t="str">
        <x:v>Active name match</x:v>
      </x:c>
      <x:c r="G355" t="n">
        <x:v>1</x:v>
      </x:c>
      <x:c r="H355" t="n">
        <x:v>0</x:v>
      </x:c>
      <x:c r="I355" t="str">
        <x:v>6557308</x:v>
      </x:c>
      <x:c r="J355" t="str">
        <x:v>KH REALTY OF FLUSHING LLC</x:v>
      </x:c>
      <x:c r="K355" s="55" t="n">
        <x:v>44780</x:v>
      </x:c>
      <x:c r="L355" t="str">
        <x:v>Queens</x:v>
      </x:c>
      <x:c r="M355" t="str">
        <x:v>New York</x:v>
      </x:c>
      <x:c r="N355" t="str">
        <x:v>DOMESTIC LIMITED LIABILITY COMPANY</x:v>
      </x:c>
      <x:c r="O355" t="str">
        <x:v>KUAN HE WU</x:v>
      </x:c>
      <x:c r="P355" t="str">
        <x:v>134-48 Blossom Ave, Suite 4A, Flushing, NY, 11355</x:v>
      </x:c>
      <x:c r="Q355" t="str"/>
      <x:c r="R355" t="str"/>
      <x:c r="S355" t="str"/>
      <x:c r="T355" t="str"/>
      <x:c r="U355" t="str"/>
      <x:c r="V355" t="str"/>
      <x:c r="W355" t="str"/>
      <x:c r="X355" t="str"/>
      <x:c r="Y355" t="str">
        <x:v>https://data.ny.gov/Economic-Development/Active-Corporations-Beginning-1800/n9v6-gdp6</x:v>
      </x:c>
    </x:row>
    <x:row r="356">
      <x:c r="A356" t="str">
        <x:v>DOS-4-014</x:v>
      </x:c>
      <x:c r="B356" t="n">
        <x:v>4</x:v>
      </x:c>
      <x:c r="C356" t="str">
        <x:v>58-51 MASPETH AVENUE, MASPETH, NY, 11378, US</x:v>
      </x:c>
      <x:c r="D356" t="str">
        <x:v>KHW MAIN STREET REALTY LLC</x:v>
      </x:c>
      <x:c r="E356" t="str">
        <x:v>KHW MAIN STREET REALTY LLC</x:v>
      </x:c>
      <x:c r="F356" t="str">
        <x:v>Address-corroborated active match</x:v>
      </x:c>
      <x:c r="G356" t="n">
        <x:v>1</x:v>
      </x:c>
      <x:c r="H356" t="n">
        <x:v>2</x:v>
      </x:c>
      <x:c r="I356" t="str">
        <x:v>7396434</x:v>
      </x:c>
      <x:c r="J356" t="str">
        <x:v>KHW MAIN STREET REALTY LLC</x:v>
      </x:c>
      <x:c r="K356" s="55" t="n">
        <x:v>45517</x:v>
      </x:c>
      <x:c r="L356" t="str">
        <x:v>Queens</x:v>
      </x:c>
      <x:c r="M356" t="str">
        <x:v>New York</x:v>
      </x:c>
      <x:c r="N356" t="str">
        <x:v>DOMESTIC LIMITED LIABILITY COMPANY</x:v>
      </x:c>
      <x:c r="O356" t="str">
        <x:v>KHW MAIN STREET REALTY LLC</x:v>
      </x:c>
      <x:c r="P356" t="str">
        <x:v>58-51 MASPETH AVENUE, MASPETH, NY, 11378</x:v>
      </x:c>
      <x:c r="Q356" t="str"/>
      <x:c r="R356" t="str"/>
      <x:c r="S356" t="str"/>
      <x:c r="T356" t="str"/>
      <x:c r="U356" t="str"/>
      <x:c r="V356" t="str"/>
      <x:c r="W356" t="str"/>
      <x:c r="X356" t="str"/>
      <x:c r="Y356" t="str">
        <x:v>https://data.ny.gov/Economic-Development/Active-Corporations-Beginning-1800/n9v6-gdp6</x:v>
      </x:c>
    </x:row>
    <x:row r="357">
      <x:c r="A357" t="str">
        <x:v>DOS-4-014</x:v>
      </x:c>
      <x:c r="B357" t="n">
        <x:v>4</x:v>
      </x:c>
      <x:c r="C357" t="str">
        <x:v>58-51 MASPETH AVENUE, MASPETH, NY, 11378, US</x:v>
      </x:c>
      <x:c r="D357" t="str">
        <x:v>KHW REALTY OF FLUSHING LLC</x:v>
      </x:c>
      <x:c r="E357" t="str">
        <x:v>KHW REALTY OF FLUSHING LLC</x:v>
      </x:c>
      <x:c r="F357" t="str">
        <x:v>Address-corroborated active match</x:v>
      </x:c>
      <x:c r="G357" t="n">
        <x:v>1</x:v>
      </x:c>
      <x:c r="H357" t="n">
        <x:v>2</x:v>
      </x:c>
      <x:c r="I357" t="str">
        <x:v>7396459</x:v>
      </x:c>
      <x:c r="J357" t="str">
        <x:v>KHW REALTY OF FLUSHING LLC</x:v>
      </x:c>
      <x:c r="K357" s="55" t="n">
        <x:v>45517</x:v>
      </x:c>
      <x:c r="L357" t="str">
        <x:v>Queens</x:v>
      </x:c>
      <x:c r="M357" t="str">
        <x:v>New York</x:v>
      </x:c>
      <x:c r="N357" t="str">
        <x:v>DOMESTIC LIMITED LIABILITY COMPANY</x:v>
      </x:c>
      <x:c r="O357" t="str">
        <x:v>KHW REALTY OF FLUSHING LLC</x:v>
      </x:c>
      <x:c r="P357" t="str">
        <x:v>58-51 MASPETH AVENUE, MASPETH, NY, 11378</x:v>
      </x:c>
      <x:c r="Q357" t="str"/>
      <x:c r="R357" t="str"/>
      <x:c r="S357" t="str"/>
      <x:c r="T357" t="str"/>
      <x:c r="U357" t="str"/>
      <x:c r="V357" t="str"/>
      <x:c r="W357" t="str"/>
      <x:c r="X357" t="str"/>
      <x:c r="Y357" t="str">
        <x:v>https://data.ny.gov/Economic-Development/Active-Corporations-Beginning-1800/n9v6-gdp6</x:v>
      </x:c>
    </x:row>
    <x:row r="358">
      <x:c r="A358" t="str">
        <x:v>DOS-4-015</x:v>
      </x:c>
      <x:c r="B358" t="n">
        <x:v>4</x:v>
      </x:c>
      <x:c r="C358" t="str">
        <x:v>141-18 CHERRY AVENUE, #1A, FLUSHING, NY, 11355, US | 141-18 CHERRY AVENUE, 1A, FLUSHING, NY, 11355, US</x:v>
      </x:c>
      <x:c r="D358" t="str">
        <x:v>138 NORTHERN LLC</x:v>
      </x:c>
      <x:c r="E358" t="str">
        <x:v>138 NORTHERN LLC</x:v>
      </x:c>
      <x:c r="F358" t="str">
        <x:v>Active name match</x:v>
      </x:c>
      <x:c r="G358" t="n">
        <x:v>1</x:v>
      </x:c>
      <x:c r="H358" t="n">
        <x:v>1</x:v>
      </x:c>
      <x:c r="I358" t="str">
        <x:v>6220939</x:v>
      </x:c>
      <x:c r="J358" t="str">
        <x:v>138 NORTHERN LLC</x:v>
      </x:c>
      <x:c r="K358" s="55" t="n">
        <x:v>44392</x:v>
      </x:c>
      <x:c r="L358" t="str">
        <x:v>Queens</x:v>
      </x:c>
      <x:c r="M358" t="str">
        <x:v>New York</x:v>
      </x:c>
      <x:c r="N358" t="str">
        <x:v>DOMESTIC LIMITED LIABILITY COMPANY</x:v>
      </x:c>
      <x:c r="O358" t="str">
        <x:v>138 NORTHERN LLC</x:v>
      </x:c>
      <x:c r="P358" t="str">
        <x:v>141-18 CHERRY AVE #1A, FLUSHING, NY, 11355</x:v>
      </x:c>
      <x:c r="Q358" t="str"/>
      <x:c r="R358" t="str"/>
      <x:c r="S358" t="str"/>
      <x:c r="T358" t="str"/>
      <x:c r="U358" t="str"/>
      <x:c r="V358" t="str"/>
      <x:c r="W358" t="str"/>
      <x:c r="X358" t="str"/>
      <x:c r="Y358" t="str">
        <x:v>https://data.ny.gov/Economic-Development/Active-Corporations-Beginning-1800/n9v6-gdp6</x:v>
      </x:c>
    </x:row>
    <x:row r="359">
      <x:c r="A359" t="str">
        <x:v>DOS-4-015</x:v>
      </x:c>
      <x:c r="B359" t="n">
        <x:v>4</x:v>
      </x:c>
      <x:c r="C359" t="str">
        <x:v>141-18 CHERRY AVENUE, #1A, FLUSHING, NY, 11355, US | 141-18 CHERRY AVENUE, 1A, FLUSHING, NY, 11355, US</x:v>
      </x:c>
      <x:c r="D359" t="str">
        <x:v>146 GROUP LLC</x:v>
      </x:c>
      <x:c r="E359" t="str">
        <x:v>146 GROUP LLC</x:v>
      </x:c>
      <x:c r="F359" t="str">
        <x:v>Active name match</x:v>
      </x:c>
      <x:c r="G359" t="n">
        <x:v>1</x:v>
      </x:c>
      <x:c r="H359" t="n">
        <x:v>1</x:v>
      </x:c>
      <x:c r="I359" t="str">
        <x:v>7223446</x:v>
      </x:c>
      <x:c r="J359" t="str">
        <x:v>146 GROUP LLC</x:v>
      </x:c>
      <x:c r="K359" s="55" t="n">
        <x:v>45299</x:v>
      </x:c>
      <x:c r="L359" t="str">
        <x:v>Queens</x:v>
      </x:c>
      <x:c r="M359" t="str">
        <x:v>New York</x:v>
      </x:c>
      <x:c r="N359" t="str">
        <x:v>DOMESTIC LIMITED LIABILITY COMPANY</x:v>
      </x:c>
      <x:c r="O359" t="str">
        <x:v>146 GROUP LLC</x:v>
      </x:c>
      <x:c r="P359" t="str">
        <x:v>141-18 Cherry Avenue, Suite 1A, Flushng, NY, 11355</x:v>
      </x:c>
      <x:c r="Q359" t="str"/>
      <x:c r="R359" t="str"/>
      <x:c r="S359" t="str"/>
      <x:c r="T359" t="str"/>
      <x:c r="U359" t="str"/>
      <x:c r="V359" t="str"/>
      <x:c r="W359" t="str"/>
      <x:c r="X359" t="str"/>
      <x:c r="Y359" t="str">
        <x:v>https://data.ny.gov/Economic-Development/Active-Corporations-Beginning-1800/n9v6-gdp6</x:v>
      </x:c>
    </x:row>
    <x:row r="360">
      <x:c r="A360" t="str">
        <x:v>DOS-4-015</x:v>
      </x:c>
      <x:c r="B360" t="n">
        <x:v>4</x:v>
      </x:c>
      <x:c r="C360" t="str">
        <x:v>141-18 CHERRY AVENUE, #1A, FLUSHING, NY, 11355, US | 141-18 CHERRY AVENUE, 1A, FLUSHING, NY, 11355, US</x:v>
      </x:c>
      <x:c r="D360" t="str">
        <x:v>191 QUEENS LLC</x:v>
      </x:c>
      <x:c r="E360" t="str">
        <x:v>191 QUEENS LLC</x:v>
      </x:c>
      <x:c r="F360" t="str">
        <x:v>Active name match</x:v>
      </x:c>
      <x:c r="G360" t="n">
        <x:v>1</x:v>
      </x:c>
      <x:c r="H360" t="n">
        <x:v>1</x:v>
      </x:c>
      <x:c r="I360" t="str">
        <x:v>5067432</x:v>
      </x:c>
      <x:c r="J360" t="str">
        <x:v>191 QUEENS LLC</x:v>
      </x:c>
      <x:c r="K360" s="55" t="n">
        <x:v>42747</x:v>
      </x:c>
      <x:c r="L360" t="str">
        <x:v>Queens</x:v>
      </x:c>
      <x:c r="M360" t="str">
        <x:v>New York</x:v>
      </x:c>
      <x:c r="N360" t="str">
        <x:v>DOMESTIC LIMITED LIABILITY COMPANY</x:v>
      </x:c>
      <x:c r="O360" t="str">
        <x:v>191 QUEENS LLC</x:v>
      </x:c>
      <x:c r="P360" t="str">
        <x:v>141-18 CHERRY AVE #1A, FLUSHING, NY, 11355</x:v>
      </x:c>
      <x:c r="Q360" t="str"/>
      <x:c r="R360" t="str"/>
      <x:c r="S360" t="str"/>
      <x:c r="T360" t="str"/>
      <x:c r="U360" t="str"/>
      <x:c r="V360" t="str"/>
      <x:c r="W360" t="str"/>
      <x:c r="X360" t="str"/>
      <x:c r="Y360" t="str">
        <x:v>https://data.ny.gov/Economic-Development/Active-Corporations-Beginning-1800/n9v6-gdp6</x:v>
      </x:c>
    </x:row>
    <x:row r="361">
      <x:c r="A361" t="str">
        <x:v>DOS-4-015</x:v>
      </x:c>
      <x:c r="B361" t="n">
        <x:v>4</x:v>
      </x:c>
      <x:c r="C361" t="str">
        <x:v>141-18 CHERRY AVENUE, #1A, FLUSHING, NY, 11355, US | 141-18 CHERRY AVENUE, 1A, FLUSHING, NY, 11355, US</x:v>
      </x:c>
      <x:c r="D361" t="str">
        <x:v>NY KEY LLC</x:v>
      </x:c>
      <x:c r="E361" t="str">
        <x:v>NY KEY LLC</x:v>
      </x:c>
      <x:c r="F361" t="str">
        <x:v>Active name match</x:v>
      </x:c>
      <x:c r="G361" t="n">
        <x:v>1</x:v>
      </x:c>
      <x:c r="H361" t="n">
        <x:v>1</x:v>
      </x:c>
      <x:c r="I361" t="str">
        <x:v>6243413</x:v>
      </x:c>
      <x:c r="J361" t="str">
        <x:v>NY KEY LLC</x:v>
      </x:c>
      <x:c r="K361" s="55" t="n">
        <x:v>44421</x:v>
      </x:c>
      <x:c r="L361" t="str">
        <x:v>Queens</x:v>
      </x:c>
      <x:c r="M361" t="str">
        <x:v>New York</x:v>
      </x:c>
      <x:c r="N361" t="str">
        <x:v>DOMESTIC LIMITED LIABILITY COMPANY</x:v>
      </x:c>
      <x:c r="O361" t="str">
        <x:v>CHUN MIN KWOK</x:v>
      </x:c>
      <x:c r="P361" t="str">
        <x:v>141-18 CHERRY AVE 1A, FLUSHING, NY, 11355</x:v>
      </x:c>
      <x:c r="Q361" t="str"/>
      <x:c r="R361" t="str"/>
      <x:c r="S361" t="str"/>
      <x:c r="T361" t="str"/>
      <x:c r="U361" t="str"/>
      <x:c r="V361" t="str"/>
      <x:c r="W361" t="str"/>
      <x:c r="X361" t="str"/>
      <x:c r="Y361" t="str">
        <x:v>https://data.ny.gov/Economic-Development/Active-Corporations-Beginning-1800/n9v6-gdp6</x:v>
      </x:c>
    </x:row>
    <x:row r="362">
      <x:c r="A362" t="str">
        <x:v>DOS-4-016</x:v>
      </x:c>
      <x:c r="B362" t="n">
        <x:v>4</x:v>
      </x:c>
      <x:c r="C362" t="str">
        <x:v>107 82ND STREET, BROOKLYN, NY, 11209, US</x:v>
      </x:c>
      <x:c r="D362" t="str">
        <x:v>33 W 63 NY LLC</x:v>
      </x:c>
      <x:c r="E362" t="str">
        <x:v>33 W. 63 NY LLC</x:v>
      </x:c>
      <x:c r="F362" t="str">
        <x:v>Address-corroborated active match</x:v>
      </x:c>
      <x:c r="G362" t="n">
        <x:v>1</x:v>
      </x:c>
      <x:c r="H362" t="n">
        <x:v>2</x:v>
      </x:c>
      <x:c r="I362" t="str">
        <x:v>3997052</x:v>
      </x:c>
      <x:c r="J362" t="str">
        <x:v>33 W. 63 NY LLC</x:v>
      </x:c>
      <x:c r="K362" s="55" t="n">
        <x:v>40438</x:v>
      </x:c>
      <x:c r="L362" t="str">
        <x:v>Kings</x:v>
      </x:c>
      <x:c r="M362" t="str">
        <x:v>New York</x:v>
      </x:c>
      <x:c r="N362" t="str">
        <x:v>DOMESTIC LIMITED LIABILITY COMPANY</x:v>
      </x:c>
      <x:c r="O362" t="str">
        <x:v>33 W. 63 NY LLC</x:v>
      </x:c>
      <x:c r="P362" t="str">
        <x:v>107 82ND ST., BROOKLYN, NY, 11209</x:v>
      </x:c>
      <x:c r="Q362" t="str"/>
      <x:c r="R362" t="str"/>
      <x:c r="S362" t="str"/>
      <x:c r="T362" t="str"/>
      <x:c r="U362" t="str"/>
      <x:c r="V362" t="str"/>
      <x:c r="W362" t="str"/>
      <x:c r="X362" t="str"/>
      <x:c r="Y362" t="str">
        <x:v>https://data.ny.gov/Economic-Development/Active-Corporations-Beginning-1800/n9v6-gdp6</x:v>
      </x:c>
    </x:row>
    <x:row r="363">
      <x:c r="A363" t="str">
        <x:v>DOS-4-016</x:v>
      </x:c>
      <x:c r="B363" t="n">
        <x:v>4</x:v>
      </x:c>
      <x:c r="C363" t="str">
        <x:v>107 82ND STREET, BROOKLYN, NY, 11209, US</x:v>
      </x:c>
      <x:c r="D363" t="str">
        <x:v>390 BUTLER LLC</x:v>
      </x:c>
      <x:c r="E363" t="str">
        <x:v>390 BUTLER LLC</x:v>
      </x:c>
      <x:c r="F363" t="str">
        <x:v>Address-corroborated active match</x:v>
      </x:c>
      <x:c r="G363" t="n">
        <x:v>1</x:v>
      </x:c>
      <x:c r="H363" t="n">
        <x:v>2</x:v>
      </x:c>
      <x:c r="I363" t="str">
        <x:v>5205736</x:v>
      </x:c>
      <x:c r="J363" t="str">
        <x:v>390 BUTLER LLC</x:v>
      </x:c>
      <x:c r="K363" s="55" t="n">
        <x:v>42999</x:v>
      </x:c>
      <x:c r="L363" t="str">
        <x:v>Kings</x:v>
      </x:c>
      <x:c r="M363" t="str">
        <x:v>New York</x:v>
      </x:c>
      <x:c r="N363" t="str">
        <x:v>DOMESTIC LIMITED LIABILITY COMPANY</x:v>
      </x:c>
      <x:c r="O363" t="str">
        <x:v>390 BUTLER LLC</x:v>
      </x:c>
      <x:c r="P363" t="str">
        <x:v>107 82ND ST., BROOKLYN, NY, 11209</x:v>
      </x:c>
      <x:c r="Q363" t="str"/>
      <x:c r="R363" t="str"/>
      <x:c r="S363" t="str"/>
      <x:c r="T363" t="str"/>
      <x:c r="U363" t="str"/>
      <x:c r="V363" t="str"/>
      <x:c r="W363" t="str"/>
      <x:c r="X363" t="str"/>
      <x:c r="Y363" t="str">
        <x:v>https://data.ny.gov/Economic-Development/Active-Corporations-Beginning-1800/n9v6-gdp6</x:v>
      </x:c>
    </x:row>
    <x:row r="364">
      <x:c r="A364" t="str">
        <x:v>DOS-4-016</x:v>
      </x:c>
      <x:c r="B364" t="n">
        <x:v>4</x:v>
      </x:c>
      <x:c r="C364" t="str">
        <x:v>107 82ND STREET, BROOKLYN, NY, 11209, US</x:v>
      </x:c>
      <x:c r="D364" t="str">
        <x:v>FRANCINE REALTY KINGS LLC</x:v>
      </x:c>
      <x:c r="E364" t="str">
        <x:v>FRANCINE REALTY KINGS LLC</x:v>
      </x:c>
      <x:c r="F364" t="str">
        <x:v>Address-corroborated active match</x:v>
      </x:c>
      <x:c r="G364" t="n">
        <x:v>1</x:v>
      </x:c>
      <x:c r="H364" t="n">
        <x:v>2</x:v>
      </x:c>
      <x:c r="I364" t="str">
        <x:v>3283762</x:v>
      </x:c>
      <x:c r="J364" t="str">
        <x:v>FRANCINE REALTY KINGS LLC</x:v>
      </x:c>
      <x:c r="K364" s="55" t="n">
        <x:v>38677</x:v>
      </x:c>
      <x:c r="L364" t="str">
        <x:v>Kings</x:v>
      </x:c>
      <x:c r="M364" t="str">
        <x:v>New York</x:v>
      </x:c>
      <x:c r="N364" t="str">
        <x:v>DOMESTIC LIMITED LIABILITY COMPANY</x:v>
      </x:c>
      <x:c r="O364" t="str">
        <x:v>C/O BRIAN ELGART</x:v>
      </x:c>
      <x:c r="P364" t="str">
        <x:v>107 82ND STREET, BROOKLYN, NY, 11209</x:v>
      </x:c>
      <x:c r="Q364" t="str"/>
      <x:c r="R364" t="str"/>
      <x:c r="S364" t="str"/>
      <x:c r="T364" t="str"/>
      <x:c r="U364" t="str"/>
      <x:c r="V364" t="str"/>
      <x:c r="W364" t="str"/>
      <x:c r="X364" t="str"/>
      <x:c r="Y364" t="str">
        <x:v>https://data.ny.gov/Economic-Development/Active-Corporations-Beginning-1800/n9v6-gdp6</x:v>
      </x:c>
    </x:row>
    <x:row r="365">
      <x:c r="A365" t="str">
        <x:v>DOS-4-016</x:v>
      </x:c>
      <x:c r="B365" t="n">
        <x:v>4</x:v>
      </x:c>
      <x:c r="C365" t="str">
        <x:v>107 82ND STREET, BROOKLYN, NY, 11209, US</x:v>
      </x:c>
      <x:c r="D365" t="str">
        <x:v>FRANCINE REALTY NY LLC</x:v>
      </x:c>
      <x:c r="E365" t="str">
        <x:v>FRANCINE REALTY NY LLC</x:v>
      </x:c>
      <x:c r="F365" t="str">
        <x:v>Address-corroborated active match</x:v>
      </x:c>
      <x:c r="G365" t="n">
        <x:v>1</x:v>
      </x:c>
      <x:c r="H365" t="n">
        <x:v>2</x:v>
      </x:c>
      <x:c r="I365" t="str">
        <x:v>3169878</x:v>
      </x:c>
      <x:c r="J365" t="str">
        <x:v>FRANCINE REALTY NY LLC</x:v>
      </x:c>
      <x:c r="K365" s="55" t="n">
        <x:v>38411</x:v>
      </x:c>
      <x:c r="L365" t="str">
        <x:v>Kings</x:v>
      </x:c>
      <x:c r="M365" t="str">
        <x:v>New York</x:v>
      </x:c>
      <x:c r="N365" t="str">
        <x:v>DOMESTIC LIMITED LIABILITY COMPANY</x:v>
      </x:c>
      <x:c r="O365" t="str">
        <x:v>FRANCINE REALTY NY LLC</x:v>
      </x:c>
      <x:c r="P365" t="str">
        <x:v>107 82ND STREET, BROOKLYN, NY, 11209</x:v>
      </x:c>
      <x:c r="Q365" t="str"/>
      <x:c r="R365" t="str"/>
      <x:c r="S365" t="str"/>
      <x:c r="T365" t="str"/>
      <x:c r="U365" t="str"/>
      <x:c r="V365" t="str"/>
      <x:c r="W365" t="str"/>
      <x:c r="X365" t="str"/>
      <x:c r="Y365" t="str">
        <x:v>https://data.ny.gov/Economic-Development/Active-Corporations-Beginning-1800/n9v6-gdp6</x:v>
      </x:c>
    </x:row>
    <x:row r="366">
      <x:c r="A366" t="str">
        <x:v>DOS-4-017</x:v>
      </x:c>
      <x:c r="B366" t="n">
        <x:v>4</x:v>
      </x:c>
      <x:c r="C366" t="str">
        <x:v>1721 BATH AVENUE, BROOKLYN, NY, 11214, US</x:v>
      </x:c>
      <x:c r="D366" t="str">
        <x:v>2335 BATH AVE LLC</x:v>
      </x:c>
      <x:c r="E366" t="str">
        <x:v>2335 BATH AVE LLC</x:v>
      </x:c>
      <x:c r="F366" t="str">
        <x:v>Active name match</x:v>
      </x:c>
      <x:c r="G366" t="n">
        <x:v>1</x:v>
      </x:c>
      <x:c r="H366" t="n">
        <x:v>0</x:v>
      </x:c>
      <x:c r="I366" t="str">
        <x:v>5008172</x:v>
      </x:c>
      <x:c r="J366" t="str">
        <x:v>2335 BATH AVE LLC</x:v>
      </x:c>
      <x:c r="K366" s="55" t="n">
        <x:v>42627</x:v>
      </x:c>
      <x:c r="L366" t="str">
        <x:v>Kings</x:v>
      </x:c>
      <x:c r="M366" t="str">
        <x:v>New York</x:v>
      </x:c>
      <x:c r="N366" t="str">
        <x:v>DOMESTIC LIMITED LIABILITY COMPANY</x:v>
      </x:c>
      <x:c r="O366" t="str">
        <x:v>2335 BATH AVE LLC</x:v>
      </x:c>
      <x:c r="P366" t="str">
        <x:v>161 KISWICK ST, STATEN ISLAND, NY, 10306</x:v>
      </x:c>
      <x:c r="Q366" t="str"/>
      <x:c r="R366" t="str"/>
      <x:c r="S366" t="str"/>
      <x:c r="T366" t="str"/>
      <x:c r="U366" t="str"/>
      <x:c r="V366" t="str"/>
      <x:c r="W366" t="str"/>
      <x:c r="X366" t="str"/>
      <x:c r="Y366" t="str">
        <x:v>https://data.ny.gov/Economic-Development/Active-Corporations-Beginning-1800/n9v6-gdp6</x:v>
      </x:c>
    </x:row>
    <x:row r="367">
      <x:c r="A367" t="str">
        <x:v>DOS-4-017</x:v>
      </x:c>
      <x:c r="B367" t="n">
        <x:v>4</x:v>
      </x:c>
      <x:c r="C367" t="str">
        <x:v>1721 BATH AVENUE, BROOKLYN, NY, 11214, US</x:v>
      </x:c>
      <x:c r="D367" t="str">
        <x:v>2337 BATH AV LLC</x:v>
      </x:c>
      <x:c r="E367" t="str">
        <x:v>2337 BATH AV LLC</x:v>
      </x:c>
      <x:c r="F367" t="str">
        <x:v>Address-corroborated active match</x:v>
      </x:c>
      <x:c r="G367" t="n">
        <x:v>1</x:v>
      </x:c>
      <x:c r="H367" t="n">
        <x:v>2</x:v>
      </x:c>
      <x:c r="I367" t="str">
        <x:v>4799635</x:v>
      </x:c>
      <x:c r="J367" t="str">
        <x:v>2337 BATH AV LLC</x:v>
      </x:c>
      <x:c r="K367" s="55" t="n">
        <x:v>42220</x:v>
      </x:c>
      <x:c r="L367" t="str">
        <x:v>Kings</x:v>
      </x:c>
      <x:c r="M367" t="str">
        <x:v>New York</x:v>
      </x:c>
      <x:c r="N367" t="str">
        <x:v>DOMESTIC LIMITED LIABILITY COMPANY</x:v>
      </x:c>
      <x:c r="O367" t="str">
        <x:v>2337 BATH AV LLC</x:v>
      </x:c>
      <x:c r="P367" t="str">
        <x:v>1721 BATH AVE, OFFICE, BROOKLYN, NY, 11214</x:v>
      </x:c>
      <x:c r="Q367" t="str"/>
      <x:c r="R367" t="str"/>
      <x:c r="S367" t="str"/>
      <x:c r="T367" t="str"/>
      <x:c r="U367" t="str"/>
      <x:c r="V367" t="str"/>
      <x:c r="W367" t="str"/>
      <x:c r="X367" t="str"/>
      <x:c r="Y367" t="str">
        <x:v>https://data.ny.gov/Economic-Development/Active-Corporations-Beginning-1800/n9v6-gdp6</x:v>
      </x:c>
    </x:row>
    <x:row r="368">
      <x:c r="A368" t="str">
        <x:v>DOS-4-017</x:v>
      </x:c>
      <x:c r="B368" t="n">
        <x:v>4</x:v>
      </x:c>
      <x:c r="C368" t="str">
        <x:v>1721 BATH AVENUE, BROOKLYN, NY, 11214, US</x:v>
      </x:c>
      <x:c r="D368" t="str">
        <x:v>315 WEST 92ND LLC</x:v>
      </x:c>
      <x:c r="E368" t="str">
        <x:v>315 WEST 92ND LLC</x:v>
      </x:c>
      <x:c r="F368" t="str">
        <x:v>Active name match</x:v>
      </x:c>
      <x:c r="G368" t="n">
        <x:v>1</x:v>
      </x:c>
      <x:c r="H368" t="n">
        <x:v>1</x:v>
      </x:c>
      <x:c r="I368" t="str">
        <x:v>7823219</x:v>
      </x:c>
      <x:c r="J368" t="str">
        <x:v>315 WEST 92ND LLC</x:v>
      </x:c>
      <x:c r="K368" s="55" t="n">
        <x:v>46055</x:v>
      </x:c>
      <x:c r="L368" t="str">
        <x:v>Kings</x:v>
      </x:c>
      <x:c r="M368" t="str">
        <x:v>New York</x:v>
      </x:c>
      <x:c r="N368" t="str">
        <x:v>DOMESTIC LIMITED LIABILITY COMPANY</x:v>
      </x:c>
      <x:c r="O368" t="str">
        <x:v>315 WEST 92ND LLC</x:v>
      </x:c>
      <x:c r="P368" t="str">
        <x:v>C/O 1721 BATH AVENUE, BROOKLYN, NY, 11214</x:v>
      </x:c>
      <x:c r="Q368" t="str"/>
      <x:c r="R368" t="str"/>
      <x:c r="S368" t="str"/>
      <x:c r="T368" t="str"/>
      <x:c r="U368" t="str"/>
      <x:c r="V368" t="str"/>
      <x:c r="W368" t="str"/>
      <x:c r="X368" t="str"/>
      <x:c r="Y368" t="str">
        <x:v>https://data.ny.gov/Economic-Development/Active-Corporations-Beginning-1800/n9v6-gdp6</x:v>
      </x:c>
    </x:row>
    <x:row r="369">
      <x:c r="A369" t="str">
        <x:v>DOS-4-017</x:v>
      </x:c>
      <x:c r="B369" t="n">
        <x:v>4</x:v>
      </x:c>
      <x:c r="C369" t="str">
        <x:v>1721 BATH AVENUE, BROOKLYN, NY, 11214, US</x:v>
      </x:c>
      <x:c r="D369" t="str">
        <x:v>8702 8708 18 AVE LLC</x:v>
      </x:c>
      <x:c r="E369" t="str">
        <x:v>8702-8708 18 AVE LLC</x:v>
      </x:c>
      <x:c r="F369" t="str">
        <x:v>Address-corroborated active match</x:v>
      </x:c>
      <x:c r="G369" t="n">
        <x:v>1</x:v>
      </x:c>
      <x:c r="H369" t="n">
        <x:v>2</x:v>
      </x:c>
      <x:c r="I369" t="str">
        <x:v>4682106</x:v>
      </x:c>
      <x:c r="J369" t="str">
        <x:v>8702-8708 18 AVE LLC</x:v>
      </x:c>
      <x:c r="K369" s="55" t="n">
        <x:v>41991</x:v>
      </x:c>
      <x:c r="L369" t="str">
        <x:v>Kings</x:v>
      </x:c>
      <x:c r="M369" t="str">
        <x:v>New York</x:v>
      </x:c>
      <x:c r="N369" t="str">
        <x:v>DOMESTIC LIMITED LIABILITY COMPANY</x:v>
      </x:c>
      <x:c r="O369" t="str">
        <x:v>THE BEGATOR HILA AND ELVIRA EJUPI LIVING TRUST (THE "TRUST")</x:v>
      </x:c>
      <x:c r="P369" t="str">
        <x:v>1721 BATH AVE, OFFICE, BROOKLYN, NY, 11214</x:v>
      </x:c>
      <x:c r="Q369" t="str"/>
      <x:c r="R369" t="str"/>
      <x:c r="S369" t="str"/>
      <x:c r="T369" t="str"/>
      <x:c r="U369" t="str"/>
      <x:c r="V369" t="str"/>
      <x:c r="W369" t="str"/>
      <x:c r="X369" t="str"/>
      <x:c r="Y369" t="str">
        <x:v>https://data.ny.gov/Economic-Development/Active-Corporations-Beginning-1800/n9v6-gdp6</x:v>
      </x:c>
    </x:row>
    <x:row r="370">
      <x:c r="A370" t="str">
        <x:v>DOS-4-018</x:v>
      </x:c>
      <x:c r="B370" t="n">
        <x:v>4</x:v>
      </x:c>
      <x:c r="C370" t="str">
        <x:v>26 HEYWARD STREET, BROOKLYN, NY, 11206, US</x:v>
      </x:c>
      <x:c r="D370" t="str">
        <x:v>PARK LYNCH BA LLC</x:v>
      </x:c>
      <x:c r="E370" t="str">
        <x:v>PARK LYNCH BA LLC</x:v>
      </x:c>
      <x:c r="F370" t="str">
        <x:v>Active name match</x:v>
      </x:c>
      <x:c r="G370" t="n">
        <x:v>1</x:v>
      </x:c>
      <x:c r="H370" t="n">
        <x:v>0</x:v>
      </x:c>
      <x:c r="I370" t="str">
        <x:v>4440494</x:v>
      </x:c>
      <x:c r="J370" t="str">
        <x:v>PARK LYNCH BA, LLC</x:v>
      </x:c>
      <x:c r="K370" s="55" t="n">
        <x:v>41488</x:v>
      </x:c>
      <x:c r="L370" t="str">
        <x:v>Kings</x:v>
      </x:c>
      <x:c r="M370" t="str">
        <x:v>New York</x:v>
      </x:c>
      <x:c r="N370" t="str">
        <x:v>DOMESTIC LIMITED LIABILITY COMPANY</x:v>
      </x:c>
      <x:c r="O370" t="str">
        <x:v>PARK LYNCH BA, LLC</x:v>
      </x:c>
      <x:c r="P370" t="str">
        <x:v>26 HEYWARD STREET, BROOKLYN, NY, 11249</x:v>
      </x:c>
      <x:c r="Q370" t="str"/>
      <x:c r="R370" t="str"/>
      <x:c r="S370" t="str"/>
      <x:c r="T370" t="str"/>
      <x:c r="U370" t="str"/>
      <x:c r="V370" t="str"/>
      <x:c r="W370" t="str"/>
      <x:c r="X370" t="str"/>
      <x:c r="Y370" t="str">
        <x:v>https://data.ny.gov/Economic-Development/Active-Corporations-Beginning-1800/n9v6-gdp6</x:v>
      </x:c>
    </x:row>
    <x:row r="371">
      <x:c r="A371" t="str">
        <x:v>DOS-4-018</x:v>
      </x:c>
      <x:c r="B371" t="n">
        <x:v>4</x:v>
      </x:c>
      <x:c r="C371" t="str">
        <x:v>26 HEYWARD STREET, BROOKLYN, NY, 11206, US</x:v>
      </x:c>
      <x:c r="D371" t="str">
        <x:v>PARK LYNCH FW LLC</x:v>
      </x:c>
      <x:c r="E371" t="str">
        <x:v>PARK LYNCH FW, LLC</x:v>
      </x:c>
      <x:c r="F371" t="str">
        <x:v>Active name match</x:v>
      </x:c>
      <x:c r="G371" t="n">
        <x:v>1</x:v>
      </x:c>
      <x:c r="H371" t="n">
        <x:v>0</x:v>
      </x:c>
      <x:c r="I371" t="str">
        <x:v>4440489</x:v>
      </x:c>
      <x:c r="J371" t="str">
        <x:v>PARK LYNCH FW, LLC</x:v>
      </x:c>
      <x:c r="K371" s="55" t="n">
        <x:v>41488</x:v>
      </x:c>
      <x:c r="L371" t="str">
        <x:v>Kings</x:v>
      </x:c>
      <x:c r="M371" t="str">
        <x:v>New York</x:v>
      </x:c>
      <x:c r="N371" t="str">
        <x:v>DOMESTIC LIMITED LIABILITY COMPANY</x:v>
      </x:c>
      <x:c r="O371" t="str">
        <x:v>PARK LYNCH FW, LLC</x:v>
      </x:c>
      <x:c r="P371" t="str">
        <x:v>26 HEYWARD STREET, BROOKLYN, NY, 11249</x:v>
      </x:c>
      <x:c r="Q371" t="str"/>
      <x:c r="R371" t="str"/>
      <x:c r="S371" t="str"/>
      <x:c r="T371" t="str"/>
      <x:c r="U371" t="str"/>
      <x:c r="V371" t="str"/>
      <x:c r="W371" t="str"/>
      <x:c r="X371" t="str"/>
      <x:c r="Y371" t="str">
        <x:v>https://data.ny.gov/Economic-Development/Active-Corporations-Beginning-1800/n9v6-gdp6</x:v>
      </x:c>
    </x:row>
    <x:row r="372">
      <x:c r="A372" t="str">
        <x:v>DOS-4-018</x:v>
      </x:c>
      <x:c r="B372" t="n">
        <x:v>4</x:v>
      </x:c>
      <x:c r="C372" t="str">
        <x:v>26 HEYWARD STREET, BROOKLYN, NY, 11206, US</x:v>
      </x:c>
      <x:c r="D372" t="str">
        <x:v>PARK LYNCH MG LLC</x:v>
      </x:c>
      <x:c r="E372" t="str">
        <x:v>PARK LYNCH MG, LLC</x:v>
      </x:c>
      <x:c r="F372" t="str">
        <x:v>Active name match</x:v>
      </x:c>
      <x:c r="G372" t="n">
        <x:v>1</x:v>
      </x:c>
      <x:c r="H372" t="n">
        <x:v>0</x:v>
      </x:c>
      <x:c r="I372" t="str">
        <x:v>4440486</x:v>
      </x:c>
      <x:c r="J372" t="str">
        <x:v>PARK LYNCH MG, LLC</x:v>
      </x:c>
      <x:c r="K372" s="55" t="n">
        <x:v>41488</x:v>
      </x:c>
      <x:c r="L372" t="str">
        <x:v>Kings</x:v>
      </x:c>
      <x:c r="M372" t="str">
        <x:v>New York</x:v>
      </x:c>
      <x:c r="N372" t="str">
        <x:v>DOMESTIC LIMITED LIABILITY COMPANY</x:v>
      </x:c>
      <x:c r="O372" t="str">
        <x:v>PARK LYNCH MG, LLC</x:v>
      </x:c>
      <x:c r="P372" t="str">
        <x:v>26 HEYWARD STREET, BROOKLYN, NY, 11249</x:v>
      </x:c>
      <x:c r="Q372" t="str"/>
      <x:c r="R372" t="str"/>
      <x:c r="S372" t="str"/>
      <x:c r="T372" t="str"/>
      <x:c r="U372" t="str"/>
      <x:c r="V372" t="str"/>
      <x:c r="W372" t="str"/>
      <x:c r="X372" t="str"/>
      <x:c r="Y372" t="str">
        <x:v>https://data.ny.gov/Economic-Development/Active-Corporations-Beginning-1800/n9v6-gdp6</x:v>
      </x:c>
    </x:row>
    <x:row r="373">
      <x:c r="A373" t="str">
        <x:v>DOS-4-018</x:v>
      </x:c>
      <x:c r="B373" t="n">
        <x:v>4</x:v>
      </x:c>
      <x:c r="C373" t="str">
        <x:v>26 HEYWARD STREET, BROOKLYN, NY, 11206, US</x:v>
      </x:c>
      <x:c r="D373" t="str">
        <x:v>PARK LYNCH MS LLC</x:v>
      </x:c>
      <x:c r="E373" t="str">
        <x:v>PARK LYNCH MS, LLC</x:v>
      </x:c>
      <x:c r="F373" t="str">
        <x:v>Active name match</x:v>
      </x:c>
      <x:c r="G373" t="n">
        <x:v>1</x:v>
      </x:c>
      <x:c r="H373" t="n">
        <x:v>0</x:v>
      </x:c>
      <x:c r="I373" t="str">
        <x:v>4440497</x:v>
      </x:c>
      <x:c r="J373" t="str">
        <x:v>PARK LYNCH MS, LLC</x:v>
      </x:c>
      <x:c r="K373" s="55" t="n">
        <x:v>41488</x:v>
      </x:c>
      <x:c r="L373" t="str">
        <x:v>Kings</x:v>
      </x:c>
      <x:c r="M373" t="str">
        <x:v>New York</x:v>
      </x:c>
      <x:c r="N373" t="str">
        <x:v>DOMESTIC LIMITED LIABILITY COMPANY</x:v>
      </x:c>
      <x:c r="O373" t="str">
        <x:v>PARK LYNCH MS, LLC</x:v>
      </x:c>
      <x:c r="P373" t="str">
        <x:v>26 HEYWARD STREET, BROOKLYN, NY, 11249</x:v>
      </x:c>
      <x:c r="Q373" t="str"/>
      <x:c r="R373" t="str"/>
      <x:c r="S373" t="str"/>
      <x:c r="T373" t="str"/>
      <x:c r="U373" t="str"/>
      <x:c r="V373" t="str"/>
      <x:c r="W373" t="str"/>
      <x:c r="X373" t="str"/>
      <x:c r="Y373" t="str">
        <x:v>https://data.ny.gov/Economic-Development/Active-Corporations-Beginning-1800/n9v6-gdp6</x:v>
      </x:c>
    </x:row>
    <x:row r="374">
      <x:c r="A374" t="str">
        <x:v>DOS-4-019</x:v>
      </x:c>
      <x:c r="B374" t="n">
        <x:v>4</x:v>
      </x:c>
      <x:c r="C374" t="str">
        <x:v>131 SPRING STREET, SUITE 405, NEW YORK, NY, 10012, US</x:v>
      </x:c>
      <x:c r="D374" t="str">
        <x:v>164 LUDLOW LLC</x:v>
      </x:c>
      <x:c r="E374" t="str">
        <x:v>164 LUDLOW, LLC</x:v>
      </x:c>
      <x:c r="F374" t="str">
        <x:v>Active name match</x:v>
      </x:c>
      <x:c r="G374" t="n">
        <x:v>1</x:v>
      </x:c>
      <x:c r="H374" t="n">
        <x:v>1</x:v>
      </x:c>
      <x:c r="I374" t="str">
        <x:v>7415778</x:v>
      </x:c>
      <x:c r="J374" t="str">
        <x:v>164 LUDLOW, LLC</x:v>
      </x:c>
      <x:c r="K374" s="55" t="n">
        <x:v>45545</x:v>
      </x:c>
      <x:c r="L374" t="str">
        <x:v>New York</x:v>
      </x:c>
      <x:c r="M374" t="str">
        <x:v>New York</x:v>
      </x:c>
      <x:c r="N374" t="str">
        <x:v>DOMESTIC LIMITED LIABILITY COMPANY</x:v>
      </x:c>
      <x:c r="O374" t="str">
        <x:v>164 Ludlow, LLC</x:v>
      </x:c>
      <x:c r="P374" t="str">
        <x:v>131 Spring St., Ste 405, New York, NY, 10012</x:v>
      </x:c>
      <x:c r="Q374" t="str"/>
      <x:c r="R374" t="str"/>
      <x:c r="S374" t="str"/>
      <x:c r="T374" t="str"/>
      <x:c r="U374" t="str"/>
      <x:c r="V374" t="str"/>
      <x:c r="W374" t="str"/>
      <x:c r="X374" t="str"/>
      <x:c r="Y374" t="str">
        <x:v>https://data.ny.gov/Economic-Development/Active-Corporations-Beginning-1800/n9v6-gdp6</x:v>
      </x:c>
    </x:row>
    <x:row r="375">
      <x:c r="A375" t="str">
        <x:v>DOS-4-019</x:v>
      </x:c>
      <x:c r="B375" t="n">
        <x:v>4</x:v>
      </x:c>
      <x:c r="C375" t="str">
        <x:v>131 SPRING STREET, SUITE 405, NEW YORK, NY, 10012, US</x:v>
      </x:c>
      <x:c r="D375" t="str">
        <x:v>84 STATE REALTY LLC</x:v>
      </x:c>
      <x:c r="E375" t="str">
        <x:v>84 STATE REALTY LLC</x:v>
      </x:c>
      <x:c r="F375" t="str">
        <x:v>Address-corroborated active match</x:v>
      </x:c>
      <x:c r="G375" t="n">
        <x:v>1</x:v>
      </x:c>
      <x:c r="H375" t="n">
        <x:v>2</x:v>
      </x:c>
      <x:c r="I375" t="str">
        <x:v>6466279</x:v>
      </x:c>
      <x:c r="J375" t="str">
        <x:v>84 STATE REALTY LLC</x:v>
      </x:c>
      <x:c r="K375" s="55" t="n">
        <x:v>44676</x:v>
      </x:c>
      <x:c r="L375" t="str">
        <x:v>Kings</x:v>
      </x:c>
      <x:c r="M375" t="str">
        <x:v>New York</x:v>
      </x:c>
      <x:c r="N375" t="str">
        <x:v>DOMESTIC LIMITED LIABILITY COMPANY</x:v>
      </x:c>
      <x:c r="O375" t="str">
        <x:v>JENNA BITTMAN</x:v>
      </x:c>
      <x:c r="P375" t="str">
        <x:v>131 SPRING STREET, SUITE 405, New York, NY, 10012</x:v>
      </x:c>
      <x:c r="Q375" t="str"/>
      <x:c r="R375" t="str"/>
      <x:c r="S375" t="str"/>
      <x:c r="T375" t="str"/>
      <x:c r="U375" t="str"/>
      <x:c r="V375" t="str"/>
      <x:c r="W375" t="str"/>
      <x:c r="X375" t="str"/>
      <x:c r="Y375" t="str">
        <x:v>https://data.ny.gov/Economic-Development/Active-Corporations-Beginning-1800/n9v6-gdp6</x:v>
      </x:c>
    </x:row>
    <x:row r="376">
      <x:c r="A376" t="str">
        <x:v>DOS-4-019</x:v>
      </x:c>
      <x:c r="B376" t="n">
        <x:v>4</x:v>
      </x:c>
      <x:c r="C376" t="str">
        <x:v>131 SPRING STREET, SUITE 405, NEW YORK, NY, 10012, US</x:v>
      </x:c>
      <x:c r="D376" t="str">
        <x:v>ATLANTIC GARDENS LLC</x:v>
      </x:c>
      <x:c r="E376" t="str">
        <x:v>ATLANTIC GARDENS LLC</x:v>
      </x:c>
      <x:c r="F376" t="str">
        <x:v>Address-corroborated active match</x:v>
      </x:c>
      <x:c r="G376" t="n">
        <x:v>1</x:v>
      </x:c>
      <x:c r="H376" t="n">
        <x:v>2</x:v>
      </x:c>
      <x:c r="I376" t="str">
        <x:v>7393851</x:v>
      </x:c>
      <x:c r="J376" t="str">
        <x:v>ATLANTIC GARDENS LLC</x:v>
      </x:c>
      <x:c r="K376" s="55" t="n">
        <x:v>45512</x:v>
      </x:c>
      <x:c r="L376" t="str">
        <x:v>New York</x:v>
      </x:c>
      <x:c r="M376" t="str">
        <x:v>Delaware</x:v>
      </x:c>
      <x:c r="N376" t="str">
        <x:v>FOREIGN LIMITED LIABILITY COMPANY</x:v>
      </x:c>
      <x:c r="O376" t="str">
        <x:v>ATLANTIC GARDENS LLC</x:v>
      </x:c>
      <x:c r="P376" t="str">
        <x:v>131 spring street,, suite 405, NEW YORK, NY, 10012</x:v>
      </x:c>
      <x:c r="Q376" t="str"/>
      <x:c r="R376" t="str"/>
      <x:c r="S376" t="str"/>
      <x:c r="T376" t="str"/>
      <x:c r="U376" t="str"/>
      <x:c r="V376" t="str"/>
      <x:c r="W376" t="str"/>
      <x:c r="X376" t="str"/>
      <x:c r="Y376" t="str">
        <x:v>https://data.ny.gov/Economic-Development/Active-Corporations-Beginning-1800/n9v6-gdp6</x:v>
      </x:c>
    </x:row>
    <x:row r="377">
      <x:c r="A377" t="str">
        <x:v>DOS-4-019</x:v>
      </x:c>
      <x:c r="B377" t="n">
        <x:v>4</x:v>
      </x:c>
      <x:c r="C377" t="str">
        <x:v>131 SPRING STREET, SUITE 405, NEW YORK, NY, 10012, US</x:v>
      </x:c>
      <x:c r="D377" t="str">
        <x:v>OR 239 MULBERRY LLC</x:v>
      </x:c>
      <x:c r="E377" t="str">
        <x:v>OR 239 MULBERRY, LLC</x:v>
      </x:c>
      <x:c r="F377" t="str">
        <x:v>Address-corroborated active match</x:v>
      </x:c>
      <x:c r="G377" t="n">
        <x:v>1</x:v>
      </x:c>
      <x:c r="H377" t="n">
        <x:v>2</x:v>
      </x:c>
      <x:c r="I377" t="str">
        <x:v>6323160</x:v>
      </x:c>
      <x:c r="J377" t="str">
        <x:v>OR 239 MULBERRY, LLC</x:v>
      </x:c>
      <x:c r="K377" s="55" t="n">
        <x:v>44509</x:v>
      </x:c>
      <x:c r="L377" t="str">
        <x:v>Kings</x:v>
      </x:c>
      <x:c r="M377" t="str">
        <x:v>New York</x:v>
      </x:c>
      <x:c r="N377" t="str">
        <x:v>DOMESTIC LIMITED LIABILITY COMPANY</x:v>
      </x:c>
      <x:c r="O377" t="str">
        <x:v>JENNA BITTMAN</x:v>
      </x:c>
      <x:c r="P377" t="str">
        <x:v>131 SPRING STREET, SUITE 405, New York, NY, 10012</x:v>
      </x:c>
      <x:c r="Q377" t="str"/>
      <x:c r="R377" t="str"/>
      <x:c r="S377" t="str"/>
      <x:c r="T377" t="str"/>
      <x:c r="U377" t="str"/>
      <x:c r="V377" t="str"/>
      <x:c r="W377" t="str"/>
      <x:c r="X377" t="str"/>
      <x:c r="Y377" t="str">
        <x:v>https://data.ny.gov/Economic-Development/Active-Corporations-Beginning-1800/n9v6-gdp6</x:v>
      </x:c>
    </x:row>
    <x:row r="378">
      <x:c r="A378" t="str">
        <x:v>DOS-4-020</x:v>
      </x:c>
      <x:c r="B378" t="n">
        <x:v>4</x:v>
      </x:c>
      <x:c r="C378" t="str">
        <x:v>1400 BROADWAY, NEW YORK, NY, 10018, US</x:v>
      </x:c>
      <x:c r="D378" t="str">
        <x:v>16 LENOX GROUP LLC</x:v>
      </x:c>
      <x:c r="E378" t="str">
        <x:v>16 LENOX GROUP LLC</x:v>
      </x:c>
      <x:c r="F378" t="str">
        <x:v>Active name match</x:v>
      </x:c>
      <x:c r="G378" t="n">
        <x:v>1</x:v>
      </x:c>
      <x:c r="H378" t="n">
        <x:v>0</x:v>
      </x:c>
      <x:c r="I378" t="str">
        <x:v>5247114</x:v>
      </x:c>
      <x:c r="J378" t="str">
        <x:v>16 LENOX GROUP LLC</x:v>
      </x:c>
      <x:c r="K378" s="55" t="n">
        <x:v>43076</x:v>
      </x:c>
      <x:c r="L378" t="str">
        <x:v>New York</x:v>
      </x:c>
      <x:c r="M378" t="str">
        <x:v>New York</x:v>
      </x:c>
      <x:c r="N378" t="str">
        <x:v>DOMESTIC LIMITED LIABILITY COMPANY</x:v>
      </x:c>
      <x:c r="O378" t="str">
        <x:v>16 LENOX GROUP LLC</x:v>
      </x:c>
      <x:c r="P378" t="str">
        <x:v>1387 Saint Nicholas Ave, 2nd Floor, NEW YORK, NY, 10033</x:v>
      </x:c>
      <x:c r="Q378" t="str"/>
      <x:c r="R378" t="str"/>
      <x:c r="S378" t="str"/>
      <x:c r="T378" t="str"/>
      <x:c r="U378" t="str"/>
      <x:c r="V378" t="str"/>
      <x:c r="W378" t="str"/>
      <x:c r="X378" t="str"/>
      <x:c r="Y378" t="str">
        <x:v>https://data.ny.gov/Economic-Development/Active-Corporations-Beginning-1800/n9v6-gdp6</x:v>
      </x:c>
    </x:row>
    <x:row r="379">
      <x:c r="A379" t="str">
        <x:v>DOS-4-020</x:v>
      </x:c>
      <x:c r="B379" t="n">
        <x:v>4</x:v>
      </x:c>
      <x:c r="C379" t="str">
        <x:v>1400 BROADWAY, NEW YORK, NY, 10018, US</x:v>
      </x:c>
      <x:c r="D379" t="str">
        <x:v>633 REALTY LLC</x:v>
      </x:c>
      <x:c r="E379" t="str">
        <x:v>633 REALTY LLC</x:v>
      </x:c>
      <x:c r="F379" t="str">
        <x:v>Active name match</x:v>
      </x:c>
      <x:c r="G379" t="n">
        <x:v>1</x:v>
      </x:c>
      <x:c r="H379" t="n">
        <x:v>0</x:v>
      </x:c>
      <x:c r="I379" t="str">
        <x:v>2881813</x:v>
      </x:c>
      <x:c r="J379" t="str">
        <x:v>633 REALTY LLC</x:v>
      </x:c>
      <x:c r="K379" s="55" t="n">
        <x:v>37693</x:v>
      </x:c>
      <x:c r="L379" t="str">
        <x:v>Westchester</x:v>
      </x:c>
      <x:c r="M379" t="str">
        <x:v>New York</x:v>
      </x:c>
      <x:c r="N379" t="str">
        <x:v>DOMESTIC LIMITED LIABILITY COMPANY</x:v>
      </x:c>
      <x:c r="O379" t="str">
        <x:v>C/O CORPORATION SERVICE COMPANY</x:v>
      </x:c>
      <x:c r="P379" t="str">
        <x:v>80 STATE STREET, ALBANY, NY, 12207</x:v>
      </x:c>
      <x:c r="Q379" t="str"/>
      <x:c r="R379" t="str"/>
      <x:c r="S379" t="str"/>
      <x:c r="T379" t="str"/>
      <x:c r="U379" t="str"/>
      <x:c r="V379" t="str"/>
      <x:c r="W379" t="str"/>
      <x:c r="X379" t="str"/>
      <x:c r="Y379" t="str">
        <x:v>https://data.ny.gov/Economic-Development/Active-Corporations-Beginning-1800/n9v6-gdp6</x:v>
      </x:c>
    </x:row>
    <x:row r="380">
      <x:c r="A380" t="str">
        <x:v>DOS-4-020</x:v>
      </x:c>
      <x:c r="B380" t="n">
        <x:v>4</x:v>
      </x:c>
      <x:c r="C380" t="str">
        <x:v>1400 BROADWAY, NEW YORK, NY, 10018, US</x:v>
      </x:c>
      <x:c r="D380" t="str">
        <x:v>ESSEX HOUSE PROPERTIES LLC</x:v>
      </x:c>
      <x:c r="E380" t="str">
        <x:v>ESSEX HOUSE PROPERTIES LLC</x:v>
      </x:c>
      <x:c r="F380" t="str">
        <x:v>No active DOS match</x:v>
      </x:c>
      <x:c r="G380" t="n">
        <x:v>0</x:v>
      </x:c>
      <x:c r="H380" t="n">
        <x:v>0</x:v>
      </x:c>
      <x:c r="I380" t="str"/>
      <x:c r="J380" t="str"/>
      <x:c r="K380" s="55" t="str"/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>
        <x:v>https://data.ny.gov/Economic-Development/Active-Corporations-Beginning-1800/n9v6-gdp6</x:v>
      </x:c>
    </x:row>
    <x:row r="381">
      <x:c r="A381" t="str">
        <x:v>DOS-4-020</x:v>
      </x:c>
      <x:c r="B381" t="n">
        <x:v>4</x:v>
      </x:c>
      <x:c r="C381" t="str">
        <x:v>1400 BROADWAY, NEW YORK, NY, 10018, US</x:v>
      </x:c>
      <x:c r="D381" t="str">
        <x:v>GC CLARK LLC</x:v>
      </x:c>
      <x:c r="E381" t="str">
        <x:v>GC CLARK LLC</x:v>
      </x:c>
      <x:c r="F381" t="str">
        <x:v>Active name match</x:v>
      </x:c>
      <x:c r="G381" t="n">
        <x:v>1</x:v>
      </x:c>
      <x:c r="H381" t="n">
        <x:v>0</x:v>
      </x:c>
      <x:c r="I381" t="str">
        <x:v>3497263</x:v>
      </x:c>
      <x:c r="J381" t="str">
        <x:v>GC CLARK LLC</x:v>
      </x:c>
      <x:c r="K381" s="55" t="n">
        <x:v>39171</x:v>
      </x:c>
      <x:c r="L381" t="str">
        <x:v>New York</x:v>
      </x:c>
      <x:c r="M381" t="str">
        <x:v>Delaware</x:v>
      </x:c>
      <x:c r="N381" t="str">
        <x:v>FOREIGN LIMITED LIABILITY COMPANY</x:v>
      </x:c>
      <x:c r="O381" t="str">
        <x:v>GC CLARK LLC</x:v>
      </x:c>
      <x:c r="P381" t="str">
        <x:v>199 LEE AVE., SUITE #162, BROOKLYN, NY, 11211</x:v>
      </x:c>
      <x:c r="Q381" t="str"/>
      <x:c r="R381" t="str"/>
      <x:c r="S381" t="str"/>
      <x:c r="T381" t="str"/>
      <x:c r="U381" t="str"/>
      <x:c r="V381" t="str"/>
      <x:c r="W381" t="str"/>
      <x:c r="X381" t="str"/>
      <x:c r="Y381" t="str">
        <x:v>https://data.ny.gov/Economic-Development/Active-Corporations-Beginning-1800/n9v6-gdp6</x:v>
      </x:c>
    </x:row>
    <x:row r="382">
      <x:c r="A382" t="str">
        <x:v>DOS-4-021</x:v>
      </x:c>
      <x:c r="B382" t="n">
        <x:v>4</x:v>
      </x:c>
      <x:c r="C382" t="str">
        <x:v>1903 TOMLINSON AVENUE, BRONX, NY, 10461, US</x:v>
      </x:c>
      <x:c r="D382" t="str">
        <x:v>AL BROTHER S REALTY LLC</x:v>
      </x:c>
      <x:c r="E382" t="str">
        <x:v>AL BROTHER'S REALTY, LLC</x:v>
      </x:c>
      <x:c r="F382" t="str">
        <x:v>Active name match</x:v>
      </x:c>
      <x:c r="G382" t="n">
        <x:v>1</x:v>
      </x:c>
      <x:c r="H382" t="n">
        <x:v>0</x:v>
      </x:c>
      <x:c r="I382" t="str">
        <x:v>2848951</x:v>
      </x:c>
      <x:c r="J382" t="str">
        <x:v>AL BROTHER'S REALTY, LLC</x:v>
      </x:c>
      <x:c r="K382" s="55" t="n">
        <x:v>37614</x:v>
      </x:c>
      <x:c r="L382" t="str">
        <x:v>Bronx</x:v>
      </x:c>
      <x:c r="M382" t="str">
        <x:v>New York</x:v>
      </x:c>
      <x:c r="N382" t="str">
        <x:v>DOMESTIC LIMITED LIABILITY COMPANY</x:v>
      </x:c>
      <x:c r="O382" t="str">
        <x:v>AL BROTHER'S REALTY, LLC</x:v>
      </x:c>
      <x:c r="P382" t="str">
        <x:v>1853 WALLACE AVE STE B, BRONX, NY, 10462</x:v>
      </x:c>
      <x:c r="Q382" t="str"/>
      <x:c r="R382" t="str"/>
      <x:c r="S382" t="str"/>
      <x:c r="T382" t="str"/>
      <x:c r="U382" t="str"/>
      <x:c r="V382" t="str"/>
      <x:c r="W382" t="str"/>
      <x:c r="X382" t="str"/>
      <x:c r="Y382" t="str">
        <x:v>https://data.ny.gov/Economic-Development/Active-Corporations-Beginning-1800/n9v6-gdp6</x:v>
      </x:c>
    </x:row>
    <x:row r="383">
      <x:c r="A383" t="str">
        <x:v>DOS-4-021</x:v>
      </x:c>
      <x:c r="B383" t="n">
        <x:v>4</x:v>
      </x:c>
      <x:c r="C383" t="str">
        <x:v>1903 TOMLINSON AVENUE, BRONX, NY, 10461, US</x:v>
      </x:c>
      <x:c r="D383" t="str">
        <x:v>DAJC REALTY LLC</x:v>
      </x:c>
      <x:c r="E383" t="str">
        <x:v>DAJC REALTY LLC</x:v>
      </x:c>
      <x:c r="F383" t="str">
        <x:v>Active name match</x:v>
      </x:c>
      <x:c r="G383" t="n">
        <x:v>1</x:v>
      </x:c>
      <x:c r="H383" t="n">
        <x:v>0</x:v>
      </x:c>
      <x:c r="I383" t="str">
        <x:v>3271819</x:v>
      </x:c>
      <x:c r="J383" t="str">
        <x:v>DAJC REALTY LLC</x:v>
      </x:c>
      <x:c r="K383" s="55" t="n">
        <x:v>38646</x:v>
      </x:c>
      <x:c r="L383" t="str">
        <x:v>Westchester</x:v>
      </x:c>
      <x:c r="M383" t="str">
        <x:v>New York</x:v>
      </x:c>
      <x:c r="N383" t="str">
        <x:v>DOMESTIC LIMITED LIABILITY COMPANY</x:v>
      </x:c>
      <x:c r="O383" t="str">
        <x:v>DAJC REALTY LLC</x:v>
      </x:c>
      <x:c r="P383" t="str">
        <x:v>1853 WALLACE AVE STE B, NORTH SALEM, NY, 10462</x:v>
      </x:c>
      <x:c r="Q383" t="str"/>
      <x:c r="R383" t="str"/>
      <x:c r="S383" t="str"/>
      <x:c r="T383" t="str"/>
      <x:c r="U383" t="str"/>
      <x:c r="V383" t="str"/>
      <x:c r="W383" t="str"/>
      <x:c r="X383" t="str"/>
      <x:c r="Y383" t="str">
        <x:v>https://data.ny.gov/Economic-Development/Active-Corporations-Beginning-1800/n9v6-gdp6</x:v>
      </x:c>
    </x:row>
    <x:row r="384">
      <x:c r="A384" t="str">
        <x:v>DOS-4-021</x:v>
      </x:c>
      <x:c r="B384" t="n">
        <x:v>4</x:v>
      </x:c>
      <x:c r="C384" t="str">
        <x:v>1903 TOMLINSON AVENUE, BRONX, NY, 10461, US</x:v>
      </x:c>
      <x:c r="D384" t="str">
        <x:v>GJUSHI REALTY LLC</x:v>
      </x:c>
      <x:c r="E384" t="str">
        <x:v>GJUSHI REALTY LLC</x:v>
      </x:c>
      <x:c r="F384" t="str">
        <x:v>Active name match</x:v>
      </x:c>
      <x:c r="G384" t="n">
        <x:v>1</x:v>
      </x:c>
      <x:c r="H384" t="n">
        <x:v>0</x:v>
      </x:c>
      <x:c r="I384" t="str">
        <x:v>2560473</x:v>
      </x:c>
      <x:c r="J384" t="str">
        <x:v>GJUSHI REALTY, LLC</x:v>
      </x:c>
      <x:c r="K384" s="55" t="n">
        <x:v>36804</x:v>
      </x:c>
      <x:c r="L384" t="str">
        <x:v>Bronx</x:v>
      </x:c>
      <x:c r="M384" t="str">
        <x:v>New York</x:v>
      </x:c>
      <x:c r="N384" t="str">
        <x:v>DOMESTIC LIMITED LIABILITY COMPANY</x:v>
      </x:c>
      <x:c r="O384" t="str">
        <x:v>GJUSHI REALTY, LLC</x:v>
      </x:c>
      <x:c r="P384" t="str">
        <x:v>1853 WALLACE AVE STE. B, BRONX, NY, 10462</x:v>
      </x:c>
      <x:c r="Q384" t="str"/>
      <x:c r="R384" t="str"/>
      <x:c r="S384" t="str"/>
      <x:c r="T384" t="str"/>
      <x:c r="U384" t="str"/>
      <x:c r="V384" t="str"/>
      <x:c r="W384" t="str"/>
      <x:c r="X384" t="str"/>
      <x:c r="Y384" t="str">
        <x:v>https://data.ny.gov/Economic-Development/Active-Corporations-Beginning-1800/n9v6-gdp6</x:v>
      </x:c>
    </x:row>
    <x:row r="385">
      <x:c r="A385" t="str">
        <x:v>DOS-4-021</x:v>
      </x:c>
      <x:c r="B385" t="n">
        <x:v>4</x:v>
      </x:c>
      <x:c r="C385" t="str">
        <x:v>1903 TOMLINSON AVENUE, BRONX, NY, 10461, US</x:v>
      </x:c>
      <x:c r="D385" t="str">
        <x:v>MLJ REALTY HOLDINGS LLC</x:v>
      </x:c>
      <x:c r="E385" t="str">
        <x:v>MLJ REALTY HOLDINGS LLC</x:v>
      </x:c>
      <x:c r="F385" t="str">
        <x:v>Active name match</x:v>
      </x:c>
      <x:c r="G385" t="n">
        <x:v>1</x:v>
      </x:c>
      <x:c r="H385" t="n">
        <x:v>0</x:v>
      </x:c>
      <x:c r="I385" t="str">
        <x:v>3937904</x:v>
      </x:c>
      <x:c r="J385" t="str">
        <x:v>MLJ REALTY HOLDINGS LLC</x:v>
      </x:c>
      <x:c r="K385" s="55" t="n">
        <x:v>40284</x:v>
      </x:c>
      <x:c r="L385" t="str">
        <x:v>Westchester</x:v>
      </x:c>
      <x:c r="M385" t="str">
        <x:v>New York</x:v>
      </x:c>
      <x:c r="N385" t="str">
        <x:v>DOMESTIC LIMITED LIABILITY COMPANY</x:v>
      </x:c>
      <x:c r="O385" t="str">
        <x:v>MLJ REALTY HOLDINGS LLC</x:v>
      </x:c>
      <x:c r="P385" t="str">
        <x:v>1853 Wallace Ave Ste B, Bronx, NY, 10462</x:v>
      </x:c>
      <x:c r="Q385" t="str"/>
      <x:c r="R385" t="str"/>
      <x:c r="S385" t="str"/>
      <x:c r="T385" t="str"/>
      <x:c r="U385" t="str"/>
      <x:c r="V385" t="str"/>
      <x:c r="W385" t="str"/>
      <x:c r="X385" t="str"/>
      <x:c r="Y385" t="str">
        <x:v>https://data.ny.gov/Economic-Development/Active-Corporations-Beginning-1800/n9v6-gdp6</x:v>
      </x:c>
    </x:row>
    <x:row r="386">
      <x:c r="A386" t="str">
        <x:v>DOS-4-022</x:v>
      </x:c>
      <x:c r="B386" t="n">
        <x:v>4</x:v>
      </x:c>
      <x:c r="C386" t="str">
        <x:v>39-07 PRINCE STREET, SUITE 3B, FLUSHING, NY, 11354, US</x:v>
      </x:c>
      <x:c r="D386" t="str">
        <x:v>108 ROOSEVELT LLC</x:v>
      </x:c>
      <x:c r="E386" t="str">
        <x:v>108 ROOSEVELT LLC</x:v>
      </x:c>
      <x:c r="F386" t="str">
        <x:v>Active name match</x:v>
      </x:c>
      <x:c r="G386" t="n">
        <x:v>1</x:v>
      </x:c>
      <x:c r="H386" t="n">
        <x:v>1</x:v>
      </x:c>
      <x:c r="I386" t="str">
        <x:v>4588849</x:v>
      </x:c>
      <x:c r="J386" t="str">
        <x:v>108 ROOSEVELT LLC</x:v>
      </x:c>
      <x:c r="K386" s="55" t="n">
        <x:v>41796</x:v>
      </x:c>
      <x:c r="L386" t="str">
        <x:v>Queens</x:v>
      </x:c>
      <x:c r="M386" t="str">
        <x:v>New York</x:v>
      </x:c>
      <x:c r="N386" t="str">
        <x:v>DOMESTIC LIMITED LIABILITY COMPANY</x:v>
      </x:c>
      <x:c r="O386" t="str">
        <x:v>108 ROOSEVELT LLC</x:v>
      </x:c>
      <x:c r="P386" t="str">
        <x:v>154-14 35 AVE, FLUSHING, NY, 11354</x:v>
      </x:c>
      <x:c r="Q386" t="str"/>
      <x:c r="R386" t="str"/>
      <x:c r="S386" t="str">
        <x:v>LAW OFFICE OF Z. TAN PLLC</x:v>
      </x:c>
      <x:c r="T386" t="str">
        <x:v>39-07 PRINCE STREET, SUITE 3B, FLUSHING, NEW YORK, 11354</x:v>
      </x:c>
      <x:c r="U386" t="str"/>
      <x:c r="V386" t="str"/>
      <x:c r="W386" t="str"/>
      <x:c r="X386" t="str"/>
      <x:c r="Y386" t="str">
        <x:v>https://data.ny.gov/Economic-Development/Active-Corporations-Beginning-1800/n9v6-gdp6</x:v>
      </x:c>
    </x:row>
    <x:row r="387">
      <x:c r="A387" t="str">
        <x:v>DOS-4-022</x:v>
      </x:c>
      <x:c r="B387" t="n">
        <x:v>4</x:v>
      </x:c>
      <x:c r="C387" t="str">
        <x:v>39-07 PRINCE STREET, SUITE 3B, FLUSHING, NY, 11354, US</x:v>
      </x:c>
      <x:c r="D387" t="str">
        <x:v>JAMES AND MARK 168 LLC</x:v>
      </x:c>
      <x:c r="E387" t="str">
        <x:v>JAMES &amp; MARK 168 LLC</x:v>
      </x:c>
      <x:c r="F387" t="str">
        <x:v>Address-corroborated active match</x:v>
      </x:c>
      <x:c r="G387" t="n">
        <x:v>1</x:v>
      </x:c>
      <x:c r="H387" t="n">
        <x:v>2</x:v>
      </x:c>
      <x:c r="I387" t="str">
        <x:v>4858054</x:v>
      </x:c>
      <x:c r="J387" t="str">
        <x:v>JAMES &amp; MARK 168 LLC</x:v>
      </x:c>
      <x:c r="K387" s="55" t="n">
        <x:v>42341</x:v>
      </x:c>
      <x:c r="L387" t="str">
        <x:v>Queens</x:v>
      </x:c>
      <x:c r="M387" t="str">
        <x:v>New York</x:v>
      </x:c>
      <x:c r="N387" t="str">
        <x:v>DOMESTIC LIMITED LIABILITY COMPANY</x:v>
      </x:c>
      <x:c r="O387" t="str">
        <x:v>JAMES &amp; MARK 168 LLC</x:v>
      </x:c>
      <x:c r="P387" t="str">
        <x:v>39-07 PRINCE STREET, SUITE 3B, FLUSHING, NY, 11354</x:v>
      </x:c>
      <x:c r="Q387" t="str"/>
      <x:c r="R387" t="str"/>
      <x:c r="S387" t="str"/>
      <x:c r="T387" t="str"/>
      <x:c r="U387" t="str"/>
      <x:c r="V387" t="str"/>
      <x:c r="W387" t="str"/>
      <x:c r="X387" t="str"/>
      <x:c r="Y387" t="str">
        <x:v>https://data.ny.gov/Economic-Development/Active-Corporations-Beginning-1800/n9v6-gdp6</x:v>
      </x:c>
    </x:row>
    <x:row r="388">
      <x:c r="A388" t="str">
        <x:v>DOS-4-022</x:v>
      </x:c>
      <x:c r="B388" t="n">
        <x:v>4</x:v>
      </x:c>
      <x:c r="C388" t="str">
        <x:v>39-07 PRINCE STREET, SUITE 3B, FLUSHING, NY, 11354, US</x:v>
      </x:c>
      <x:c r="D388" t="str">
        <x:v>MEADOW 56 LLC</x:v>
      </x:c>
      <x:c r="E388" t="str">
        <x:v>MEADOW 56 LLC</x:v>
      </x:c>
      <x:c r="F388" t="str">
        <x:v>Active name match</x:v>
      </x:c>
      <x:c r="G388" t="n">
        <x:v>1</x:v>
      </x:c>
      <x:c r="H388" t="n">
        <x:v>0</x:v>
      </x:c>
      <x:c r="I388" t="str">
        <x:v>6737421</x:v>
      </x:c>
      <x:c r="J388" t="str">
        <x:v>MEADOW 56 LLC</x:v>
      </x:c>
      <x:c r="K388" s="55" t="n">
        <x:v>44978</x:v>
      </x:c>
      <x:c r="L388" t="str">
        <x:v>Queens</x:v>
      </x:c>
      <x:c r="M388" t="str">
        <x:v>New York</x:v>
      </x:c>
      <x:c r="N388" t="str">
        <x:v>DOMESTIC LIMITED LIABILITY COMPANY</x:v>
      </x:c>
      <x:c r="O388" t="str">
        <x:v>MEADOW 56 LLC</x:v>
      </x:c>
      <x:c r="P388" t="str">
        <x:v>6134 Springfield Blvd., Oakland Gardens, NY, 11364</x:v>
      </x:c>
      <x:c r="Q388" t="str"/>
      <x:c r="R388" t="str"/>
      <x:c r="S388" t="str"/>
      <x:c r="T388" t="str"/>
      <x:c r="U388" t="str"/>
      <x:c r="V388" t="str"/>
      <x:c r="W388" t="str"/>
      <x:c r="X388" t="str"/>
      <x:c r="Y388" t="str">
        <x:v>https://data.ny.gov/Economic-Development/Active-Corporations-Beginning-1800/n9v6-gdp6</x:v>
      </x:c>
    </x:row>
    <x:row r="389">
      <x:c r="A389" t="str">
        <x:v>DOS-4-022</x:v>
      </x:c>
      <x:c r="B389" t="n">
        <x:v>4</x:v>
      </x:c>
      <x:c r="C389" t="str">
        <x:v>39-07 PRINCE STREET, SUITE 3B, FLUSHING, NY, 11354, US</x:v>
      </x:c>
      <x:c r="D389" t="str">
        <x:v>QQ ASSET 53 LLC</x:v>
      </x:c>
      <x:c r="E389" t="str">
        <x:v>QQ ASSET 53 LLC</x:v>
      </x:c>
      <x:c r="F389" t="str">
        <x:v>Active name match</x:v>
      </x:c>
      <x:c r="G389" t="n">
        <x:v>1</x:v>
      </x:c>
      <x:c r="H389" t="n">
        <x:v>1</x:v>
      </x:c>
      <x:c r="I389" t="str">
        <x:v>4910865</x:v>
      </x:c>
      <x:c r="J389" t="str">
        <x:v>QQ ASSET 53 LLC</x:v>
      </x:c>
      <x:c r="K389" s="55" t="n">
        <x:v>42439</x:v>
      </x:c>
      <x:c r="L389" t="str">
        <x:v>Queens</x:v>
      </x:c>
      <x:c r="M389" t="str">
        <x:v>New York</x:v>
      </x:c>
      <x:c r="N389" t="str">
        <x:v>DOMESTIC LIMITED LIABILITY COMPANY</x:v>
      </x:c>
      <x:c r="O389" t="str">
        <x:v>QQ ASSET 53 LLC</x:v>
      </x:c>
      <x:c r="P389" t="str">
        <x:v>C/O LAW OFFICE OF Z. TAN PLLC, 39-07 PRINCE STREET, SUITE 3B, FLUSHING, NY, 11354</x:v>
      </x:c>
      <x:c r="Q389" t="str"/>
      <x:c r="R389" t="str"/>
      <x:c r="S389" t="str"/>
      <x:c r="T389" t="str"/>
      <x:c r="U389" t="str"/>
      <x:c r="V389" t="str"/>
      <x:c r="W389" t="str"/>
      <x:c r="X389" t="str"/>
      <x:c r="Y389" t="str">
        <x:v>https://data.ny.gov/Economic-Development/Active-Corporations-Beginning-1800/n9v6-gdp6</x:v>
      </x:c>
    </x:row>
    <x:row r="390">
      <x:c r="A390" t="str">
        <x:v>DOS-4-023</x:v>
      </x:c>
      <x:c r="B390" t="n">
        <x:v>4</x:v>
      </x:c>
      <x:c r="C390" t="str">
        <x:v>5-46 46TH AVENUE, LONG ISLAND CITY, NY, 11101, US</x:v>
      </x:c>
      <x:c r="D390" t="str">
        <x:v>DBLICQ LLC</x:v>
      </x:c>
      <x:c r="E390" t="str">
        <x:v>DBLICQ, LLC</x:v>
      </x:c>
      <x:c r="F390" t="str">
        <x:v>No active DOS match</x:v>
      </x:c>
      <x:c r="G390" t="n">
        <x:v>0</x:v>
      </x:c>
      <x:c r="H390" t="n">
        <x:v>0</x:v>
      </x:c>
      <x:c r="I390" t="str"/>
      <x:c r="J390" t="str"/>
      <x:c r="K390" s="55" t="str"/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>
        <x:v>https://data.ny.gov/Economic-Development/Active-Corporations-Beginning-1800/n9v6-gdp6</x:v>
      </x:c>
    </x:row>
    <x:row r="391">
      <x:c r="A391" t="str">
        <x:v>DOS-4-023</x:v>
      </x:c>
      <x:c r="B391" t="n">
        <x:v>4</x:v>
      </x:c>
      <x:c r="C391" t="str">
        <x:v>5-46 46TH AVENUE, LONG ISLAND CITY, NY, 11101, US</x:v>
      </x:c>
      <x:c r="D391" t="str">
        <x:v>PLAX BL25 LLC</x:v>
      </x:c>
      <x:c r="E391" t="str">
        <x:v>PLAX BL25, LLC</x:v>
      </x:c>
      <x:c r="F391" t="str">
        <x:v>Address-corroborated active match</x:v>
      </x:c>
      <x:c r="G391" t="n">
        <x:v>1</x:v>
      </x:c>
      <x:c r="H391" t="n">
        <x:v>2</x:v>
      </x:c>
      <x:c r="I391" t="str">
        <x:v>5157540</x:v>
      </x:c>
      <x:c r="J391" t="str">
        <x:v>PLAX BL25, LLC</x:v>
      </x:c>
      <x:c r="K391" s="55" t="n">
        <x:v>42906</x:v>
      </x:c>
      <x:c r="L391" t="str">
        <x:v>Queens</x:v>
      </x:c>
      <x:c r="M391" t="str">
        <x:v>New York</x:v>
      </x:c>
      <x:c r="N391" t="str">
        <x:v>DOMESTIC LIMITED LIABILITY COMPANY</x:v>
      </x:c>
      <x:c r="O391" t="str">
        <x:v>PLAXALL</x:v>
      </x:c>
      <x:c r="P391" t="str">
        <x:v>5-46 46TH AVENUE, LONG ISLAND CITY, NY, 11101</x:v>
      </x:c>
      <x:c r="Q391" t="str"/>
      <x:c r="R391" t="str"/>
      <x:c r="S391" t="str"/>
      <x:c r="T391" t="str"/>
      <x:c r="U391" t="str"/>
      <x:c r="V391" t="str"/>
      <x:c r="W391" t="str"/>
      <x:c r="X391" t="str"/>
      <x:c r="Y391" t="str">
        <x:v>https://data.ny.gov/Economic-Development/Active-Corporations-Beginning-1800/n9v6-gdp6</x:v>
      </x:c>
    </x:row>
    <x:row r="392">
      <x:c r="A392" t="str">
        <x:v>DOS-4-023</x:v>
      </x:c>
      <x:c r="B392" t="n">
        <x:v>4</x:v>
      </x:c>
      <x:c r="C392" t="str">
        <x:v>5-46 46TH AVENUE, LONG ISLAND CITY, NY, 11101, US</x:v>
      </x:c>
      <x:c r="D392" t="str">
        <x:v>PLAX BL26 LLC</x:v>
      </x:c>
      <x:c r="E392" t="str">
        <x:v>PLAX BL26, LLC</x:v>
      </x:c>
      <x:c r="F392" t="str">
        <x:v>Address-corroborated active match</x:v>
      </x:c>
      <x:c r="G392" t="n">
        <x:v>1</x:v>
      </x:c>
      <x:c r="H392" t="n">
        <x:v>2</x:v>
      </x:c>
      <x:c r="I392" t="str">
        <x:v>5157545</x:v>
      </x:c>
      <x:c r="J392" t="str">
        <x:v>PLAX BL26, LLC</x:v>
      </x:c>
      <x:c r="K392" s="55" t="n">
        <x:v>42906</x:v>
      </x:c>
      <x:c r="L392" t="str">
        <x:v>Queens</x:v>
      </x:c>
      <x:c r="M392" t="str">
        <x:v>New York</x:v>
      </x:c>
      <x:c r="N392" t="str">
        <x:v>DOMESTIC LIMITED LIABILITY COMPANY</x:v>
      </x:c>
      <x:c r="O392" t="str">
        <x:v>PLAXALL</x:v>
      </x:c>
      <x:c r="P392" t="str">
        <x:v>5-46 46TH AVENUE, LONG ISLAND CITY, NY, 11101</x:v>
      </x:c>
      <x:c r="Q392" t="str"/>
      <x:c r="R392" t="str"/>
      <x:c r="S392" t="str">
        <x:v>PLAXALL</x:v>
      </x:c>
      <x:c r="T392" t="str">
        <x:v>5-46 46TH AVENUE, LONG ISLAND CITY, NEW YORK, 11101</x:v>
      </x:c>
      <x:c r="U392" t="str"/>
      <x:c r="V392" t="str"/>
      <x:c r="W392" t="str"/>
      <x:c r="X392" t="str"/>
      <x:c r="Y392" t="str">
        <x:v>https://data.ny.gov/Economic-Development/Active-Corporations-Beginning-1800/n9v6-gdp6</x:v>
      </x:c>
    </x:row>
    <x:row r="393">
      <x:c r="A393" t="str">
        <x:v>DOS-4-023</x:v>
      </x:c>
      <x:c r="B393" t="n">
        <x:v>4</x:v>
      </x:c>
      <x:c r="C393" t="str">
        <x:v>5-46 46TH AVENUE, LONG ISLAND CITY, NY, 11101, US</x:v>
      </x:c>
      <x:c r="D393" t="str">
        <x:v>PLAX BL27 LLC</x:v>
      </x:c>
      <x:c r="E393" t="str">
        <x:v>PLAX BL27, LLC</x:v>
      </x:c>
      <x:c r="F393" t="str">
        <x:v>Address-corroborated active match</x:v>
      </x:c>
      <x:c r="G393" t="n">
        <x:v>1</x:v>
      </x:c>
      <x:c r="H393" t="n">
        <x:v>2</x:v>
      </x:c>
      <x:c r="I393" t="str">
        <x:v>5157550</x:v>
      </x:c>
      <x:c r="J393" t="str">
        <x:v>PLAX BL27, LLC</x:v>
      </x:c>
      <x:c r="K393" s="55" t="n">
        <x:v>42906</x:v>
      </x:c>
      <x:c r="L393" t="str">
        <x:v>Queens</x:v>
      </x:c>
      <x:c r="M393" t="str">
        <x:v>New York</x:v>
      </x:c>
      <x:c r="N393" t="str">
        <x:v>DOMESTIC LIMITED LIABILITY COMPANY</x:v>
      </x:c>
      <x:c r="O393" t="str">
        <x:v>PLAXALL</x:v>
      </x:c>
      <x:c r="P393" t="str">
        <x:v>5-46 46TH AVENUE, LONG ISLAND CITY, NY, 11101</x:v>
      </x:c>
      <x:c r="Q393" t="str"/>
      <x:c r="R393" t="str"/>
      <x:c r="S393" t="str">
        <x:v>PLAXALL</x:v>
      </x:c>
      <x:c r="T393" t="str">
        <x:v>5-46 46TH AVENUE, LONG ISLAND CITY, NEW YORK, 11101</x:v>
      </x:c>
      <x:c r="U393" t="str"/>
      <x:c r="V393" t="str"/>
      <x:c r="W393" t="str"/>
      <x:c r="X393" t="str"/>
      <x:c r="Y393" t="str">
        <x:v>https://data.ny.gov/Economic-Development/Active-Corporations-Beginning-1800/n9v6-gdp6</x:v>
      </x:c>
    </x:row>
    <x:row r="394">
      <x:c r="A394" t="str">
        <x:v>DOS-4-024</x:v>
      </x:c>
      <x:c r="B394" t="n">
        <x:v>4</x:v>
      </x:c>
      <x:c r="C394" t="str">
        <x:v>70 LAFAYETTE STREET, NEW YORK, NY, 10013, US</x:v>
      </x:c>
      <x:c r="D394" t="str">
        <x:v>63 PITT STREET LLC</x:v>
      </x:c>
      <x:c r="E394" t="str">
        <x:v>63 PITT STREET LLC</x:v>
      </x:c>
      <x:c r="F394" t="str">
        <x:v>Address-corroborated active match</x:v>
      </x:c>
      <x:c r="G394" t="n">
        <x:v>1</x:v>
      </x:c>
      <x:c r="H394" t="n">
        <x:v>2</x:v>
      </x:c>
      <x:c r="I394" t="str">
        <x:v>5761866</x:v>
      </x:c>
      <x:c r="J394" t="str">
        <x:v>63 PITT STREET LLC</x:v>
      </x:c>
      <x:c r="K394" s="55" t="n">
        <x:v>43986</x:v>
      </x:c>
      <x:c r="L394" t="str">
        <x:v>New York</x:v>
      </x:c>
      <x:c r="M394" t="str">
        <x:v>New York</x:v>
      </x:c>
      <x:c r="N394" t="str">
        <x:v>DOMESTIC LIMITED LIABILITY COMPANY</x:v>
      </x:c>
      <x:c r="O394" t="str">
        <x:v>63 PITT STREET LLC</x:v>
      </x:c>
      <x:c r="P394" t="str">
        <x:v>70 LAFAYETTE ST, 4TH FLOOR, NEW YORK, NY, 10013</x:v>
      </x:c>
      <x:c r="Q394" t="str"/>
      <x:c r="R394" t="str"/>
      <x:c r="S394" t="str"/>
      <x:c r="T394" t="str"/>
      <x:c r="U394" t="str"/>
      <x:c r="V394" t="str"/>
      <x:c r="W394" t="str"/>
      <x:c r="X394" t="str"/>
      <x:c r="Y394" t="str">
        <x:v>https://data.ny.gov/Economic-Development/Active-Corporations-Beginning-1800/n9v6-gdp6</x:v>
      </x:c>
    </x:row>
    <x:row r="395">
      <x:c r="A395" t="str">
        <x:v>DOS-4-024</x:v>
      </x:c>
      <x:c r="B395" t="n">
        <x:v>4</x:v>
      </x:c>
      <x:c r="C395" t="str">
        <x:v>70 LAFAYETTE STREET, NEW YORK, NY, 10013, US</x:v>
      </x:c>
      <x:c r="D395" t="str">
        <x:v>DK 14 23 BROADWAY LLC</x:v>
      </x:c>
      <x:c r="E395" t="str">
        <x:v>DK 14-23 BROADWAY LLC</x:v>
      </x:c>
      <x:c r="F395" t="str">
        <x:v>Address-corroborated active match</x:v>
      </x:c>
      <x:c r="G395" t="n">
        <x:v>1</x:v>
      </x:c>
      <x:c r="H395" t="n">
        <x:v>2</x:v>
      </x:c>
      <x:c r="I395" t="str">
        <x:v>4681982</x:v>
      </x:c>
      <x:c r="J395" t="str">
        <x:v>DK 14-23 BROADWAY LLC</x:v>
      </x:c>
      <x:c r="K395" s="55" t="n">
        <x:v>41991</x:v>
      </x:c>
      <x:c r="L395" t="str">
        <x:v>New York</x:v>
      </x:c>
      <x:c r="M395" t="str">
        <x:v>Delaware</x:v>
      </x:c>
      <x:c r="N395" t="str">
        <x:v>FOREIGN LIMITED LIABILITY COMPANY</x:v>
      </x:c>
      <x:c r="O395" t="str">
        <x:v>DK 14-23 BROADWAY LLC</x:v>
      </x:c>
      <x:c r="P395" t="str">
        <x:v>70 LAFAYETTE STREET, 4TH FLOOR, NEW YORK, NY, 10013</x:v>
      </x:c>
      <x:c r="Q395" t="str"/>
      <x:c r="R395" t="str"/>
      <x:c r="S395" t="str"/>
      <x:c r="T395" t="str"/>
      <x:c r="U395" t="str"/>
      <x:c r="V395" t="str"/>
      <x:c r="W395" t="str"/>
      <x:c r="X395" t="str"/>
      <x:c r="Y395" t="str">
        <x:v>https://data.ny.gov/Economic-Development/Active-Corporations-Beginning-1800/n9v6-gdp6</x:v>
      </x:c>
    </x:row>
    <x:row r="396">
      <x:c r="A396" t="str">
        <x:v>DOS-4-024</x:v>
      </x:c>
      <x:c r="B396" t="n">
        <x:v>4</x:v>
      </x:c>
      <x:c r="C396" t="str">
        <x:v>70 LAFAYETTE STREET, NEW YORK, NY, 10013, US</x:v>
      </x:c>
      <x:c r="D396" t="str">
        <x:v>DK 730 PROSPECT LLC</x:v>
      </x:c>
      <x:c r="E396" t="str">
        <x:v>DK 730 PROSPECT LLC</x:v>
      </x:c>
      <x:c r="F396" t="str">
        <x:v>Active name match</x:v>
      </x:c>
      <x:c r="G396" t="n">
        <x:v>1</x:v>
      </x:c>
      <x:c r="H396" t="n">
        <x:v>1</x:v>
      </x:c>
      <x:c r="I396" t="str">
        <x:v>5377026</x:v>
      </x:c>
      <x:c r="J396" t="str">
        <x:v>DK 730 PROSPECT LLC</x:v>
      </x:c>
      <x:c r="K396" s="55" t="n">
        <x:v>43298</x:v>
      </x:c>
      <x:c r="L396" t="str">
        <x:v>New York</x:v>
      </x:c>
      <x:c r="M396" t="str">
        <x:v>Delaware</x:v>
      </x:c>
      <x:c r="N396" t="str">
        <x:v>FOREIGN LIMITED LIABILITY COMPANY</x:v>
      </x:c>
      <x:c r="O396" t="str">
        <x:v>DK 730 PROSPECT LLC</x:v>
      </x:c>
      <x:c r="P396" t="str">
        <x:v>70 LAYAFETTE ST, 6TH FLOOR, NEW YORK, NY, 10013</x:v>
      </x:c>
      <x:c r="Q396" t="str"/>
      <x:c r="R396" t="str"/>
      <x:c r="S396" t="str"/>
      <x:c r="T396" t="str"/>
      <x:c r="U396" t="str"/>
      <x:c r="V396" t="str"/>
      <x:c r="W396" t="str"/>
      <x:c r="X396" t="str"/>
      <x:c r="Y396" t="str">
        <x:v>https://data.ny.gov/Economic-Development/Active-Corporations-Beginning-1800/n9v6-gdp6</x:v>
      </x:c>
    </x:row>
    <x:row r="397">
      <x:c r="A397" t="str">
        <x:v>DOS-4-024</x:v>
      </x:c>
      <x:c r="B397" t="n">
        <x:v>4</x:v>
      </x:c>
      <x:c r="C397" t="str">
        <x:v>70 LAFAYETTE STREET, NEW YORK, NY, 10013, US</x:v>
      </x:c>
      <x:c r="D397" t="str">
        <x:v>ONLY PROPERTIES LLC</x:v>
      </x:c>
      <x:c r="E397" t="str">
        <x:v>ONLY PROPERTIES, LLC</x:v>
      </x:c>
      <x:c r="F397" t="str">
        <x:v>Address-corroborated active match</x:v>
      </x:c>
      <x:c r="G397" t="n">
        <x:v>1</x:v>
      </x:c>
      <x:c r="H397" t="n">
        <x:v>2</x:v>
      </x:c>
      <x:c r="I397" t="str">
        <x:v>3637699</x:v>
      </x:c>
      <x:c r="J397" t="str">
        <x:v>ONLY PROPERTIES, LLC</x:v>
      </x:c>
      <x:c r="K397" s="55" t="n">
        <x:v>39506</x:v>
      </x:c>
      <x:c r="L397" t="str">
        <x:v>New York</x:v>
      </x:c>
      <x:c r="M397" t="str">
        <x:v>New York</x:v>
      </x:c>
      <x:c r="N397" t="str">
        <x:v>DOMESTIC LIMITED LIABILITY COMPANY</x:v>
      </x:c>
      <x:c r="O397" t="str">
        <x:v>ONLY PROPERTIES, LLC</x:v>
      </x:c>
      <x:c r="P397" t="str">
        <x:v>70 LAFAYETTE ST, 5TH FL, NEW YORK, NY, 10013</x:v>
      </x:c>
      <x:c r="Q397" t="str"/>
      <x:c r="R397" t="str"/>
      <x:c r="S397" t="str"/>
      <x:c r="T397" t="str"/>
      <x:c r="U397" t="str"/>
      <x:c r="V397" t="str"/>
      <x:c r="W397" t="str"/>
      <x:c r="X397" t="str"/>
      <x:c r="Y397" t="str">
        <x:v>https://data.ny.gov/Economic-Development/Active-Corporations-Beginning-1800/n9v6-gdp6</x:v>
      </x:c>
    </x:row>
    <x:row r="398">
      <x:c r="A398" t="str">
        <x:v>DOS-4-025</x:v>
      </x:c>
      <x:c r="B398" t="n">
        <x:v>4</x:v>
      </x:c>
      <x:c r="C398" t="str">
        <x:v>9777 VITRAIL LANE, DELRAY BEACH, FL, 33446, US</x:v>
      </x:c>
      <x:c r="D398" t="str">
        <x:v>CJC RETACO LLC</x:v>
      </x:c>
      <x:c r="E398" t="str">
        <x:v>CJC RETACO LLC</x:v>
      </x:c>
      <x:c r="F398" t="str">
        <x:v>Active name match</x:v>
      </x:c>
      <x:c r="G398" t="n">
        <x:v>1</x:v>
      </x:c>
      <x:c r="H398" t="n">
        <x:v>0</x:v>
      </x:c>
      <x:c r="I398" t="str">
        <x:v>6670544</x:v>
      </x:c>
      <x:c r="J398" t="str">
        <x:v>CJC RETACO LLC</x:v>
      </x:c>
      <x:c r="K398" s="55" t="n">
        <x:v>44911</x:v>
      </x:c>
      <x:c r="L398" t="str">
        <x:v>New York</x:v>
      </x:c>
      <x:c r="M398" t="str">
        <x:v>New York</x:v>
      </x:c>
      <x:c r="N398" t="str">
        <x:v>DOMESTIC LIMITED LIABILITY COMPANY</x:v>
      </x:c>
      <x:c r="O398" t="str">
        <x:v>CORPORATION SERVICE COMPANY</x:v>
      </x:c>
      <x:c r="P398" t="str">
        <x:v>80 STATE STREET, ALBANY, NY, 12207</x:v>
      </x:c>
      <x:c r="Q398" t="str"/>
      <x:c r="R398" t="str"/>
      <x:c r="S398" t="str"/>
      <x:c r="T398" t="str"/>
      <x:c r="U398" t="str"/>
      <x:c r="V398" t="str"/>
      <x:c r="W398" t="str"/>
      <x:c r="X398" t="str"/>
      <x:c r="Y398" t="str">
        <x:v>https://data.ny.gov/Economic-Development/Active-Corporations-Beginning-1800/n9v6-gdp6</x:v>
      </x:c>
    </x:row>
    <x:row r="399">
      <x:c r="A399" t="str">
        <x:v>DOS-4-025</x:v>
      </x:c>
      <x:c r="B399" t="n">
        <x:v>4</x:v>
      </x:c>
      <x:c r="C399" t="str">
        <x:v>9777 VITRAIL LANE, DELRAY BEACH, FL, 33446, US</x:v>
      </x:c>
      <x:c r="D399" t="str">
        <x:v>KIMCOMATT REALTY 775 LLC</x:v>
      </x:c>
      <x:c r="E399" t="str">
        <x:v>KIMCOMATT REALTY 775 LLC</x:v>
      </x:c>
      <x:c r="F399" t="str">
        <x:v>Active name match</x:v>
      </x:c>
      <x:c r="G399" t="n">
        <x:v>1</x:v>
      </x:c>
      <x:c r="H399" t="n">
        <x:v>0</x:v>
      </x:c>
      <x:c r="I399" t="str">
        <x:v>6670552</x:v>
      </x:c>
      <x:c r="J399" t="str">
        <x:v>KIMCOMATT REALTY 775 LLC</x:v>
      </x:c>
      <x:c r="K399" s="55" t="n">
        <x:v>44911</x:v>
      </x:c>
      <x:c r="L399" t="str">
        <x:v>New York</x:v>
      </x:c>
      <x:c r="M399" t="str">
        <x:v>New York</x:v>
      </x:c>
      <x:c r="N399" t="str">
        <x:v>DOMESTIC LIMITED LIABILITY COMPANY</x:v>
      </x:c>
      <x:c r="O399" t="str">
        <x:v>CORPORATION SERVICE COMPANY</x:v>
      </x:c>
      <x:c r="P399" t="str">
        <x:v>80 STATE STREET, ALBANY, NY, 12207</x:v>
      </x:c>
      <x:c r="Q399" t="str"/>
      <x:c r="R399" t="str"/>
      <x:c r="S399" t="str"/>
      <x:c r="T399" t="str"/>
      <x:c r="U399" t="str"/>
      <x:c r="V399" t="str"/>
      <x:c r="W399" t="str"/>
      <x:c r="X399" t="str"/>
      <x:c r="Y399" t="str">
        <x:v>https://data.ny.gov/Economic-Development/Active-Corporations-Beginning-1800/n9v6-gdp6</x:v>
      </x:c>
    </x:row>
    <x:row r="400">
      <x:c r="A400" t="str">
        <x:v>DOS-4-025</x:v>
      </x:c>
      <x:c r="B400" t="n">
        <x:v>4</x:v>
      </x:c>
      <x:c r="C400" t="str">
        <x:v>9777 VITRAIL LANE, DELRAY BEACH, FL, 33446, US</x:v>
      </x:c>
      <x:c r="D400" t="str">
        <x:v>KIMCOMATT REALTY 840 LLC</x:v>
      </x:c>
      <x:c r="E400" t="str">
        <x:v>KIMCOMATT REALTY 840 LLC</x:v>
      </x:c>
      <x:c r="F400" t="str">
        <x:v>Active name match</x:v>
      </x:c>
      <x:c r="G400" t="n">
        <x:v>1</x:v>
      </x:c>
      <x:c r="H400" t="n">
        <x:v>0</x:v>
      </x:c>
      <x:c r="I400" t="str">
        <x:v>6670553</x:v>
      </x:c>
      <x:c r="J400" t="str">
        <x:v>KIMCOMATT REALTY 840 LLC</x:v>
      </x:c>
      <x:c r="K400" s="55" t="n">
        <x:v>44911</x:v>
      </x:c>
      <x:c r="L400" t="str">
        <x:v>New York</x:v>
      </x:c>
      <x:c r="M400" t="str">
        <x:v>New York</x:v>
      </x:c>
      <x:c r="N400" t="str">
        <x:v>DOMESTIC LIMITED LIABILITY COMPANY</x:v>
      </x:c>
      <x:c r="O400" t="str">
        <x:v>CORPORATION SERVICE COMPANY</x:v>
      </x:c>
      <x:c r="P400" t="str">
        <x:v>80 STATE STREET, ALBANY, NY, 12207</x:v>
      </x:c>
      <x:c r="Q400" t="str"/>
      <x:c r="R400" t="str"/>
      <x:c r="S400" t="str"/>
      <x:c r="T400" t="str"/>
      <x:c r="U400" t="str"/>
      <x:c r="V400" t="str"/>
      <x:c r="W400" t="str"/>
      <x:c r="X400" t="str"/>
      <x:c r="Y400" t="str">
        <x:v>https://data.ny.gov/Economic-Development/Active-Corporations-Beginning-1800/n9v6-gdp6</x:v>
      </x:c>
    </x:row>
    <x:row r="401">
      <x:c r="A401" t="str">
        <x:v>DOS-4-025</x:v>
      </x:c>
      <x:c r="B401" t="n">
        <x:v>4</x:v>
      </x:c>
      <x:c r="C401" t="str">
        <x:v>9777 VITRAIL LANE, DELRAY BEACH, FL, 33446, US</x:v>
      </x:c>
      <x:c r="D401" t="str">
        <x:v>TML KINGSLAND PARTNERS LLC</x:v>
      </x:c>
      <x:c r="E401" t="str">
        <x:v>TML KINGSLAND PARTNERS LLC</x:v>
      </x:c>
      <x:c r="F401" t="str">
        <x:v>Active name match</x:v>
      </x:c>
      <x:c r="G401" t="n">
        <x:v>1</x:v>
      </x:c>
      <x:c r="H401" t="n">
        <x:v>0</x:v>
      </x:c>
      <x:c r="I401" t="str">
        <x:v>6670731</x:v>
      </x:c>
      <x:c r="J401" t="str">
        <x:v>TML KINGSLAND PARTNERS LLC</x:v>
      </x:c>
      <x:c r="K401" s="55" t="n">
        <x:v>44911</x:v>
      </x:c>
      <x:c r="L401" t="str">
        <x:v>New York</x:v>
      </x:c>
      <x:c r="M401" t="str">
        <x:v>New York</x:v>
      </x:c>
      <x:c r="N401" t="str">
        <x:v>DOMESTIC LIMITED LIABILITY COMPANY</x:v>
      </x:c>
      <x:c r="O401" t="str">
        <x:v>CORPORATION SERVICE COMPANY</x:v>
      </x:c>
      <x:c r="P401" t="str">
        <x:v>80 STATE STREET, ALBANY, NY, 12207</x:v>
      </x:c>
      <x:c r="Q401" t="str"/>
      <x:c r="R401" t="str"/>
      <x:c r="S401" t="str">
        <x:v>CORPORATION SERVICE COMPANY</x:v>
      </x:c>
      <x:c r="T401" t="str">
        <x:v>80 STATE STREET, ALBANY, NEW YORK, 122072543</x:v>
      </x:c>
      <x:c r="U401" t="str"/>
      <x:c r="V401" t="str"/>
      <x:c r="W401" t="str"/>
      <x:c r="X401" t="str"/>
      <x:c r="Y401" t="str">
        <x:v>https://data.ny.gov/Economic-Development/Active-Corporations-Beginning-1800/n9v6-gdp6</x:v>
      </x:c>
    </x:row>
    <x:row r="402">
      <x:c r="A402" t="str">
        <x:v>DOS-4-026</x:v>
      </x:c>
      <x:c r="B402" t="n">
        <x:v>4</x:v>
      </x:c>
      <x:c r="C402" t="str">
        <x:v>11 UTOPIA COURT, STATEN ISLAND, NY, 10304, US</x:v>
      </x:c>
      <x:c r="D402" t="str">
        <x:v>DOUBLE J 139 LLC</x:v>
      </x:c>
      <x:c r="E402" t="str">
        <x:v>DOUBLE J 139 LLC</x:v>
      </x:c>
      <x:c r="F402" t="str">
        <x:v>Active name match</x:v>
      </x:c>
      <x:c r="G402" t="n">
        <x:v>1</x:v>
      </x:c>
      <x:c r="H402" t="n">
        <x:v>1</x:v>
      </x:c>
      <x:c r="I402" t="str">
        <x:v>3628450</x:v>
      </x:c>
      <x:c r="J402" t="str">
        <x:v>DOUBLE J 139 LLC</x:v>
      </x:c>
      <x:c r="K402" s="55" t="n">
        <x:v>39485</x:v>
      </x:c>
      <x:c r="L402" t="str">
        <x:v>Richmond</x:v>
      </x:c>
      <x:c r="M402" t="str">
        <x:v>New York</x:v>
      </x:c>
      <x:c r="N402" t="str">
        <x:v>DOMESTIC LIMITED LIABILITY COMPANY</x:v>
      </x:c>
      <x:c r="O402" t="str">
        <x:v>JENNY D. KWAN</x:v>
      </x:c>
      <x:c r="P402" t="str">
        <x:v>11 UTOPIA CT., STATEN ISLAND, NY, 10304</x:v>
      </x:c>
      <x:c r="Q402" t="str"/>
      <x:c r="R402" t="str"/>
      <x:c r="S402" t="str"/>
      <x:c r="T402" t="str"/>
      <x:c r="U402" t="str"/>
      <x:c r="V402" t="str"/>
      <x:c r="W402" t="str"/>
      <x:c r="X402" t="str"/>
      <x:c r="Y402" t="str">
        <x:v>https://data.ny.gov/Economic-Development/Active-Corporations-Beginning-1800/n9v6-gdp6</x:v>
      </x:c>
    </x:row>
    <x:row r="403">
      <x:c r="A403" t="str">
        <x:v>DOS-4-026</x:v>
      </x:c>
      <x:c r="B403" t="n">
        <x:v>4</x:v>
      </x:c>
      <x:c r="C403" t="str">
        <x:v>11 UTOPIA COURT, STATEN ISLAND, NY, 10304, US</x:v>
      </x:c>
      <x:c r="D403" t="str">
        <x:v>DOUBLE J RITZ LLC</x:v>
      </x:c>
      <x:c r="E403" t="str">
        <x:v>DOUBLE J. RITZ, LLC</x:v>
      </x:c>
      <x:c r="F403" t="str">
        <x:v>Address-corroborated active match</x:v>
      </x:c>
      <x:c r="G403" t="n">
        <x:v>1</x:v>
      </x:c>
      <x:c r="H403" t="n">
        <x:v>2</x:v>
      </x:c>
      <x:c r="I403" t="str">
        <x:v>4350932</x:v>
      </x:c>
      <x:c r="J403" t="str">
        <x:v>DOUBLE J. RITZ, LLC</x:v>
      </x:c>
      <x:c r="K403" s="55" t="n">
        <x:v>41299</x:v>
      </x:c>
      <x:c r="L403" t="str">
        <x:v>Richmond</x:v>
      </x:c>
      <x:c r="M403" t="str">
        <x:v>New York</x:v>
      </x:c>
      <x:c r="N403" t="str">
        <x:v>DOMESTIC LIMITED LIABILITY COMPANY</x:v>
      </x:c>
      <x:c r="O403" t="str">
        <x:v>JENNY D. KWAN</x:v>
      </x:c>
      <x:c r="P403" t="str">
        <x:v>11 UTOPIA COURT, STATEN ISLAND, NY, 10304</x:v>
      </x:c>
      <x:c r="Q403" t="str"/>
      <x:c r="R403" t="str"/>
      <x:c r="S403" t="str"/>
      <x:c r="T403" t="str"/>
      <x:c r="U403" t="str"/>
      <x:c r="V403" t="str"/>
      <x:c r="W403" t="str"/>
      <x:c r="X403" t="str"/>
      <x:c r="Y403" t="str">
        <x:v>https://data.ny.gov/Economic-Development/Active-Corporations-Beginning-1800/n9v6-gdp6</x:v>
      </x:c>
    </x:row>
    <x:row r="404">
      <x:c r="A404" t="str">
        <x:v>DOS-4-026</x:v>
      </x:c>
      <x:c r="B404" t="n">
        <x:v>4</x:v>
      </x:c>
      <x:c r="C404" t="str">
        <x:v>11 UTOPIA COURT, STATEN ISLAND, NY, 10304, US</x:v>
      </x:c>
      <x:c r="D404" t="str">
        <x:v>DOUBLE J SKYMARK 16 LLC</x:v>
      </x:c>
      <x:c r="E404" t="str">
        <x:v>DOUBLE J SKYMARK 16 LLC</x:v>
      </x:c>
      <x:c r="F404" t="str">
        <x:v>Address-corroborated active match</x:v>
      </x:c>
      <x:c r="G404" t="n">
        <x:v>1</x:v>
      </x:c>
      <x:c r="H404" t="n">
        <x:v>2</x:v>
      </x:c>
      <x:c r="I404" t="str">
        <x:v>4693989</x:v>
      </x:c>
      <x:c r="J404" t="str">
        <x:v>DOUBLE J SKYMARK 16 LLC</x:v>
      </x:c>
      <x:c r="K404" s="55" t="n">
        <x:v>42018</x:v>
      </x:c>
      <x:c r="L404" t="str">
        <x:v>Richmond</x:v>
      </x:c>
      <x:c r="M404" t="str">
        <x:v>New York</x:v>
      </x:c>
      <x:c r="N404" t="str">
        <x:v>DOMESTIC LIMITED LIABILITY COMPANY</x:v>
      </x:c>
      <x:c r="O404" t="str">
        <x:v>JENNY D. KWAN</x:v>
      </x:c>
      <x:c r="P404" t="str">
        <x:v>11 UTOPIA COURT, STATEN ISLAND, NY, 10304</x:v>
      </x:c>
      <x:c r="Q404" t="str"/>
      <x:c r="R404" t="str"/>
      <x:c r="S404" t="str"/>
      <x:c r="T404" t="str"/>
      <x:c r="U404" t="str"/>
      <x:c r="V404" t="str"/>
      <x:c r="W404" t="str"/>
      <x:c r="X404" t="str"/>
      <x:c r="Y404" t="str">
        <x:v>https://data.ny.gov/Economic-Development/Active-Corporations-Beginning-1800/n9v6-gdp6</x:v>
      </x:c>
    </x:row>
    <x:row r="405">
      <x:c r="A405" t="str">
        <x:v>DOS-4-026</x:v>
      </x:c>
      <x:c r="B405" t="n">
        <x:v>4</x:v>
      </x:c>
      <x:c r="C405" t="str">
        <x:v>11 UTOPIA COURT, STATEN ISLAND, NY, 10304, US</x:v>
      </x:c>
      <x:c r="D405" t="str">
        <x:v>DOUBLE J SKYMARK 9 LLC</x:v>
      </x:c>
      <x:c r="E405" t="str">
        <x:v>DOUBLE J SKYMARK 9 LLC</x:v>
      </x:c>
      <x:c r="F405" t="str">
        <x:v>Address-corroborated active match</x:v>
      </x:c>
      <x:c r="G405" t="n">
        <x:v>1</x:v>
      </x:c>
      <x:c r="H405" t="n">
        <x:v>2</x:v>
      </x:c>
      <x:c r="I405" t="str">
        <x:v>4693986</x:v>
      </x:c>
      <x:c r="J405" t="str">
        <x:v>DOUBLE J SKYMARK 9 LLC</x:v>
      </x:c>
      <x:c r="K405" s="55" t="n">
        <x:v>42018</x:v>
      </x:c>
      <x:c r="L405" t="str">
        <x:v>Richmond</x:v>
      </x:c>
      <x:c r="M405" t="str">
        <x:v>New York</x:v>
      </x:c>
      <x:c r="N405" t="str">
        <x:v>DOMESTIC LIMITED LIABILITY COMPANY</x:v>
      </x:c>
      <x:c r="O405" t="str">
        <x:v>JENNY D. KWAN</x:v>
      </x:c>
      <x:c r="P405" t="str">
        <x:v>11 UTOPIA COURT, STATEN ISLAND, NY, 10304</x:v>
      </x:c>
      <x:c r="Q405" t="str"/>
      <x:c r="R405" t="str"/>
      <x:c r="S405" t="str"/>
      <x:c r="T405" t="str"/>
      <x:c r="U405" t="str"/>
      <x:c r="V405" t="str"/>
      <x:c r="W405" t="str"/>
      <x:c r="X405" t="str"/>
      <x:c r="Y405" t="str">
        <x:v>https://data.ny.gov/Economic-Development/Active-Corporations-Beginning-1800/n9v6-gdp6</x:v>
      </x:c>
    </x:row>
    <x:row r="406">
      <x:c r="A406" t="str">
        <x:v>DOS-4-027</x:v>
      </x:c>
      <x:c r="B406" t="n">
        <x:v>4</x:v>
      </x:c>
      <x:c r="C406" t="str">
        <x:v>133 NORTH 4 STREET, BROOKLYN, NY, 11249, US</x:v>
      </x:c>
      <x:c r="D406" t="str">
        <x:v>1 LIKA LLC</x:v>
      </x:c>
      <x:c r="E406" t="str">
        <x:v>1 LIKA LLC</x:v>
      </x:c>
      <x:c r="F406" t="str">
        <x:v>Active name match</x:v>
      </x:c>
      <x:c r="G406" t="n">
        <x:v>1</x:v>
      </x:c>
      <x:c r="H406" t="n">
        <x:v>1</x:v>
      </x:c>
      <x:c r="I406" t="str">
        <x:v>4494548</x:v>
      </x:c>
      <x:c r="J406" t="str">
        <x:v>1 LIKA LLC</x:v>
      </x:c>
      <x:c r="K406" s="55" t="n">
        <x:v>41610</x:v>
      </x:c>
      <x:c r="L406" t="str">
        <x:v>Kings</x:v>
      </x:c>
      <x:c r="M406" t="str">
        <x:v>New York</x:v>
      </x:c>
      <x:c r="N406" t="str">
        <x:v>DOMESTIC LIMITED LIABILITY COMPANY</x:v>
      </x:c>
      <x:c r="O406" t="str">
        <x:v>1 LIKA LLC</x:v>
      </x:c>
      <x:c r="P406" t="str">
        <x:v>133 NORTH 4TH STREET, BROOKLYN, NY, 11249</x:v>
      </x:c>
      <x:c r="Q406" t="str"/>
      <x:c r="R406" t="str"/>
      <x:c r="S406" t="str"/>
      <x:c r="T406" t="str"/>
      <x:c r="U406" t="str"/>
      <x:c r="V406" t="str"/>
      <x:c r="W406" t="str"/>
      <x:c r="X406" t="str"/>
      <x:c r="Y406" t="str">
        <x:v>https://data.ny.gov/Economic-Development/Active-Corporations-Beginning-1800/n9v6-gdp6</x:v>
      </x:c>
    </x:row>
    <x:row r="407">
      <x:c r="A407" t="str">
        <x:v>DOS-4-027</x:v>
      </x:c>
      <x:c r="B407" t="n">
        <x:v>4</x:v>
      </x:c>
      <x:c r="C407" t="str">
        <x:v>133 NORTH 4 STREET, BROOKLYN, NY, 11249, US</x:v>
      </x:c>
      <x:c r="D407" t="str">
        <x:v>4 LIKA LLC</x:v>
      </x:c>
      <x:c r="E407" t="str">
        <x:v>4 LIKA LLC</x:v>
      </x:c>
      <x:c r="F407" t="str">
        <x:v>Active name match</x:v>
      </x:c>
      <x:c r="G407" t="n">
        <x:v>1</x:v>
      </x:c>
      <x:c r="H407" t="n">
        <x:v>1</x:v>
      </x:c>
      <x:c r="I407" t="str">
        <x:v>4494554</x:v>
      </x:c>
      <x:c r="J407" t="str">
        <x:v>4 LIKA LLC</x:v>
      </x:c>
      <x:c r="K407" s="55" t="n">
        <x:v>41610</x:v>
      </x:c>
      <x:c r="L407" t="str">
        <x:v>Kings</x:v>
      </x:c>
      <x:c r="M407" t="str">
        <x:v>New York</x:v>
      </x:c>
      <x:c r="N407" t="str">
        <x:v>DOMESTIC LIMITED LIABILITY COMPANY</x:v>
      </x:c>
      <x:c r="O407" t="str">
        <x:v>4 LIKA LLC</x:v>
      </x:c>
      <x:c r="P407" t="str">
        <x:v>133 NORTH 4TH STREET, BROOKLYN, NY, 11249</x:v>
      </x:c>
      <x:c r="Q407" t="str"/>
      <x:c r="R407" t="str"/>
      <x:c r="S407" t="str"/>
      <x:c r="T407" t="str"/>
      <x:c r="U407" t="str"/>
      <x:c r="V407" t="str"/>
      <x:c r="W407" t="str"/>
      <x:c r="X407" t="str"/>
      <x:c r="Y407" t="str">
        <x:v>https://data.ny.gov/Economic-Development/Active-Corporations-Beginning-1800/n9v6-gdp6</x:v>
      </x:c>
    </x:row>
    <x:row r="408">
      <x:c r="A408" t="str">
        <x:v>DOS-4-027</x:v>
      </x:c>
      <x:c r="B408" t="n">
        <x:v>4</x:v>
      </x:c>
      <x:c r="C408" t="str">
        <x:v>133 NORTH 4 STREET, BROOKLYN, NY, 11249, US</x:v>
      </x:c>
      <x:c r="D408" t="str">
        <x:v>5 LIKA LLC</x:v>
      </x:c>
      <x:c r="E408" t="str">
        <x:v>5 LIKA LLC</x:v>
      </x:c>
      <x:c r="F408" t="str">
        <x:v>Active name match</x:v>
      </x:c>
      <x:c r="G408" t="n">
        <x:v>1</x:v>
      </x:c>
      <x:c r="H408" t="n">
        <x:v>1</x:v>
      </x:c>
      <x:c r="I408" t="str">
        <x:v>4494556</x:v>
      </x:c>
      <x:c r="J408" t="str">
        <x:v>5 LIKA LLC</x:v>
      </x:c>
      <x:c r="K408" s="55" t="n">
        <x:v>41610</x:v>
      </x:c>
      <x:c r="L408" t="str">
        <x:v>Kings</x:v>
      </x:c>
      <x:c r="M408" t="str">
        <x:v>New York</x:v>
      </x:c>
      <x:c r="N408" t="str">
        <x:v>DOMESTIC LIMITED LIABILITY COMPANY</x:v>
      </x:c>
      <x:c r="O408" t="str">
        <x:v>5 LIKA LLC</x:v>
      </x:c>
      <x:c r="P408" t="str">
        <x:v>133 NORTH 4TH STREET, BROOKLYN, NY, 11249</x:v>
      </x:c>
      <x:c r="Q408" t="str"/>
      <x:c r="R408" t="str"/>
      <x:c r="S408" t="str"/>
      <x:c r="T408" t="str"/>
      <x:c r="U408" t="str"/>
      <x:c r="V408" t="str"/>
      <x:c r="W408" t="str"/>
      <x:c r="X408" t="str"/>
      <x:c r="Y408" t="str">
        <x:v>https://data.ny.gov/Economic-Development/Active-Corporations-Beginning-1800/n9v6-gdp6</x:v>
      </x:c>
    </x:row>
    <x:row r="409">
      <x:c r="A409" t="str">
        <x:v>DOS-4-027</x:v>
      </x:c>
      <x:c r="B409" t="n">
        <x:v>4</x:v>
      </x:c>
      <x:c r="C409" t="str">
        <x:v>133 NORTH 4 STREET, BROOKLYN, NY, 11249, US</x:v>
      </x:c>
      <x:c r="D409" t="str">
        <x:v>6 LIKA LLC</x:v>
      </x:c>
      <x:c r="E409" t="str">
        <x:v>6 LIKA LLC</x:v>
      </x:c>
      <x:c r="F409" t="str">
        <x:v>Active name match</x:v>
      </x:c>
      <x:c r="G409" t="n">
        <x:v>1</x:v>
      </x:c>
      <x:c r="H409" t="n">
        <x:v>1</x:v>
      </x:c>
      <x:c r="I409" t="str">
        <x:v>4494564</x:v>
      </x:c>
      <x:c r="J409" t="str">
        <x:v>6 LIKA LLC</x:v>
      </x:c>
      <x:c r="K409" s="55" t="n">
        <x:v>41610</x:v>
      </x:c>
      <x:c r="L409" t="str">
        <x:v>Kings</x:v>
      </x:c>
      <x:c r="M409" t="str">
        <x:v>New York</x:v>
      </x:c>
      <x:c r="N409" t="str">
        <x:v>DOMESTIC LIMITED LIABILITY COMPANY</x:v>
      </x:c>
      <x:c r="O409" t="str">
        <x:v>6 LIKA LLC</x:v>
      </x:c>
      <x:c r="P409" t="str">
        <x:v>133 NORTH 4TH STREET, BROOKLYN, NY, 11249</x:v>
      </x:c>
      <x:c r="Q409" t="str"/>
      <x:c r="R409" t="str"/>
      <x:c r="S409" t="str"/>
      <x:c r="T409" t="str"/>
      <x:c r="U409" t="str"/>
      <x:c r="V409" t="str"/>
      <x:c r="W409" t="str"/>
      <x:c r="X409" t="str"/>
      <x:c r="Y409" t="str">
        <x:v>https://data.ny.gov/Economic-Development/Active-Corporations-Beginning-1800/n9v6-gdp6</x:v>
      </x:c>
    </x:row>
    <x:row r="410">
      <x:c r="A410" t="str">
        <x:v>DOS-4-028</x:v>
      </x:c>
      <x:c r="B410" t="n">
        <x:v>4</x:v>
      </x:c>
      <x:c r="C410" t="str">
        <x:v>1590 TROY AVENUE, BROOKLYN, NY, 11234, US</x:v>
      </x:c>
      <x:c r="D410" t="str">
        <x:v>106 02 ROCKAWAY BEACH LLC</x:v>
      </x:c>
      <x:c r="E410" t="str">
        <x:v>106-02 ROCKAWAY BEACH, LLC</x:v>
      </x:c>
      <x:c r="F410" t="str">
        <x:v>Active name match</x:v>
      </x:c>
      <x:c r="G410" t="n">
        <x:v>1</x:v>
      </x:c>
      <x:c r="H410" t="n">
        <x:v>0</x:v>
      </x:c>
      <x:c r="I410" t="str">
        <x:v>6484392</x:v>
      </x:c>
      <x:c r="J410" t="str">
        <x:v>106-02 ROCKAWAY BEACH, LLC</x:v>
      </x:c>
      <x:c r="K410" s="55" t="n">
        <x:v>44693</x:v>
      </x:c>
      <x:c r="L410" t="str">
        <x:v>Kings</x:v>
      </x:c>
      <x:c r="M410" t="str">
        <x:v>New York</x:v>
      </x:c>
      <x:c r="N410" t="str">
        <x:v>DOMESTIC LIMITED LIABILITY COMPANY</x:v>
      </x:c>
      <x:c r="O410" t="str">
        <x:v>106-02 ROCKAWAY BEACH LLC</x:v>
      </x:c>
      <x:c r="P410" t="str">
        <x:v>23 Mandy Lane, Mahopac, NY, 10541</x:v>
      </x:c>
      <x:c r="Q410" t="str"/>
      <x:c r="R410" t="str"/>
      <x:c r="S410" t="str"/>
      <x:c r="T410" t="str"/>
      <x:c r="U410" t="str"/>
      <x:c r="V410" t="str"/>
      <x:c r="W410" t="str"/>
      <x:c r="X410" t="str"/>
      <x:c r="Y410" t="str">
        <x:v>https://data.ny.gov/Economic-Development/Active-Corporations-Beginning-1800/n9v6-gdp6</x:v>
      </x:c>
    </x:row>
    <x:row r="411">
      <x:c r="A411" t="str">
        <x:v>DOS-4-028</x:v>
      </x:c>
      <x:c r="B411" t="n">
        <x:v>4</x:v>
      </x:c>
      <x:c r="C411" t="str">
        <x:v>1590 TROY AVENUE, BROOKLYN, NY, 11234, US</x:v>
      </x:c>
      <x:c r="D411" t="str">
        <x:v>8613 DITMAS AVE REALTY LLC</x:v>
      </x:c>
      <x:c r="E411" t="str">
        <x:v>8613 DITMAS AVE. REALTY LLC</x:v>
      </x:c>
      <x:c r="F411" t="str">
        <x:v>Address-corroborated active match</x:v>
      </x:c>
      <x:c r="G411" t="n">
        <x:v>1</x:v>
      </x:c>
      <x:c r="H411" t="n">
        <x:v>2</x:v>
      </x:c>
      <x:c r="I411" t="str">
        <x:v>5849534</x:v>
      </x:c>
      <x:c r="J411" t="str">
        <x:v>8613 DITMAS AVE. REALTY LLC</x:v>
      </x:c>
      <x:c r="K411" s="55" t="n">
        <x:v>44106</x:v>
      </x:c>
      <x:c r="L411" t="str">
        <x:v>Kings</x:v>
      </x:c>
      <x:c r="M411" t="str">
        <x:v>New York</x:v>
      </x:c>
      <x:c r="N411" t="str">
        <x:v>DOMESTIC LIMITED LIABILITY COMPANY</x:v>
      </x:c>
      <x:c r="O411" t="str">
        <x:v>8613 DITMAS AVE. REALTY LLC</x:v>
      </x:c>
      <x:c r="P411" t="str">
        <x:v>1590 TROY AVENUE, BROOKLYN, NY, 11234</x:v>
      </x:c>
      <x:c r="Q411" t="str"/>
      <x:c r="R411" t="str"/>
      <x:c r="S411" t="str"/>
      <x:c r="T411" t="str"/>
      <x:c r="U411" t="str"/>
      <x:c r="V411" t="str"/>
      <x:c r="W411" t="str"/>
      <x:c r="X411" t="str"/>
      <x:c r="Y411" t="str">
        <x:v>https://data.ny.gov/Economic-Development/Active-Corporations-Beginning-1800/n9v6-gdp6</x:v>
      </x:c>
    </x:row>
    <x:row r="412">
      <x:c r="A412" t="str">
        <x:v>DOS-4-028</x:v>
      </x:c>
      <x:c r="B412" t="n">
        <x:v>4</x:v>
      </x:c>
      <x:c r="C412" t="str">
        <x:v>1590 TROY AVENUE, BROOKLYN, NY, 11234, US</x:v>
      </x:c>
      <x:c r="D412" t="str">
        <x:v>CROISIC FEE OWNER II LLC</x:v>
      </x:c>
      <x:c r="E412" t="str">
        <x:v>CROISIC FEE OWNER II, LLC</x:v>
      </x:c>
      <x:c r="F412" t="str">
        <x:v>Address-corroborated active match</x:v>
      </x:c>
      <x:c r="G412" t="n">
        <x:v>1</x:v>
      </x:c>
      <x:c r="H412" t="n">
        <x:v>2</x:v>
      </x:c>
      <x:c r="I412" t="str">
        <x:v>6803757</x:v>
      </x:c>
      <x:c r="J412" t="str">
        <x:v>CROISIC FEE OWNER II, LLC</x:v>
      </x:c>
      <x:c r="K412" s="55" t="n">
        <x:v>45036</x:v>
      </x:c>
      <x:c r="L412" t="str">
        <x:v>Kings</x:v>
      </x:c>
      <x:c r="M412" t="str">
        <x:v>Delaware</x:v>
      </x:c>
      <x:c r="N412" t="str">
        <x:v>FOREIGN LIMITED LIABILITY COMPANY</x:v>
      </x:c>
      <x:c r="O412" t="str">
        <x:v>CROISIC FEE OWNER II, LLC</x:v>
      </x:c>
      <x:c r="P412" t="str">
        <x:v>1590 troy avenue, BROOKLYN, NY, 11234</x:v>
      </x:c>
      <x:c r="Q412" t="str"/>
      <x:c r="R412" t="str"/>
      <x:c r="S412" t="str"/>
      <x:c r="T412" t="str"/>
      <x:c r="U412" t="str"/>
      <x:c r="V412" t="str"/>
      <x:c r="W412" t="str"/>
      <x:c r="X412" t="str"/>
      <x:c r="Y412" t="str">
        <x:v>https://data.ny.gov/Economic-Development/Active-Corporations-Beginning-1800/n9v6-gdp6</x:v>
      </x:c>
    </x:row>
    <x:row r="413">
      <x:c r="A413" t="str">
        <x:v>DOS-4-028</x:v>
      </x:c>
      <x:c r="B413" t="n">
        <x:v>4</x:v>
      </x:c>
      <x:c r="C413" t="str">
        <x:v>1590 TROY AVENUE, BROOKLYN, NY, 11234, US</x:v>
      </x:c>
      <x:c r="D413" t="str">
        <x:v>JDT REALTY ENTERPRISES LLC</x:v>
      </x:c>
      <x:c r="E413" t="str">
        <x:v>JDT REALTY ENTERPRISES LLC</x:v>
      </x:c>
      <x:c r="F413" t="str">
        <x:v>Active name match</x:v>
      </x:c>
      <x:c r="G413" t="n">
        <x:v>1</x:v>
      </x:c>
      <x:c r="H413" t="n">
        <x:v>0</x:v>
      </x:c>
      <x:c r="I413" t="str">
        <x:v>3772089</x:v>
      </x:c>
      <x:c r="J413" t="str">
        <x:v>JDT REALTY ENTERPRISES LLC</x:v>
      </x:c>
      <x:c r="K413" s="55" t="n">
        <x:v>39850</x:v>
      </x:c>
      <x:c r="L413" t="str">
        <x:v>Kings</x:v>
      </x:c>
      <x:c r="M413" t="str">
        <x:v>New York</x:v>
      </x:c>
      <x:c r="N413" t="str">
        <x:v>DOMESTIC LIMITED LIABILITY COMPANY</x:v>
      </x:c>
      <x:c r="O413" t="str">
        <x:v>C/O CORPORATION SERVICE COMPANY</x:v>
      </x:c>
      <x:c r="P413" t="str">
        <x:v>80 STATE STREET, ALBANY, NY, 122072543</x:v>
      </x:c>
      <x:c r="Q413" t="str"/>
      <x:c r="R413" t="str"/>
      <x:c r="S413" t="str"/>
      <x:c r="T413" t="str"/>
      <x:c r="U413" t="str"/>
      <x:c r="V413" t="str"/>
      <x:c r="W413" t="str"/>
      <x:c r="X413" t="str"/>
      <x:c r="Y413" t="str">
        <x:v>https://data.ny.gov/Economic-Development/Active-Corporations-Beginning-1800/n9v6-gdp6</x:v>
      </x:c>
    </x:row>
    <x:row r="414">
      <x:c r="A414" t="str">
        <x:v>DOS-4-029</x:v>
      </x:c>
      <x:c r="B414" t="n">
        <x:v>4</x:v>
      </x:c>
      <x:c r="C414" t="str">
        <x:v>187-40 HOLLIS AVENUE, HOLLIS, NY, 11423, US</x:v>
      </x:c>
      <x:c r="D414" t="str">
        <x:v>ROYAL BROTHERS HOLDING LLC</x:v>
      </x:c>
      <x:c r="E414" t="str">
        <x:v>ROYAL BROTHERS HOLDING LLC</x:v>
      </x:c>
      <x:c r="F414" t="str">
        <x:v>Active name match</x:v>
      </x:c>
      <x:c r="G414" t="n">
        <x:v>1</x:v>
      </x:c>
      <x:c r="H414" t="n">
        <x:v>0</x:v>
      </x:c>
      <x:c r="I414" t="str">
        <x:v>2917277</x:v>
      </x:c>
      <x:c r="J414" t="str">
        <x:v>ROYAL BROTHERS HOLDING LLC</x:v>
      </x:c>
      <x:c r="K414" s="55" t="n">
        <x:v>37782</x:v>
      </x:c>
      <x:c r="L414" t="str">
        <x:v>Queens</x:v>
      </x:c>
      <x:c r="M414" t="str">
        <x:v>New York</x:v>
      </x:c>
      <x:c r="N414" t="str">
        <x:v>DOMESTIC LIMITED LIABILITY COMPANY</x:v>
      </x:c>
      <x:c r="O414" t="str">
        <x:v>ROYAL BROTHERS HOLDING LLC</x:v>
      </x:c>
      <x:c r="P414" t="str">
        <x:v>160 PLANDOME ROAD, MANHASSET, NY, 11030</x:v>
      </x:c>
      <x:c r="Q414" t="str"/>
      <x:c r="R414" t="str"/>
      <x:c r="S414" t="str"/>
      <x:c r="T414" t="str"/>
      <x:c r="U414" t="str"/>
      <x:c r="V414" t="str"/>
      <x:c r="W414" t="str"/>
      <x:c r="X414" t="str"/>
      <x:c r="Y414" t="str">
        <x:v>https://data.ny.gov/Economic-Development/Active-Corporations-Beginning-1800/n9v6-gdp6</x:v>
      </x:c>
    </x:row>
    <x:row r="415">
      <x:c r="A415" t="str">
        <x:v>DOS-4-029</x:v>
      </x:c>
      <x:c r="B415" t="n">
        <x:v>4</x:v>
      </x:c>
      <x:c r="C415" t="str">
        <x:v>187-40 HOLLIS AVENUE, HOLLIS, NY, 11423, US</x:v>
      </x:c>
      <x:c r="D415" t="str">
        <x:v>ROYAL BROTHERS HOLLIS REALTY LLC</x:v>
      </x:c>
      <x:c r="E415" t="str">
        <x:v>ROYAL BROTHERS HOLLIS REALTY, LLC</x:v>
      </x:c>
      <x:c r="F415" t="str">
        <x:v>Active name match</x:v>
      </x:c>
      <x:c r="G415" t="n">
        <x:v>1</x:v>
      </x:c>
      <x:c r="H415" t="n">
        <x:v>0</x:v>
      </x:c>
      <x:c r="I415" t="str">
        <x:v>3918649</x:v>
      </x:c>
      <x:c r="J415" t="str">
        <x:v>ROYAL BROTHERS HOLLIS REALTY LLC</x:v>
      </x:c>
      <x:c r="K415" s="55" t="n">
        <x:v>40239</x:v>
      </x:c>
      <x:c r="L415" t="str">
        <x:v>Albany</x:v>
      </x:c>
      <x:c r="M415" t="str">
        <x:v>New York</x:v>
      </x:c>
      <x:c r="N415" t="str">
        <x:v>DOMESTIC LIMITED LIABILITY COMPANY</x:v>
      </x:c>
      <x:c r="O415" t="str">
        <x:v>PAUL REALI</x:v>
      </x:c>
      <x:c r="P415" t="str">
        <x:v>160 PLANDOME ROAD, MANHASSET, NY, 11030</x:v>
      </x:c>
      <x:c r="Q415" t="str"/>
      <x:c r="R415" t="str"/>
      <x:c r="S415" t="str"/>
      <x:c r="T415" t="str"/>
      <x:c r="U415" t="str"/>
      <x:c r="V415" t="str"/>
      <x:c r="W415" t="str"/>
      <x:c r="X415" t="str"/>
      <x:c r="Y415" t="str">
        <x:v>https://data.ny.gov/Economic-Development/Active-Corporations-Beginning-1800/n9v6-gdp6</x:v>
      </x:c>
    </x:row>
    <x:row r="416">
      <x:c r="A416" t="str">
        <x:v>DOS-4-029</x:v>
      </x:c>
      <x:c r="B416" t="n">
        <x:v>4</x:v>
      </x:c>
      <x:c r="C416" t="str">
        <x:v>187-40 HOLLIS AVENUE, HOLLIS, NY, 11423, US</x:v>
      </x:c>
      <x:c r="D416" t="str">
        <x:v>ROYAL BROTHERS JAMAICA REALTY LLC</x:v>
      </x:c>
      <x:c r="E416" t="str">
        <x:v>ROYAL BROTHERS JAMAICA REALTY, LLC</x:v>
      </x:c>
      <x:c r="F416" t="str">
        <x:v>Active name match</x:v>
      </x:c>
      <x:c r="G416" t="n">
        <x:v>1</x:v>
      </x:c>
      <x:c r="H416" t="n">
        <x:v>0</x:v>
      </x:c>
      <x:c r="I416" t="str">
        <x:v>4235988</x:v>
      </x:c>
      <x:c r="J416" t="str">
        <x:v>ROYAL BROTHERS JAMAICA REALTY LLC</x:v>
      </x:c>
      <x:c r="K416" s="55" t="n">
        <x:v>41024</x:v>
      </x:c>
      <x:c r="L416" t="str">
        <x:v>Queens</x:v>
      </x:c>
      <x:c r="M416" t="str">
        <x:v>New York</x:v>
      </x:c>
      <x:c r="N416" t="str">
        <x:v>DOMESTIC LIMITED LIABILITY COMPANY</x:v>
      </x:c>
      <x:c r="O416" t="str">
        <x:v>ROYAL BROTHERS JAMAICA REALTY LLC</x:v>
      </x:c>
      <x:c r="P416" t="str">
        <x:v>160 PLANDOME ROAD, MANHASSET, NY, 11030</x:v>
      </x:c>
      <x:c r="Q416" t="str"/>
      <x:c r="R416" t="str"/>
      <x:c r="S416" t="str"/>
      <x:c r="T416" t="str"/>
      <x:c r="U416" t="str"/>
      <x:c r="V416" t="str"/>
      <x:c r="W416" t="str"/>
      <x:c r="X416" t="str"/>
      <x:c r="Y416" t="str">
        <x:v>https://data.ny.gov/Economic-Development/Active-Corporations-Beginning-1800/n9v6-gdp6</x:v>
      </x:c>
    </x:row>
    <x:row r="417">
      <x:c r="A417" t="str">
        <x:v>DOS-4-029</x:v>
      </x:c>
      <x:c r="B417" t="n">
        <x:v>4</x:v>
      </x:c>
      <x:c r="C417" t="str">
        <x:v>187-40 HOLLIS AVENUE, HOLLIS, NY, 11423, US</x:v>
      </x:c>
      <x:c r="D417" t="str">
        <x:v>ROYAL BROTHERS LIBERTY LLC</x:v>
      </x:c>
      <x:c r="E417" t="str">
        <x:v>ROYAL BROTHERS LIBERTY LLC</x:v>
      </x:c>
      <x:c r="F417" t="str">
        <x:v>Active name match</x:v>
      </x:c>
      <x:c r="G417" t="n">
        <x:v>1</x:v>
      </x:c>
      <x:c r="H417" t="n">
        <x:v>0</x:v>
      </x:c>
      <x:c r="I417" t="str">
        <x:v>4656469</x:v>
      </x:c>
      <x:c r="J417" t="str">
        <x:v>ROYAL BROTHERS LIBERTY LLC</x:v>
      </x:c>
      <x:c r="K417" s="55" t="n">
        <x:v>41939</x:v>
      </x:c>
      <x:c r="L417" t="str">
        <x:v>Albany</x:v>
      </x:c>
      <x:c r="M417" t="str">
        <x:v>New York</x:v>
      </x:c>
      <x:c r="N417" t="str">
        <x:v>DOMESTIC LIMITED LIABILITY COMPANY</x:v>
      </x:c>
      <x:c r="O417" t="str">
        <x:v>ROYAL BROTHERS LIBERTY LLC</x:v>
      </x:c>
      <x:c r="P417" t="str">
        <x:v>160 PLANDOME ROAD, MANHASSET, NY, 11030</x:v>
      </x:c>
      <x:c r="Q417" t="str"/>
      <x:c r="R417" t="str"/>
      <x:c r="S417" t="str"/>
      <x:c r="T417" t="str"/>
      <x:c r="U417" t="str"/>
      <x:c r="V417" t="str"/>
      <x:c r="W417" t="str"/>
      <x:c r="X417" t="str"/>
      <x:c r="Y417" t="str">
        <x:v>https://data.ny.gov/Economic-Development/Active-Corporations-Beginning-1800/n9v6-gdp6</x:v>
      </x:c>
    </x:row>
    <x:row r="418">
      <x:c r="A418" t="str">
        <x:v>DOS-4-030</x:v>
      </x:c>
      <x:c r="B418" t="n">
        <x:v>4</x:v>
      </x:c>
      <x:c r="C418" t="str">
        <x:v>272  KEAP ST, BKLYN, NY, US</x:v>
      </x:c>
      <x:c r="D418" t="str">
        <x:v>K AND C I LLC</x:v>
      </x:c>
      <x:c r="E418" t="str">
        <x:v>K&amp;C I LLC</x:v>
      </x:c>
      <x:c r="F418" t="str">
        <x:v>No active DOS match</x:v>
      </x:c>
      <x:c r="G418" t="n">
        <x:v>0</x:v>
      </x:c>
      <x:c r="H418" t="n">
        <x:v>0</x:v>
      </x:c>
      <x:c r="I418" t="str"/>
      <x:c r="J418" t="str"/>
      <x:c r="K418" s="55" t="str"/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>
        <x:v>https://data.ny.gov/Economic-Development/Active-Corporations-Beginning-1800/n9v6-gdp6</x:v>
      </x:c>
    </x:row>
    <x:row r="419">
      <x:c r="A419" t="str">
        <x:v>DOS-4-030</x:v>
      </x:c>
      <x:c r="B419" t="n">
        <x:v>4</x:v>
      </x:c>
      <x:c r="C419" t="str">
        <x:v>272  KEAP ST, BKLYN, NY, US</x:v>
      </x:c>
      <x:c r="D419" t="str">
        <x:v>K AND C II LLC</x:v>
      </x:c>
      <x:c r="E419" t="str">
        <x:v>K&amp;C II LLC</x:v>
      </x:c>
      <x:c r="F419" t="str">
        <x:v>Active name match</x:v>
      </x:c>
      <x:c r="G419" t="n">
        <x:v>1</x:v>
      </x:c>
      <x:c r="H419" t="n">
        <x:v>0</x:v>
      </x:c>
      <x:c r="I419" t="str">
        <x:v>2104485</x:v>
      </x:c>
      <x:c r="J419" t="str">
        <x:v>K&amp;C II, LLC</x:v>
      </x:c>
      <x:c r="K419" s="55" t="n">
        <x:v>35451</x:v>
      </x:c>
      <x:c r="L419" t="str">
        <x:v>Nassau</x:v>
      </x:c>
      <x:c r="M419" t="str">
        <x:v>New York</x:v>
      </x:c>
      <x:c r="N419" t="str">
        <x:v>DOMESTIC LIMITED LIABILITY COMPANY</x:v>
      </x:c>
      <x:c r="O419" t="str">
        <x:v>LEZER CHAIM</x:v>
      </x:c>
      <x:c r="P419" t="str">
        <x:v>272 KEAP ST 1, BROOKLYN, NY, 11211</x:v>
      </x:c>
      <x:c r="Q419" t="str"/>
      <x:c r="R419" t="str"/>
      <x:c r="S419" t="str"/>
      <x:c r="T419" t="str"/>
      <x:c r="U419" t="str"/>
      <x:c r="V419" t="str"/>
      <x:c r="W419" t="str"/>
      <x:c r="X419" t="str"/>
      <x:c r="Y419" t="str">
        <x:v>https://data.ny.gov/Economic-Development/Active-Corporations-Beginning-1800/n9v6-gdp6</x:v>
      </x:c>
    </x:row>
    <x:row r="420">
      <x:c r="A420" t="str">
        <x:v>DOS-4-030</x:v>
      </x:c>
      <x:c r="B420" t="n">
        <x:v>4</x:v>
      </x:c>
      <x:c r="C420" t="str">
        <x:v>272  KEAP ST, BKLYN, NY, US</x:v>
      </x:c>
      <x:c r="D420" t="str">
        <x:v>K AND C III LLC</x:v>
      </x:c>
      <x:c r="E420" t="str">
        <x:v>K&amp;C III, LLC</x:v>
      </x:c>
      <x:c r="F420" t="str">
        <x:v>Active name match</x:v>
      </x:c>
      <x:c r="G420" t="n">
        <x:v>1</x:v>
      </x:c>
      <x:c r="H420" t="n">
        <x:v>0</x:v>
      </x:c>
      <x:c r="I420" t="str">
        <x:v>2104483</x:v>
      </x:c>
      <x:c r="J420" t="str">
        <x:v>K&amp;C III, LLC</x:v>
      </x:c>
      <x:c r="K420" s="55" t="n">
        <x:v>35451</x:v>
      </x:c>
      <x:c r="L420" t="str">
        <x:v>Nassau</x:v>
      </x:c>
      <x:c r="M420" t="str">
        <x:v>New York</x:v>
      </x:c>
      <x:c r="N420" t="str">
        <x:v>DOMESTIC LIMITED LIABILITY COMPANY</x:v>
      </x:c>
      <x:c r="O420" t="str">
        <x:v>LEZER CHAIM</x:v>
      </x:c>
      <x:c r="P420" t="str">
        <x:v>272 KEAP STREET 1, BROOKLYN, NY, 11211</x:v>
      </x:c>
      <x:c r="Q420" t="str"/>
      <x:c r="R420" t="str"/>
      <x:c r="S420" t="str"/>
      <x:c r="T420" t="str"/>
      <x:c r="U420" t="str"/>
      <x:c r="V420" t="str"/>
      <x:c r="W420" t="str"/>
      <x:c r="X420" t="str"/>
      <x:c r="Y420" t="str">
        <x:v>https://data.ny.gov/Economic-Development/Active-Corporations-Beginning-1800/n9v6-gdp6</x:v>
      </x:c>
    </x:row>
    <x:row r="421">
      <x:c r="A421" t="str">
        <x:v>DOS-4-030</x:v>
      </x:c>
      <x:c r="B421" t="n">
        <x:v>4</x:v>
      </x:c>
      <x:c r="C421" t="str">
        <x:v>272  KEAP ST, BKLYN, NY, US</x:v>
      </x:c>
      <x:c r="D421" t="str">
        <x:v>K AND C IV LLC</x:v>
      </x:c>
      <x:c r="E421" t="str">
        <x:v>K&amp;C IV, LLC</x:v>
      </x:c>
      <x:c r="F421" t="str">
        <x:v>Active name match</x:v>
      </x:c>
      <x:c r="G421" t="n">
        <x:v>1</x:v>
      </x:c>
      <x:c r="H421" t="n">
        <x:v>0</x:v>
      </x:c>
      <x:c r="I421" t="str">
        <x:v>2104376</x:v>
      </x:c>
      <x:c r="J421" t="str">
        <x:v>K&amp;C IV, LLC</x:v>
      </x:c>
      <x:c r="K421" s="55" t="n">
        <x:v>35451</x:v>
      </x:c>
      <x:c r="L421" t="str">
        <x:v>Nassau</x:v>
      </x:c>
      <x:c r="M421" t="str">
        <x:v>New York</x:v>
      </x:c>
      <x:c r="N421" t="str">
        <x:v>DOMESTIC LIMITED LIABILITY COMPANY</x:v>
      </x:c>
      <x:c r="O421" t="str">
        <x:v>LEZER CHAIM</x:v>
      </x:c>
      <x:c r="P421" t="str">
        <x:v>272 KEAP STREET 1, BROOKLYN, NY, 11211</x:v>
      </x:c>
      <x:c r="Q421" t="str"/>
      <x:c r="R421" t="str"/>
      <x:c r="S421" t="str"/>
      <x:c r="T421" t="str"/>
      <x:c r="U421" t="str"/>
      <x:c r="V421" t="str"/>
      <x:c r="W421" t="str"/>
      <x:c r="X421" t="str"/>
      <x:c r="Y421" t="str">
        <x:v>https://data.ny.gov/Economic-Development/Active-Corporations-Beginning-1800/n9v6-gdp6</x:v>
      </x:c>
    </x:row>
    <x:row r="422">
      <x:c r="A422" t="str">
        <x:v>DOS-4-031</x:v>
      </x:c>
      <x:c r="B422" t="n">
        <x:v>4</x:v>
      </x:c>
      <x:c r="C422" t="str">
        <x:v>347 FIFTH AVE, 16TH FLOOR, NEW YORK, NY, 10016, US | 347 FIFTH AVE., 16TH FLOOR, NEW YORK, NY, 10016, US</x:v>
      </x:c>
      <x:c r="D422" t="str">
        <x:v>REDROCK MANAGER FO LLC</x:v>
      </x:c>
      <x:c r="E422" t="str">
        <x:v>REDROCK MANAGER FO LLC</x:v>
      </x:c>
      <x:c r="F422" t="str">
        <x:v>Active name match</x:v>
      </x:c>
      <x:c r="G422" t="n">
        <x:v>1</x:v>
      </x:c>
      <x:c r="H422" t="n">
        <x:v>1</x:v>
      </x:c>
      <x:c r="I422" t="str">
        <x:v>7727458</x:v>
      </x:c>
      <x:c r="J422" t="str">
        <x:v>REDROCK MANAGER FO LLC</x:v>
      </x:c>
      <x:c r="K422" s="55" t="n">
        <x:v>45936</x:v>
      </x:c>
      <x:c r="L422" t="str">
        <x:v>New York</x:v>
      </x:c>
      <x:c r="M422" t="str">
        <x:v>Delaware</x:v>
      </x:c>
      <x:c r="N422" t="str">
        <x:v>FOREIGN LIMITED LIABILITY COMPANY</x:v>
      </x:c>
      <x:c r="O422" t="str">
        <x:v>REDROCK MANAGER FO LLC</x:v>
      </x:c>
      <x:c r="P422" t="str">
        <x:v>347 fifth avenue, suite #1600, NEW YORK, NY, 10016</x:v>
      </x:c>
      <x:c r="Q422" t="str"/>
      <x:c r="R422" t="str"/>
      <x:c r="S422" t="str"/>
      <x:c r="T422" t="str"/>
      <x:c r="U422" t="str"/>
      <x:c r="V422" t="str"/>
      <x:c r="W422" t="str"/>
      <x:c r="X422" t="str"/>
      <x:c r="Y422" t="str">
        <x:v>https://data.ny.gov/Economic-Development/Active-Corporations-Beginning-1800/n9v6-gdp6</x:v>
      </x:c>
    </x:row>
    <x:row r="423">
      <x:c r="A423" t="str">
        <x:v>DOS-4-031</x:v>
      </x:c>
      <x:c r="B423" t="n">
        <x:v>4</x:v>
      </x:c>
      <x:c r="C423" t="str">
        <x:v>347 FIFTH AVE, 16TH FLOOR, NEW YORK, NY, 10016, US | 347 FIFTH AVE., 16TH FLOOR, NEW YORK, NY, 10016, US</x:v>
      </x:c>
      <x:c r="D423" t="str">
        <x:v>REDROCK MANAGER REALTY LLC</x:v>
      </x:c>
      <x:c r="E423" t="str">
        <x:v>REDROCK MANAGER REALTY LLC</x:v>
      </x:c>
      <x:c r="F423" t="str">
        <x:v>Active name match</x:v>
      </x:c>
      <x:c r="G423" t="n">
        <x:v>1</x:v>
      </x:c>
      <x:c r="H423" t="n">
        <x:v>1</x:v>
      </x:c>
      <x:c r="I423" t="str">
        <x:v>7727391</x:v>
      </x:c>
      <x:c r="J423" t="str">
        <x:v>REDROCK MANAGER REALTY LLC</x:v>
      </x:c>
      <x:c r="K423" s="55" t="n">
        <x:v>45936</x:v>
      </x:c>
      <x:c r="L423" t="str">
        <x:v>New York</x:v>
      </x:c>
      <x:c r="M423" t="str">
        <x:v>Delaware</x:v>
      </x:c>
      <x:c r="N423" t="str">
        <x:v>FOREIGN LIMITED LIABILITY COMPANY</x:v>
      </x:c>
      <x:c r="O423" t="str">
        <x:v>REDROCK MANAGER REALTY LLC</x:v>
      </x:c>
      <x:c r="P423" t="str">
        <x:v>347 fifth avenue, suite # 1600, NEW YORK, NY, 10016</x:v>
      </x:c>
      <x:c r="Q423" t="str"/>
      <x:c r="R423" t="str"/>
      <x:c r="S423" t="str"/>
      <x:c r="T423" t="str"/>
      <x:c r="U423" t="str"/>
      <x:c r="V423" t="str"/>
      <x:c r="W423" t="str"/>
      <x:c r="X423" t="str"/>
      <x:c r="Y423" t="str">
        <x:v>https://data.ny.gov/Economic-Development/Active-Corporations-Beginning-1800/n9v6-gdp6</x:v>
      </x:c>
    </x:row>
    <x:row r="424">
      <x:c r="A424" t="str">
        <x:v>DOS-4-031</x:v>
      </x:c>
      <x:c r="B424" t="n">
        <x:v>4</x:v>
      </x:c>
      <x:c r="C424" t="str">
        <x:v>347 FIFTH AVE, 16TH FLOOR, NEW YORK, NY, 10016, US | 347 FIFTH AVE., 16TH FLOOR, NEW YORK, NY, 10016, US</x:v>
      </x:c>
      <x:c r="D424" t="str">
        <x:v>REDROCK MANAGER STT LLC</x:v>
      </x:c>
      <x:c r="E424" t="str">
        <x:v>REDROCK MANAGER STT LLC</x:v>
      </x:c>
      <x:c r="F424" t="str">
        <x:v>Active name match</x:v>
      </x:c>
      <x:c r="G424" t="n">
        <x:v>1</x:v>
      </x:c>
      <x:c r="H424" t="n">
        <x:v>1</x:v>
      </x:c>
      <x:c r="I424" t="str">
        <x:v>7727466</x:v>
      </x:c>
      <x:c r="J424" t="str">
        <x:v>REDROCK MANAGER STT LLC</x:v>
      </x:c>
      <x:c r="K424" s="55" t="n">
        <x:v>45936</x:v>
      </x:c>
      <x:c r="L424" t="str">
        <x:v>New York</x:v>
      </x:c>
      <x:c r="M424" t="str">
        <x:v>Delaware</x:v>
      </x:c>
      <x:c r="N424" t="str">
        <x:v>FOREIGN LIMITED LIABILITY COMPANY</x:v>
      </x:c>
      <x:c r="O424" t="str">
        <x:v>REDROCK MANAGER STT LLC</x:v>
      </x:c>
      <x:c r="P424" t="str">
        <x:v>347 fifth avenue, suite #1600, NEW YORK, NY, 10016</x:v>
      </x:c>
      <x:c r="Q424" t="str"/>
      <x:c r="R424" t="str"/>
      <x:c r="S424" t="str"/>
      <x:c r="T424" t="str"/>
      <x:c r="U424" t="str"/>
      <x:c r="V424" t="str"/>
      <x:c r="W424" t="str"/>
      <x:c r="X424" t="str"/>
      <x:c r="Y424" t="str">
        <x:v>https://data.ny.gov/Economic-Development/Active-Corporations-Beginning-1800/n9v6-gdp6</x:v>
      </x:c>
    </x:row>
    <x:row r="425">
      <x:c r="A425" t="str">
        <x:v>DOS-4-031</x:v>
      </x:c>
      <x:c r="B425" t="n">
        <x:v>4</x:v>
      </x:c>
      <x:c r="C425" t="str">
        <x:v>347 FIFTH AVE, 16TH FLOOR, NEW YORK, NY, 10016, US | 347 FIFTH AVE., 16TH FLOOR, NEW YORK, NY, 10016, US</x:v>
      </x:c>
      <x:c r="D425" t="str">
        <x:v>REDROCK MANAGER T3 LLC</x:v>
      </x:c>
      <x:c r="E425" t="str">
        <x:v>REDROCK MANAGER T3 LLC</x:v>
      </x:c>
      <x:c r="F425" t="str">
        <x:v>Active name match</x:v>
      </x:c>
      <x:c r="G425" t="n">
        <x:v>1</x:v>
      </x:c>
      <x:c r="H425" t="n">
        <x:v>1</x:v>
      </x:c>
      <x:c r="I425" t="str">
        <x:v>7727427</x:v>
      </x:c>
      <x:c r="J425" t="str">
        <x:v>REDROCK MANAGER T3 LLC</x:v>
      </x:c>
      <x:c r="K425" s="55" t="n">
        <x:v>45936</x:v>
      </x:c>
      <x:c r="L425" t="str">
        <x:v>New York</x:v>
      </x:c>
      <x:c r="M425" t="str">
        <x:v>Delaware</x:v>
      </x:c>
      <x:c r="N425" t="str">
        <x:v>FOREIGN LIMITED LIABILITY COMPANY</x:v>
      </x:c>
      <x:c r="O425" t="str">
        <x:v>REDROCK MANAGER T3 LLC</x:v>
      </x:c>
      <x:c r="P425" t="str">
        <x:v>347 fifth avenue, suite #1600, NEW YORK, NY, 10016</x:v>
      </x:c>
      <x:c r="Q425" t="str"/>
      <x:c r="R425" t="str"/>
      <x:c r="S425" t="str"/>
      <x:c r="T425" t="str"/>
      <x:c r="U425" t="str"/>
      <x:c r="V425" t="str"/>
      <x:c r="W425" t="str"/>
      <x:c r="X425" t="str"/>
      <x:c r="Y425" t="str">
        <x:v>https://data.ny.gov/Economic-Development/Active-Corporations-Beginning-1800/n9v6-gdp6</x:v>
      </x:c>
    </x:row>
    <x:row r="426">
      <x:c r="A426" t="str">
        <x:v>DOS-4-032</x:v>
      </x:c>
      <x:c r="B426" t="n">
        <x:v>4</x:v>
      </x:c>
      <x:c r="C426" t="str">
        <x:v>3711 SHORE PARKWAY, BROOKLYN, NY, 11235, US</x:v>
      </x:c>
      <x:c r="D426" t="str">
        <x:v>DG CLIFTON LLC</x:v>
      </x:c>
      <x:c r="E426" t="str">
        <x:v>DG CLIFTON LLC</x:v>
      </x:c>
      <x:c r="F426" t="str">
        <x:v>Active name match</x:v>
      </x:c>
      <x:c r="G426" t="n">
        <x:v>1</x:v>
      </x:c>
      <x:c r="H426" t="n">
        <x:v>0</x:v>
      </x:c>
      <x:c r="I426" t="str">
        <x:v>4164116</x:v>
      </x:c>
      <x:c r="J426" t="str">
        <x:v>DG CLIFTON LLC</x:v>
      </x:c>
      <x:c r="K426" s="55" t="n">
        <x:v>40857</x:v>
      </x:c>
      <x:c r="L426" t="str">
        <x:v>Nassau</x:v>
      </x:c>
      <x:c r="M426" t="str">
        <x:v>New York</x:v>
      </x:c>
      <x:c r="N426" t="str">
        <x:v>DOMESTIC LIMITED LIABILITY COMPANY</x:v>
      </x:c>
      <x:c r="O426" t="str">
        <x:v>DG CLIFTON LLC</x:v>
      </x:c>
      <x:c r="P426" t="str">
        <x:v>PO BOX 56, HEWLETT, NY, 11557</x:v>
      </x:c>
      <x:c r="Q426" t="str"/>
      <x:c r="R426" t="str"/>
      <x:c r="S426" t="str"/>
      <x:c r="T426" t="str"/>
      <x:c r="U426" t="str"/>
      <x:c r="V426" t="str"/>
      <x:c r="W426" t="str"/>
      <x:c r="X426" t="str"/>
      <x:c r="Y426" t="str">
        <x:v>https://data.ny.gov/Economic-Development/Active-Corporations-Beginning-1800/n9v6-gdp6</x:v>
      </x:c>
    </x:row>
    <x:row r="427">
      <x:c r="A427" t="str">
        <x:v>DOS-4-032</x:v>
      </x:c>
      <x:c r="B427" t="n">
        <x:v>4</x:v>
      </x:c>
      <x:c r="C427" t="str">
        <x:v>3711 SHORE PARKWAY, BROOKLYN, NY, 11235, US</x:v>
      </x:c>
      <x:c r="D427" t="str">
        <x:v>GJEMS LLC</x:v>
      </x:c>
      <x:c r="E427" t="str">
        <x:v>GJEMS LLC</x:v>
      </x:c>
      <x:c r="F427" t="str">
        <x:v>Active name match</x:v>
      </x:c>
      <x:c r="G427" t="n">
        <x:v>1</x:v>
      </x:c>
      <x:c r="H427" t="n">
        <x:v>0</x:v>
      </x:c>
      <x:c r="I427" t="str">
        <x:v>3045819</x:v>
      </x:c>
      <x:c r="J427" t="str">
        <x:v>GJEMS LLC</x:v>
      </x:c>
      <x:c r="K427" s="55" t="n">
        <x:v>38104</x:v>
      </x:c>
      <x:c r="L427" t="str">
        <x:v>Nassau</x:v>
      </x:c>
      <x:c r="M427" t="str">
        <x:v>New York</x:v>
      </x:c>
      <x:c r="N427" t="str">
        <x:v>DOMESTIC LIMITED LIABILITY COMPANY</x:v>
      </x:c>
      <x:c r="O427" t="str">
        <x:v>GJEMS LLC</x:v>
      </x:c>
      <x:c r="P427" t="str">
        <x:v>P.O. BOX 56, P.O. BOX 56, HEWLETT, NY, 11557</x:v>
      </x:c>
      <x:c r="Q427" t="str"/>
      <x:c r="R427" t="str"/>
      <x:c r="S427" t="str"/>
      <x:c r="T427" t="str"/>
      <x:c r="U427" t="str"/>
      <x:c r="V427" t="str"/>
      <x:c r="W427" t="str"/>
      <x:c r="X427" t="str"/>
      <x:c r="Y427" t="str">
        <x:v>https://data.ny.gov/Economic-Development/Active-Corporations-Beginning-1800/n9v6-gdp6</x:v>
      </x:c>
    </x:row>
    <x:row r="428">
      <x:c r="A428" t="str">
        <x:v>DOS-4-032</x:v>
      </x:c>
      <x:c r="B428" t="n">
        <x:v>4</x:v>
      </x:c>
      <x:c r="C428" t="str">
        <x:v>3711 SHORE PARKWAY, BROOKLYN, NY, 11235, US</x:v>
      </x:c>
      <x:c r="D428" t="str">
        <x:v>SDV NOSTRAND REALTY LLC</x:v>
      </x:c>
      <x:c r="E428" t="str">
        <x:v>SDV NOSTRAND REALTY LLC</x:v>
      </x:c>
      <x:c r="F428" t="str">
        <x:v>Active name match</x:v>
      </x:c>
      <x:c r="G428" t="n">
        <x:v>1</x:v>
      </x:c>
      <x:c r="H428" t="n">
        <x:v>0</x:v>
      </x:c>
      <x:c r="I428" t="str">
        <x:v>2353841</x:v>
      </x:c>
      <x:c r="J428" t="str">
        <x:v>SDV NOSTRAND REALTY LLC</x:v>
      </x:c>
      <x:c r="K428" s="55" t="n">
        <x:v>36228</x:v>
      </x:c>
      <x:c r="L428" t="str">
        <x:v>Nassau</x:v>
      </x:c>
      <x:c r="M428" t="str">
        <x:v>New York</x:v>
      </x:c>
      <x:c r="N428" t="str">
        <x:v>DOMESTIC LIMITED LIABILITY COMPANY</x:v>
      </x:c>
      <x:c r="O428" t="str">
        <x:v>SDV NOSTRAND REALTY LLC</x:v>
      </x:c>
      <x:c r="P428" t="str">
        <x:v>P.O. BOX 56, HEWLETT, NY, 11557</x:v>
      </x:c>
      <x:c r="Q428" t="str"/>
      <x:c r="R428" t="str"/>
      <x:c r="S428" t="str"/>
      <x:c r="T428" t="str"/>
      <x:c r="U428" t="str"/>
      <x:c r="V428" t="str"/>
      <x:c r="W428" t="str"/>
      <x:c r="X428" t="str"/>
      <x:c r="Y428" t="str">
        <x:v>https://data.ny.gov/Economic-Development/Active-Corporations-Beginning-1800/n9v6-gdp6</x:v>
      </x:c>
    </x:row>
    <x:row r="429">
      <x:c r="A429" t="str">
        <x:v>DOS-4-032</x:v>
      </x:c>
      <x:c r="B429" t="n">
        <x:v>4</x:v>
      </x:c>
      <x:c r="C429" t="str">
        <x:v>3711 SHORE PARKWAY, BROOKLYN, NY, 11235, US</x:v>
      </x:c>
      <x:c r="D429" t="str">
        <x:v>SG CLIFTON LLC</x:v>
      </x:c>
      <x:c r="E429" t="str">
        <x:v>SG CLIFTON LLC</x:v>
      </x:c>
      <x:c r="F429" t="str">
        <x:v>Active name match</x:v>
      </x:c>
      <x:c r="G429" t="n">
        <x:v>1</x:v>
      </x:c>
      <x:c r="H429" t="n">
        <x:v>0</x:v>
      </x:c>
      <x:c r="I429" t="str">
        <x:v>4164114</x:v>
      </x:c>
      <x:c r="J429" t="str">
        <x:v>SG CLIFTON LLC</x:v>
      </x:c>
      <x:c r="K429" s="55" t="n">
        <x:v>40857</x:v>
      </x:c>
      <x:c r="L429" t="str">
        <x:v>Nassau</x:v>
      </x:c>
      <x:c r="M429" t="str">
        <x:v>New York</x:v>
      </x:c>
      <x:c r="N429" t="str">
        <x:v>DOMESTIC LIMITED LIABILITY COMPANY</x:v>
      </x:c>
      <x:c r="O429" t="str">
        <x:v>SG CLIFTON LLC</x:v>
      </x:c>
      <x:c r="P429" t="str">
        <x:v>PO BOX 56, HEWLETT, NY, 11557</x:v>
      </x:c>
      <x:c r="Q429" t="str"/>
      <x:c r="R429" t="str"/>
      <x:c r="S429" t="str"/>
      <x:c r="T429" t="str"/>
      <x:c r="U429" t="str"/>
      <x:c r="V429" t="str"/>
      <x:c r="W429" t="str"/>
      <x:c r="X429" t="str"/>
      <x:c r="Y429" t="str">
        <x:v>https://data.ny.gov/Economic-Development/Active-Corporations-Beginning-1800/n9v6-gdp6</x:v>
      </x:c>
    </x:row>
    <x:row r="430">
      <x:c r="A430" t="str">
        <x:v>DOS-4-033</x:v>
      </x:c>
      <x:c r="B430" t="n">
        <x:v>4</x:v>
      </x:c>
      <x:c r="C430" t="str">
        <x:v>68 SUMMIT STREET, BROOKLYN, NY, 11231, US</x:v>
      </x:c>
      <x:c r="D430" t="str">
        <x:v>105 HAMILTON LLC</x:v>
      </x:c>
      <x:c r="E430" t="str">
        <x:v>105 HAMILTON, LLC</x:v>
      </x:c>
      <x:c r="F430" t="str">
        <x:v>Active name match</x:v>
      </x:c>
      <x:c r="G430" t="n">
        <x:v>1</x:v>
      </x:c>
      <x:c r="H430" t="n">
        <x:v>1</x:v>
      </x:c>
      <x:c r="I430" t="str">
        <x:v>5409904</x:v>
      </x:c>
      <x:c r="J430" t="str">
        <x:v>105 HAMILTON LLC</x:v>
      </x:c>
      <x:c r="K430" s="55" t="n">
        <x:v>43357</x:v>
      </x:c>
      <x:c r="L430" t="str">
        <x:v>Nassau</x:v>
      </x:c>
      <x:c r="M430" t="str">
        <x:v>New York</x:v>
      </x:c>
      <x:c r="N430" t="str">
        <x:v>DOMESTIC LIMITED LIABILITY COMPANY</x:v>
      </x:c>
      <x:c r="O430" t="str">
        <x:v>c/o anthony c. viola</x:v>
      </x:c>
      <x:c r="P430" t="str">
        <x:v>p.o. box 310197, BROOKLYN, NY, 11231</x:v>
      </x:c>
      <x:c r="Q430" t="str"/>
      <x:c r="R430" t="str"/>
      <x:c r="S430" t="str"/>
      <x:c r="T430" t="str"/>
      <x:c r="U430" t="str"/>
      <x:c r="V430" t="str"/>
      <x:c r="W430" t="str"/>
      <x:c r="X430" t="str"/>
      <x:c r="Y430" t="str">
        <x:v>https://data.ny.gov/Economic-Development/Active-Corporations-Beginning-1800/n9v6-gdp6</x:v>
      </x:c>
    </x:row>
    <x:row r="431">
      <x:c r="A431" t="str">
        <x:v>DOS-4-033</x:v>
      </x:c>
      <x:c r="B431" t="n">
        <x:v>4</x:v>
      </x:c>
      <x:c r="C431" t="str">
        <x:v>68 SUMMIT STREET, BROOKLYN, NY, 11231, US</x:v>
      </x:c>
      <x:c r="D431" t="str">
        <x:v>638 SACKETT LLC</x:v>
      </x:c>
      <x:c r="E431" t="str">
        <x:v>638 SACKETT, LLC</x:v>
      </x:c>
      <x:c r="F431" t="str">
        <x:v>Active name match</x:v>
      </x:c>
      <x:c r="G431" t="n">
        <x:v>1</x:v>
      </x:c>
      <x:c r="H431" t="n">
        <x:v>1</x:v>
      </x:c>
      <x:c r="I431" t="str">
        <x:v>5261471</x:v>
      </x:c>
      <x:c r="J431" t="str">
        <x:v>638 SACKETT, LLC</x:v>
      </x:c>
      <x:c r="K431" s="55" t="n">
        <x:v>43105</x:v>
      </x:c>
      <x:c r="L431" t="str">
        <x:v>Nassau</x:v>
      </x:c>
      <x:c r="M431" t="str">
        <x:v>New York</x:v>
      </x:c>
      <x:c r="N431" t="str">
        <x:v>DOMESTIC LIMITED LIABILITY COMPANY</x:v>
      </x:c>
      <x:c r="O431" t="str">
        <x:v>C/O ANTHONY C. VIOLA</x:v>
      </x:c>
      <x:c r="P431" t="str">
        <x:v>p.o. box 310197, BROOKLYN, NY, 11231</x:v>
      </x:c>
      <x:c r="Q431" t="str"/>
      <x:c r="R431" t="str"/>
      <x:c r="S431" t="str"/>
      <x:c r="T431" t="str"/>
      <x:c r="U431" t="str"/>
      <x:c r="V431" t="str"/>
      <x:c r="W431" t="str"/>
      <x:c r="X431" t="str"/>
      <x:c r="Y431" t="str">
        <x:v>https://data.ny.gov/Economic-Development/Active-Corporations-Beginning-1800/n9v6-gdp6</x:v>
      </x:c>
    </x:row>
    <x:row r="432">
      <x:c r="A432" t="str">
        <x:v>DOS-4-033</x:v>
      </x:c>
      <x:c r="B432" t="n">
        <x:v>4</x:v>
      </x:c>
      <x:c r="C432" t="str">
        <x:v>68 SUMMIT STREET, BROOKLYN, NY, 11231, US</x:v>
      </x:c>
      <x:c r="D432" t="str">
        <x:v>J E ROBERTS HOLDINGS OF NYC LLC</x:v>
      </x:c>
      <x:c r="E432" t="str">
        <x:v>J.E. ROBERTS HOLDINGS OF NYC, LLC</x:v>
      </x:c>
      <x:c r="F432" t="str">
        <x:v>Active name match</x:v>
      </x:c>
      <x:c r="G432" t="n">
        <x:v>1</x:v>
      </x:c>
      <x:c r="H432" t="n">
        <x:v>1</x:v>
      </x:c>
      <x:c r="I432" t="str">
        <x:v>3327581</x:v>
      </x:c>
      <x:c r="J432" t="str">
        <x:v>J.E. ROBERTS HOLDINGS OF NYC, LLC</x:v>
      </x:c>
      <x:c r="K432" s="55" t="n">
        <x:v>38777</x:v>
      </x:c>
      <x:c r="L432" t="str">
        <x:v>Kings</x:v>
      </x:c>
      <x:c r="M432" t="str"/>
      <x:c r="N432" t="str">
        <x:v>DOMESTIC LIMITED LIABILITY COMPANY</x:v>
      </x:c>
      <x:c r="O432" t="str">
        <x:v>C/O anthony c. viola</x:v>
      </x:c>
      <x:c r="P432" t="str">
        <x:v>p.o. box 310197, BROOKLYN, NY, 11231</x:v>
      </x:c>
      <x:c r="Q432" t="str"/>
      <x:c r="R432" t="str"/>
      <x:c r="S432" t="str"/>
      <x:c r="T432" t="str"/>
      <x:c r="U432" t="str"/>
      <x:c r="V432" t="str"/>
      <x:c r="W432" t="str"/>
      <x:c r="X432" t="str"/>
      <x:c r="Y432" t="str">
        <x:v>https://data.ny.gov/Economic-Development/Active-Corporations-Beginning-1800/n9v6-gdp6</x:v>
      </x:c>
    </x:row>
    <x:row r="433">
      <x:c r="A433" t="str">
        <x:v>DOS-4-033</x:v>
      </x:c>
      <x:c r="B433" t="n">
        <x:v>4</x:v>
      </x:c>
      <x:c r="C433" t="str">
        <x:v>68 SUMMIT STREET, BROOKLYN, NY, 11231, US</x:v>
      </x:c>
      <x:c r="D433" t="str">
        <x:v>J E ROBERTS OF NYC LLC</x:v>
      </x:c>
      <x:c r="E433" t="str">
        <x:v>J.E. ROBERTS OF NYC, LLC</x:v>
      </x:c>
      <x:c r="F433" t="str">
        <x:v>No active DOS match</x:v>
      </x:c>
      <x:c r="G433" t="n">
        <x:v>0</x:v>
      </x:c>
      <x:c r="H433" t="n">
        <x:v>0</x:v>
      </x:c>
      <x:c r="I433" t="str"/>
      <x:c r="J433" t="str"/>
      <x:c r="K433" s="55" t="str"/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>
        <x:v>https://data.ny.gov/Economic-Development/Active-Corporations-Beginning-1800/n9v6-gdp6</x:v>
      </x:c>
    </x:row>
    <x:row r="434">
      <x:c r="A434" t="str">
        <x:v>DOS-4-034</x:v>
      </x:c>
      <x:c r="B434" t="n">
        <x:v>4</x:v>
      </x:c>
      <x:c r="C434" t="str">
        <x:v>DUELL LLC, 5  EAST 57TH STREET, NY, NY, 10022, US</x:v>
      </x:c>
      <x:c r="D434" t="str">
        <x:v>1 4 MANAGEMENT LLC</x:v>
      </x:c>
      <x:c r="E434" t="str">
        <x:v>1-4 MANAGEMENT LLC</x:v>
      </x:c>
      <x:c r="F434" t="str">
        <x:v>Active name match</x:v>
      </x:c>
      <x:c r="G434" t="n">
        <x:v>1</x:v>
      </x:c>
      <x:c r="H434" t="n">
        <x:v>1</x:v>
      </x:c>
      <x:c r="I434" t="str">
        <x:v>2211185</x:v>
      </x:c>
      <x:c r="J434" t="str">
        <x:v>1-4 MANAGEMENT LLC</x:v>
      </x:c>
      <x:c r="K434" s="55" t="n">
        <x:v>35787</x:v>
      </x:c>
      <x:c r="L434" t="str">
        <x:v>New York</x:v>
      </x:c>
      <x:c r="M434" t="str">
        <x:v>New York</x:v>
      </x:c>
      <x:c r="N434" t="str">
        <x:v>DOMESTIC LIMITED LIABILITY COMPANY</x:v>
      </x:c>
      <x:c r="O434" t="str">
        <x:v>1-4 MANAGEMENT LLC</x:v>
      </x:c>
      <x:c r="P434" t="str">
        <x:v>FIVE EAST 57TH ST, 10TH FLR, NEW YORK, NY, 10022</x:v>
      </x:c>
      <x:c r="Q434" t="str"/>
      <x:c r="R434" t="str"/>
      <x:c r="S434" t="str"/>
      <x:c r="T434" t="str"/>
      <x:c r="U434" t="str"/>
      <x:c r="V434" t="str"/>
      <x:c r="W434" t="str"/>
      <x:c r="X434" t="str"/>
      <x:c r="Y434" t="str">
        <x:v>https://data.ny.gov/Economic-Development/Active-Corporations-Beginning-1800/n9v6-gdp6</x:v>
      </x:c>
    </x:row>
    <x:row r="435">
      <x:c r="A435" t="str">
        <x:v>DOS-4-034</x:v>
      </x:c>
      <x:c r="B435" t="n">
        <x:v>4</x:v>
      </x:c>
      <x:c r="C435" t="str">
        <x:v>DUELL LLC, 5  EAST 57TH STREET, NY, NY, 10022, US</x:v>
      </x:c>
      <x:c r="D435" t="str">
        <x:v>10 12 LLC</x:v>
      </x:c>
      <x:c r="E435" t="str">
        <x:v>10-12 LLC</x:v>
      </x:c>
      <x:c r="F435" t="str">
        <x:v>Active name match</x:v>
      </x:c>
      <x:c r="G435" t="n">
        <x:v>1</x:v>
      </x:c>
      <x:c r="H435" t="n">
        <x:v>0</x:v>
      </x:c>
      <x:c r="I435" t="str">
        <x:v>2211561</x:v>
      </x:c>
      <x:c r="J435" t="str">
        <x:v>10-12 LLC</x:v>
      </x:c>
      <x:c r="K435" s="55" t="n">
        <x:v>35788</x:v>
      </x:c>
      <x:c r="L435" t="str">
        <x:v>New York</x:v>
      </x:c>
      <x:c r="M435" t="str">
        <x:v>New York</x:v>
      </x:c>
      <x:c r="N435" t="str">
        <x:v>DOMESTIC LIMITED LIABILITY COMPANY</x:v>
      </x:c>
      <x:c r="O435" t="str">
        <x:v>C/O LEOR MANAGEMENT CORP.</x:v>
      </x:c>
      <x:c r="P435" t="str">
        <x:v>143 West 72nd Street, 4th Floor, NEW YORK, NY, 10023</x:v>
      </x:c>
      <x:c r="Q435" t="str"/>
      <x:c r="R435" t="str"/>
      <x:c r="S435" t="str"/>
      <x:c r="T435" t="str"/>
      <x:c r="U435" t="str"/>
      <x:c r="V435" t="str"/>
      <x:c r="W435" t="str"/>
      <x:c r="X435" t="str"/>
      <x:c r="Y435" t="str">
        <x:v>https://data.ny.gov/Economic-Development/Active-Corporations-Beginning-1800/n9v6-gdp6</x:v>
      </x:c>
    </x:row>
    <x:row r="436">
      <x:c r="A436" t="str">
        <x:v>DOS-4-034</x:v>
      </x:c>
      <x:c r="B436" t="n">
        <x:v>4</x:v>
      </x:c>
      <x:c r="C436" t="str">
        <x:v>DUELL LLC, 5  EAST 57TH STREET, NY, NY, 10022, US</x:v>
      </x:c>
      <x:c r="D436" t="str">
        <x:v>148 LLC</x:v>
      </x:c>
      <x:c r="E436" t="str">
        <x:v>148 LLC</x:v>
      </x:c>
      <x:c r="F436" t="str">
        <x:v>Address-corroborated active match</x:v>
      </x:c>
      <x:c r="G436" t="n">
        <x:v>1</x:v>
      </x:c>
      <x:c r="H436" t="n">
        <x:v>2</x:v>
      </x:c>
      <x:c r="I436" t="str">
        <x:v>2211181</x:v>
      </x:c>
      <x:c r="J436" t="str">
        <x:v>148 LLC</x:v>
      </x:c>
      <x:c r="K436" s="55" t="n">
        <x:v>35787</x:v>
      </x:c>
      <x:c r="L436" t="str">
        <x:v>New York</x:v>
      </x:c>
      <x:c r="M436" t="str">
        <x:v>New York</x:v>
      </x:c>
      <x:c r="N436" t="str">
        <x:v>DOMESTIC LIMITED LIABILITY COMPANY</x:v>
      </x:c>
      <x:c r="O436" t="str">
        <x:v>C/O DUELL LLC</x:v>
      </x:c>
      <x:c r="P436" t="str">
        <x:v>5 EAST 57TH ST, 10TH FL, NEW YORK, NY, 10022</x:v>
      </x:c>
      <x:c r="Q436" t="str"/>
      <x:c r="R436" t="str"/>
      <x:c r="S436" t="str"/>
      <x:c r="T436" t="str"/>
      <x:c r="U436" t="str"/>
      <x:c r="V436" t="str"/>
      <x:c r="W436" t="str"/>
      <x:c r="X436" t="str"/>
      <x:c r="Y436" t="str">
        <x:v>https://data.ny.gov/Economic-Development/Active-Corporations-Beginning-1800/n9v6-gdp6</x:v>
      </x:c>
    </x:row>
    <x:row r="437">
      <x:c r="A437" t="str">
        <x:v>DOS-4-034</x:v>
      </x:c>
      <x:c r="B437" t="n">
        <x:v>4</x:v>
      </x:c>
      <x:c r="C437" t="str">
        <x:v>DUELL LLC, 5  EAST 57TH STREET, NY, NY, 10022, US</x:v>
      </x:c>
      <x:c r="D437" t="str">
        <x:v>453 LLC</x:v>
      </x:c>
      <x:c r="E437" t="str">
        <x:v>453 LLC</x:v>
      </x:c>
      <x:c r="F437" t="str">
        <x:v>Active name match</x:v>
      </x:c>
      <x:c r="G437" t="n">
        <x:v>1</x:v>
      </x:c>
      <x:c r="H437" t="n">
        <x:v>1</x:v>
      </x:c>
      <x:c r="I437" t="str">
        <x:v>2211228</x:v>
      </x:c>
      <x:c r="J437" t="str">
        <x:v>453 LLC</x:v>
      </x:c>
      <x:c r="K437" s="55" t="n">
        <x:v>35787</x:v>
      </x:c>
      <x:c r="L437" t="str">
        <x:v>New York</x:v>
      </x:c>
      <x:c r="M437" t="str">
        <x:v>New York</x:v>
      </x:c>
      <x:c r="N437" t="str">
        <x:v>DOMESTIC LIMITED LIABILITY COMPANY</x:v>
      </x:c>
      <x:c r="O437" t="str">
        <x:v>C/O DUELL LLC</x:v>
      </x:c>
      <x:c r="P437" t="str">
        <x:v>FIVE EAST 57TH STREET, NEW YORK, NY, 10022</x:v>
      </x:c>
      <x:c r="Q437" t="str"/>
      <x:c r="R437" t="str"/>
      <x:c r="S437" t="str"/>
      <x:c r="T437" t="str"/>
      <x:c r="U437" t="str"/>
      <x:c r="V437" t="str"/>
      <x:c r="W437" t="str"/>
      <x:c r="X437" t="str"/>
      <x:c r="Y437" t="str">
        <x:v>https://data.ny.gov/Economic-Development/Active-Corporations-Beginning-1800/n9v6-gdp6</x:v>
      </x:c>
    </x:row>
    <x:row r="438">
      <x:c r="A438" t="str">
        <x:v>DOS-4-035</x:v>
      </x:c>
      <x:c r="B438" t="n">
        <x:v>4</x:v>
      </x:c>
      <x:c r="C438" t="str">
        <x:v>150 OLD MAMARONECK ROAD, WHITE PLAINS, NY, 10605, US</x:v>
      </x:c>
      <x:c r="D438" t="str">
        <x:v>49 47 31ST STREET LLC</x:v>
      </x:c>
      <x:c r="E438" t="str">
        <x:v>49-47 31ST STREET LLC</x:v>
      </x:c>
      <x:c r="F438" t="str">
        <x:v>Active name match</x:v>
      </x:c>
      <x:c r="G438" t="n">
        <x:v>1</x:v>
      </x:c>
      <x:c r="H438" t="n">
        <x:v>1</x:v>
      </x:c>
      <x:c r="I438" t="str">
        <x:v>2259161</x:v>
      </x:c>
      <x:c r="J438" t="str">
        <x:v>49-47 31ST STREET LLC</x:v>
      </x:c>
      <x:c r="K438" s="55" t="n">
        <x:v>35928</x:v>
      </x:c>
      <x:c r="L438" t="str">
        <x:v>Queens</x:v>
      </x:c>
      <x:c r="M438" t="str">
        <x:v>New York</x:v>
      </x:c>
      <x:c r="N438" t="str">
        <x:v>DOMESTIC LIMITED LIABILITY COMPANY</x:v>
      </x:c>
      <x:c r="O438" t="str">
        <x:v>49-47 31ST STREET LLC</x:v>
      </x:c>
      <x:c r="P438" t="str">
        <x:v>150 OLD MAMARONECK RD, WHITE PLAINS, NY, 10605</x:v>
      </x:c>
      <x:c r="Q438" t="str"/>
      <x:c r="R438" t="str"/>
      <x:c r="S438" t="str"/>
      <x:c r="T438" t="str">
        <x:v>NEW YORK</x:v>
      </x:c>
      <x:c r="U438" t="str"/>
      <x:c r="V438" t="str"/>
      <x:c r="W438" t="str"/>
      <x:c r="X438" t="str"/>
      <x:c r="Y438" t="str">
        <x:v>https://data.ny.gov/Economic-Development/Active-Corporations-Beginning-1800/n9v6-gdp6</x:v>
      </x:c>
    </x:row>
    <x:row r="439">
      <x:c r="A439" t="str">
        <x:v>DOS-4-035</x:v>
      </x:c>
      <x:c r="B439" t="n">
        <x:v>4</x:v>
      </x:c>
      <x:c r="C439" t="str">
        <x:v>150 OLD MAMARONECK ROAD, WHITE PLAINS, NY, 10605, US</x:v>
      </x:c>
      <x:c r="D439" t="str">
        <x:v>JP 65 ARDEN LLC</x:v>
      </x:c>
      <x:c r="E439" t="str">
        <x:v>JP 65 ARDEN LLC</x:v>
      </x:c>
      <x:c r="F439" t="str">
        <x:v>Address-corroborated active match</x:v>
      </x:c>
      <x:c r="G439" t="n">
        <x:v>1</x:v>
      </x:c>
      <x:c r="H439" t="n">
        <x:v>2</x:v>
      </x:c>
      <x:c r="I439" t="str">
        <x:v>7747420</x:v>
      </x:c>
      <x:c r="J439" t="str">
        <x:v>JP 65 ARDEN LLC</x:v>
      </x:c>
      <x:c r="K439" s="55" t="n">
        <x:v>45960</x:v>
      </x:c>
      <x:c r="L439" t="str">
        <x:v>Westchester</x:v>
      </x:c>
      <x:c r="M439" t="str">
        <x:v>New York</x:v>
      </x:c>
      <x:c r="N439" t="str">
        <x:v>DOMESTIC LIMITED LIABILITY COMPANY</x:v>
      </x:c>
      <x:c r="O439" t="str">
        <x:v>C/O Oakland Trading Corp.</x:v>
      </x:c>
      <x:c r="P439" t="str">
        <x:v>150 Old Mamaroneck Road, White Plains, NY, 10605</x:v>
      </x:c>
      <x:c r="Q439" t="str"/>
      <x:c r="R439" t="str"/>
      <x:c r="S439" t="str"/>
      <x:c r="T439" t="str"/>
      <x:c r="U439" t="str"/>
      <x:c r="V439" t="str"/>
      <x:c r="W439" t="str"/>
      <x:c r="X439" t="str"/>
      <x:c r="Y439" t="str">
        <x:v>https://data.ny.gov/Economic-Development/Active-Corporations-Beginning-1800/n9v6-gdp6</x:v>
      </x:c>
    </x:row>
    <x:row r="440">
      <x:c r="A440" t="str">
        <x:v>DOS-4-035</x:v>
      </x:c>
      <x:c r="B440" t="n">
        <x:v>4</x:v>
      </x:c>
      <x:c r="C440" t="str">
        <x:v>150 OLD MAMARONECK ROAD, WHITE PLAINS, NY, 10605, US</x:v>
      </x:c>
      <x:c r="D440" t="str">
        <x:v>JP 7589 LLC</x:v>
      </x:c>
      <x:c r="E440" t="str">
        <x:v>JP 7589 LLC</x:v>
      </x:c>
      <x:c r="F440" t="str">
        <x:v>Address-corroborated active match</x:v>
      </x:c>
      <x:c r="G440" t="n">
        <x:v>1</x:v>
      </x:c>
      <x:c r="H440" t="n">
        <x:v>2</x:v>
      </x:c>
      <x:c r="I440" t="str">
        <x:v>7161377</x:v>
      </x:c>
      <x:c r="J440" t="str">
        <x:v>JP 7589 LLC</x:v>
      </x:c>
      <x:c r="K440" s="55" t="n">
        <x:v>45217</x:v>
      </x:c>
      <x:c r="L440" t="str">
        <x:v>Westchester</x:v>
      </x:c>
      <x:c r="M440" t="str">
        <x:v>New York</x:v>
      </x:c>
      <x:c r="N440" t="str">
        <x:v>DOMESTIC LIMITED LIABILITY COMPANY</x:v>
      </x:c>
      <x:c r="O440" t="str">
        <x:v>C/O Oakland Trading Corp.</x:v>
      </x:c>
      <x:c r="P440" t="str">
        <x:v>150 Old Mamaroneck Road, White Plains, NY, 10605</x:v>
      </x:c>
      <x:c r="Q440" t="str"/>
      <x:c r="R440" t="str"/>
      <x:c r="S440" t="str"/>
      <x:c r="T440" t="str"/>
      <x:c r="U440" t="str"/>
      <x:c r="V440" t="str"/>
      <x:c r="W440" t="str"/>
      <x:c r="X440" t="str"/>
      <x:c r="Y440" t="str">
        <x:v>https://data.ny.gov/Economic-Development/Active-Corporations-Beginning-1800/n9v6-gdp6</x:v>
      </x:c>
    </x:row>
    <x:row r="441">
      <x:c r="A441" t="str">
        <x:v>DOS-4-035</x:v>
      </x:c>
      <x:c r="B441" t="n">
        <x:v>4</x:v>
      </x:c>
      <x:c r="C441" t="str">
        <x:v>150 OLD MAMARONECK ROAD, WHITE PLAINS, NY, 10605, US</x:v>
      </x:c>
      <x:c r="D441" t="str">
        <x:v>JPP 24TH AVE LLC</x:v>
      </x:c>
      <x:c r="E441" t="str">
        <x:v>JPP 24TH AVE LLC</x:v>
      </x:c>
      <x:c r="F441" t="str">
        <x:v>Address-corroborated active match</x:v>
      </x:c>
      <x:c r="G441" t="n">
        <x:v>1</x:v>
      </x:c>
      <x:c r="H441" t="n">
        <x:v>2</x:v>
      </x:c>
      <x:c r="I441" t="str">
        <x:v>5940457</x:v>
      </x:c>
      <x:c r="J441" t="str">
        <x:v>JPP 24TH AVE LLC</x:v>
      </x:c>
      <x:c r="K441" s="55" t="n">
        <x:v>44239</x:v>
      </x:c>
      <x:c r="L441" t="str">
        <x:v>Queens</x:v>
      </x:c>
      <x:c r="M441" t="str">
        <x:v>New York</x:v>
      </x:c>
      <x:c r="N441" t="str">
        <x:v>DOMESTIC LIMITED LIABILITY COMPANY</x:v>
      </x:c>
      <x:c r="O441" t="str">
        <x:v>JPP 24TH AVE LLC</x:v>
      </x:c>
      <x:c r="P441" t="str">
        <x:v>150 OLD MAMARONECK ROAD, WHITE PLAINS, NY, 10605</x:v>
      </x:c>
      <x:c r="Q441" t="str"/>
      <x:c r="R441" t="str"/>
      <x:c r="S441" t="str"/>
      <x:c r="T441" t="str"/>
      <x:c r="U441" t="str"/>
      <x:c r="V441" t="str"/>
      <x:c r="W441" t="str"/>
      <x:c r="X441" t="str"/>
      <x:c r="Y441" t="str">
        <x:v>https://data.ny.gov/Economic-Development/Active-Corporations-Beginning-1800/n9v6-gdp6</x:v>
      </x:c>
    </x:row>
    <x:row r="442">
      <x:c r="A442" t="str">
        <x:v>DOS-4-036</x:v>
      </x:c>
      <x:c r="B442" t="n">
        <x:v>4</x:v>
      </x:c>
      <x:c r="C442" t="str">
        <x:v>2361 NOSTRAND AVENUE, SUITE 901, BROOKLYN, NY, 11210, US</x:v>
      </x:c>
      <x:c r="D442" t="str">
        <x:v>1212 SEAGIRT LLC</x:v>
      </x:c>
      <x:c r="E442" t="str">
        <x:v>1212 SEAGIRT LLC</x:v>
      </x:c>
      <x:c r="F442" t="str">
        <x:v>Active name match</x:v>
      </x:c>
      <x:c r="G442" t="n">
        <x:v>1</x:v>
      </x:c>
      <x:c r="H442" t="n">
        <x:v>1</x:v>
      </x:c>
      <x:c r="I442" t="str">
        <x:v>6398442</x:v>
      </x:c>
      <x:c r="J442" t="str">
        <x:v>1212 SEAGIRT LLC</x:v>
      </x:c>
      <x:c r="K442" s="55" t="n">
        <x:v>44600</x:v>
      </x:c>
      <x:c r="L442" t="str">
        <x:v>Kings</x:v>
      </x:c>
      <x:c r="M442" t="str">
        <x:v>New York</x:v>
      </x:c>
      <x:c r="N442" t="str">
        <x:v>DOMESTIC LIMITED LIABILITY COMPANY</x:v>
      </x:c>
      <x:c r="O442" t="str">
        <x:v>THE MARCAL GROUP LLC</x:v>
      </x:c>
      <x:c r="P442" t="str">
        <x:v>2361 NOSTRAND AVE, SUITE 901, BROOKLYN, NY, 11210</x:v>
      </x:c>
      <x:c r="Q442" t="str"/>
      <x:c r="R442" t="str"/>
      <x:c r="S442" t="str"/>
      <x:c r="T442" t="str"/>
      <x:c r="U442" t="str"/>
      <x:c r="V442" t="str"/>
      <x:c r="W442" t="str"/>
      <x:c r="X442" t="str"/>
      <x:c r="Y442" t="str">
        <x:v>https://data.ny.gov/Economic-Development/Active-Corporations-Beginning-1800/n9v6-gdp6</x:v>
      </x:c>
    </x:row>
    <x:row r="443">
      <x:c r="A443" t="str">
        <x:v>DOS-4-036</x:v>
      </x:c>
      <x:c r="B443" t="n">
        <x:v>4</x:v>
      </x:c>
      <x:c r="C443" t="str">
        <x:v>2361 NOSTRAND AVENUE, SUITE 901, BROOKLYN, NY, 11210, US</x:v>
      </x:c>
      <x:c r="D443" t="str">
        <x:v>147 BEACH 116 LLC</x:v>
      </x:c>
      <x:c r="E443" t="str">
        <x:v>147 BEACH 116 LLC</x:v>
      </x:c>
      <x:c r="F443" t="str">
        <x:v>Address-corroborated active match</x:v>
      </x:c>
      <x:c r="G443" t="n">
        <x:v>1</x:v>
      </x:c>
      <x:c r="H443" t="n">
        <x:v>2</x:v>
      </x:c>
      <x:c r="I443" t="str">
        <x:v>6564811</x:v>
      </x:c>
      <x:c r="J443" t="str">
        <x:v>147 BEACH 116 LLC</x:v>
      </x:c>
      <x:c r="K443" s="55" t="n">
        <x:v>44790</x:v>
      </x:c>
      <x:c r="L443" t="str">
        <x:v>Kings</x:v>
      </x:c>
      <x:c r="M443" t="str">
        <x:v>New York</x:v>
      </x:c>
      <x:c r="N443" t="str">
        <x:v>DOMESTIC LIMITED LIABILITY COMPANY</x:v>
      </x:c>
      <x:c r="O443" t="str">
        <x:v>147 BEACH 116 LLC</x:v>
      </x:c>
      <x:c r="P443" t="str">
        <x:v>2361 NOSTRAND AVENUE, SUITE 901, BROOKLYN, NY, 11210</x:v>
      </x:c>
      <x:c r="Q443" t="str"/>
      <x:c r="R443" t="str"/>
      <x:c r="S443" t="str"/>
      <x:c r="T443" t="str"/>
      <x:c r="U443" t="str"/>
      <x:c r="V443" t="str"/>
      <x:c r="W443" t="str"/>
      <x:c r="X443" t="str"/>
      <x:c r="Y443" t="str">
        <x:v>https://data.ny.gov/Economic-Development/Active-Corporations-Beginning-1800/n9v6-gdp6</x:v>
      </x:c>
    </x:row>
    <x:row r="444">
      <x:c r="A444" t="str">
        <x:v>DOS-4-036</x:v>
      </x:c>
      <x:c r="B444" t="n">
        <x:v>4</x:v>
      </x:c>
      <x:c r="C444" t="str">
        <x:v>2361 NOSTRAND AVENUE, SUITE 901, BROOKLYN, NY, 11210, US</x:v>
      </x:c>
      <x:c r="D444" t="str">
        <x:v>1700 FLATBUSH AVE HOLDINGS LLC</x:v>
      </x:c>
      <x:c r="E444" t="str">
        <x:v>1700 FLATBUSH AVE HOLDINGS LLC</x:v>
      </x:c>
      <x:c r="F444" t="str">
        <x:v>Address-corroborated active match</x:v>
      </x:c>
      <x:c r="G444" t="n">
        <x:v>1</x:v>
      </x:c>
      <x:c r="H444" t="n">
        <x:v>2</x:v>
      </x:c>
      <x:c r="I444" t="str">
        <x:v>6637693</x:v>
      </x:c>
      <x:c r="J444" t="str">
        <x:v>1700 FLATBUSH AVE HOLDINGS LLC</x:v>
      </x:c>
      <x:c r="K444" s="55" t="n">
        <x:v>44873</x:v>
      </x:c>
      <x:c r="L444" t="str">
        <x:v>Kings</x:v>
      </x:c>
      <x:c r="M444" t="str">
        <x:v>New York</x:v>
      </x:c>
      <x:c r="N444" t="str">
        <x:v>DOMESTIC LIMITED LIABILITY COMPANY</x:v>
      </x:c>
      <x:c r="O444" t="str">
        <x:v>1700 FLATBUSH AVE HOLDINGS LLC</x:v>
      </x:c>
      <x:c r="P444" t="str">
        <x:v>2361 NOSTRAND AVENUE, SUITE 901, BROOKLYN, NY, 11210</x:v>
      </x:c>
      <x:c r="Q444" t="str"/>
      <x:c r="R444" t="str"/>
      <x:c r="S444" t="str"/>
      <x:c r="T444" t="str"/>
      <x:c r="U444" t="str"/>
      <x:c r="V444" t="str"/>
      <x:c r="W444" t="str"/>
      <x:c r="X444" t="str"/>
      <x:c r="Y444" t="str">
        <x:v>https://data.ny.gov/Economic-Development/Active-Corporations-Beginning-1800/n9v6-gdp6</x:v>
      </x:c>
    </x:row>
    <x:row r="445">
      <x:c r="A445" t="str">
        <x:v>DOS-4-036</x:v>
      </x:c>
      <x:c r="B445" t="n">
        <x:v>4</x:v>
      </x:c>
      <x:c r="C445" t="str">
        <x:v>2361 NOSTRAND AVENUE, SUITE 901, BROOKLYN, NY, 11210, US</x:v>
      </x:c>
      <x:c r="D445" t="str">
        <x:v>CH102 HOLDING LLC</x:v>
      </x:c>
      <x:c r="E445" t="str">
        <x:v>CH102 HOLDING LLC</x:v>
      </x:c>
      <x:c r="F445" t="str">
        <x:v>Active name match</x:v>
      </x:c>
      <x:c r="G445" t="n">
        <x:v>1</x:v>
      </x:c>
      <x:c r="H445" t="n">
        <x:v>0</x:v>
      </x:c>
      <x:c r="I445" t="str">
        <x:v>5490734</x:v>
      </x:c>
      <x:c r="J445" t="str">
        <x:v>CH102 HOLDING LLC</x:v>
      </x:c>
      <x:c r="K445" s="55" t="n">
        <x:v>43503</x:v>
      </x:c>
      <x:c r="L445" t="str">
        <x:v>Kings</x:v>
      </x:c>
      <x:c r="M445" t="str">
        <x:v>New York</x:v>
      </x:c>
      <x:c r="N445" t="str">
        <x:v>DOMESTIC LIMITED LIABILITY COMPANY</x:v>
      </x:c>
      <x:c r="O445" t="str">
        <x:v>CH102 HOLDING LLC</x:v>
      </x:c>
      <x:c r="P445" t="str">
        <x:v>620 FOSTER AVENUE, SUITE 301, BROOKLYN, NY, 11230</x:v>
      </x:c>
      <x:c r="Q445" t="str"/>
      <x:c r="R445" t="str"/>
      <x:c r="S445" t="str"/>
      <x:c r="T445" t="str"/>
      <x:c r="U445" t="str"/>
      <x:c r="V445" t="str"/>
      <x:c r="W445" t="str"/>
      <x:c r="X445" t="str"/>
      <x:c r="Y445" t="str">
        <x:v>https://data.ny.gov/Economic-Development/Active-Corporations-Beginning-1800/n9v6-gdp6</x:v>
      </x:c>
    </x:row>
    <x:row r="446">
      <x:c r="A446" t="str">
        <x:v>DOS-4-037</x:v>
      </x:c>
      <x:c r="B446" t="n">
        <x:v>4</x:v>
      </x:c>
      <x:c r="C446" t="str">
        <x:v>715 PARK LANE, CEDARHURST, NY, 11516, US</x:v>
      </x:c>
      <x:c r="D446" t="str">
        <x:v>1267 EAST 88 ST LLC</x:v>
      </x:c>
      <x:c r="E446" t="str">
        <x:v>1267 EAST 88 ST LLC</x:v>
      </x:c>
      <x:c r="F446" t="str">
        <x:v>Active name match</x:v>
      </x:c>
      <x:c r="G446" t="n">
        <x:v>1</x:v>
      </x:c>
      <x:c r="H446" t="n">
        <x:v>1</x:v>
      </x:c>
      <x:c r="I446" t="str">
        <x:v>5286579</x:v>
      </x:c>
      <x:c r="J446" t="str">
        <x:v>1267 EAST 88 ST LLC</x:v>
      </x:c>
      <x:c r="K446" s="55" t="n">
        <x:v>43145</x:v>
      </x:c>
      <x:c r="L446" t="str">
        <x:v>Nassau</x:v>
      </x:c>
      <x:c r="M446" t="str">
        <x:v>New York</x:v>
      </x:c>
      <x:c r="N446" t="str">
        <x:v>DOMESTIC LIMITED LIABILITY COMPANY</x:v>
      </x:c>
      <x:c r="O446" t="str">
        <x:v>1267 EAST 88 ST LLC</x:v>
      </x:c>
      <x:c r="P446" t="str">
        <x:v>525 LINCOLN STREET, CEDARHURST, NY, 11516</x:v>
      </x:c>
      <x:c r="Q446" t="str"/>
      <x:c r="R446" t="str"/>
      <x:c r="S446" t="str"/>
      <x:c r="T446" t="str"/>
      <x:c r="U446" t="str"/>
      <x:c r="V446" t="str"/>
      <x:c r="W446" t="str"/>
      <x:c r="X446" t="str"/>
      <x:c r="Y446" t="str">
        <x:v>https://data.ny.gov/Economic-Development/Active-Corporations-Beginning-1800/n9v6-gdp6</x:v>
      </x:c>
    </x:row>
    <x:row r="447">
      <x:c r="A447" t="str">
        <x:v>DOS-4-037</x:v>
      </x:c>
      <x:c r="B447" t="n">
        <x:v>4</x:v>
      </x:c>
      <x:c r="C447" t="str">
        <x:v>715 PARK LANE, CEDARHURST, NY, 11516, US</x:v>
      </x:c>
      <x:c r="D447" t="str">
        <x:v>4225 MONTICELLO LLC</x:v>
      </x:c>
      <x:c r="E447" t="str">
        <x:v>4225 MONTICELLO LLC</x:v>
      </x:c>
      <x:c r="F447" t="str">
        <x:v>Active name match</x:v>
      </x:c>
      <x:c r="G447" t="n">
        <x:v>1</x:v>
      </x:c>
      <x:c r="H447" t="n">
        <x:v>1</x:v>
      </x:c>
      <x:c r="I447" t="str">
        <x:v>5359022</x:v>
      </x:c>
      <x:c r="J447" t="str">
        <x:v>4225 MONTICELLO LLC</x:v>
      </x:c>
      <x:c r="K447" s="55" t="n">
        <x:v>43264</x:v>
      </x:c>
      <x:c r="L447" t="str">
        <x:v>New York</x:v>
      </x:c>
      <x:c r="M447" t="str">
        <x:v>New York</x:v>
      </x:c>
      <x:c r="N447" t="str">
        <x:v>DOMESTIC LIMITED LIABILITY COMPANY</x:v>
      </x:c>
      <x:c r="O447" t="str">
        <x:v>4225 MONTICELLO LLC</x:v>
      </x:c>
      <x:c r="P447" t="str">
        <x:v>525 LINCOLN ST, CEDARHURST, NY, 11516</x:v>
      </x:c>
      <x:c r="Q447" t="str"/>
      <x:c r="R447" t="str"/>
      <x:c r="S447" t="str"/>
      <x:c r="T447" t="str"/>
      <x:c r="U447" t="str"/>
      <x:c r="V447" t="str"/>
      <x:c r="W447" t="str"/>
      <x:c r="X447" t="str"/>
      <x:c r="Y447" t="str">
        <x:v>https://data.ny.gov/Economic-Development/Active-Corporations-Beginning-1800/n9v6-gdp6</x:v>
      </x:c>
    </x:row>
    <x:row r="448">
      <x:c r="A448" t="str">
        <x:v>DOS-4-037</x:v>
      </x:c>
      <x:c r="B448" t="n">
        <x:v>4</x:v>
      </x:c>
      <x:c r="C448" t="str">
        <x:v>715 PARK LANE, CEDARHURST, NY, 11516, US</x:v>
      </x:c>
      <x:c r="D448" t="str">
        <x:v>S AND Y PROPERTY LLC</x:v>
      </x:c>
      <x:c r="E448" t="str">
        <x:v>S&amp;Y PROPERTY LLC</x:v>
      </x:c>
      <x:c r="F448" t="str">
        <x:v>No active DOS match</x:v>
      </x:c>
      <x:c r="G448" t="n">
        <x:v>0</x:v>
      </x:c>
      <x:c r="H448" t="n">
        <x:v>0</x:v>
      </x:c>
      <x:c r="I448" t="str"/>
      <x:c r="J448" t="str"/>
      <x:c r="K448" s="55" t="str"/>
      <x:c r="L448" t="str"/>
      <x:c r="M448" t="str"/>
      <x:c r="N448" t="str"/>
      <x:c r="O448" t="str"/>
      <x:c r="P448" t="str"/>
      <x:c r="Q448" t="str"/>
      <x:c r="R448" t="str"/>
      <x:c r="S448" t="str"/>
      <x:c r="T448" t="str"/>
      <x:c r="U448" t="str"/>
      <x:c r="V448" t="str"/>
      <x:c r="W448" t="str"/>
      <x:c r="X448" t="str"/>
      <x:c r="Y448" t="str">
        <x:v>https://data.ny.gov/Economic-Development/Active-Corporations-Beginning-1800/n9v6-gdp6</x:v>
      </x:c>
    </x:row>
    <x:row r="449">
      <x:c r="A449" t="str">
        <x:v>DOS-4-037</x:v>
      </x:c>
      <x:c r="B449" t="n">
        <x:v>4</x:v>
      </x:c>
      <x:c r="C449" t="str">
        <x:v>715 PARK LANE, CEDARHURST, NY, 11516, US</x:v>
      </x:c>
      <x:c r="D449" t="str">
        <x:v>SASY PROPERTY GROUP LLC</x:v>
      </x:c>
      <x:c r="E449" t="str">
        <x:v>SASY PROPERTY GROUP, LLC</x:v>
      </x:c>
      <x:c r="F449" t="str">
        <x:v>Address-corroborated active match</x:v>
      </x:c>
      <x:c r="G449" t="n">
        <x:v>1</x:v>
      </x:c>
      <x:c r="H449" t="n">
        <x:v>2</x:v>
      </x:c>
      <x:c r="I449" t="str">
        <x:v>4335212</x:v>
      </x:c>
      <x:c r="J449" t="str">
        <x:v>SASY PROPERTY GROUP, LLC</x:v>
      </x:c>
      <x:c r="K449" s="55" t="n">
        <x:v>41262</x:v>
      </x:c>
      <x:c r="L449" t="str">
        <x:v>Rockland</x:v>
      </x:c>
      <x:c r="M449" t="str">
        <x:v>New York</x:v>
      </x:c>
      <x:c r="N449" t="str">
        <x:v>DOMESTIC LIMITED LIABILITY COMPANY</x:v>
      </x:c>
      <x:c r="O449" t="str">
        <x:v>SASY PROPERTY GROUP, LLC</x:v>
      </x:c>
      <x:c r="P449" t="str">
        <x:v>715 PARK LANE, CEDARHURST, NY, 11516</x:v>
      </x:c>
      <x:c r="Q449" t="str"/>
      <x:c r="R449" t="str"/>
      <x:c r="S449" t="str"/>
      <x:c r="T449" t="str"/>
      <x:c r="U449" t="str"/>
      <x:c r="V449" t="str"/>
      <x:c r="W449" t="str"/>
      <x:c r="X449" t="str"/>
      <x:c r="Y449" t="str">
        <x:v>https://data.ny.gov/Economic-Development/Active-Corporations-Beginning-1800/n9v6-gdp6</x:v>
      </x:c>
    </x:row>
    <x:row r="450">
      <x:c r="A450" t="str">
        <x:v>DOS-4-038</x:v>
      </x:c>
      <x:c r="B450" t="n">
        <x:v>4</x:v>
      </x:c>
      <x:c r="C450" t="str">
        <x:v>7202 72ND COURT, BROOKLYN, NY, 11209, US</x:v>
      </x:c>
      <x:c r="D450" t="str">
        <x:v>92ND COURT LLC</x:v>
      </x:c>
      <x:c r="E450" t="str">
        <x:v>92ND COURT LLC</x:v>
      </x:c>
      <x:c r="F450" t="str">
        <x:v>Address-corroborated active match</x:v>
      </x:c>
      <x:c r="G450" t="n">
        <x:v>1</x:v>
      </x:c>
      <x:c r="H450" t="n">
        <x:v>2</x:v>
      </x:c>
      <x:c r="I450" t="str">
        <x:v>3988516</x:v>
      </x:c>
      <x:c r="J450" t="str">
        <x:v>92ND COURT LLC</x:v>
      </x:c>
      <x:c r="K450" s="55" t="n">
        <x:v>40415</x:v>
      </x:c>
      <x:c r="L450" t="str">
        <x:v>Kings</x:v>
      </x:c>
      <x:c r="M450" t="str">
        <x:v>New York</x:v>
      </x:c>
      <x:c r="N450" t="str">
        <x:v>DOMESTIC LIMITED LIABILITY COMPANY</x:v>
      </x:c>
      <x:c r="O450" t="str">
        <x:v>92ND COURT LLC</x:v>
      </x:c>
      <x:c r="P450" t="str">
        <x:v>7202 72ND COURT, BROOKLYN, NY, 11209</x:v>
      </x:c>
      <x:c r="Q450" t="str"/>
      <x:c r="R450" t="str"/>
      <x:c r="S450" t="str"/>
      <x:c r="T450" t="str"/>
      <x:c r="U450" t="str"/>
      <x:c r="V450" t="str"/>
      <x:c r="W450" t="str"/>
      <x:c r="X450" t="str"/>
      <x:c r="Y450" t="str">
        <x:v>https://data.ny.gov/Economic-Development/Active-Corporations-Beginning-1800/n9v6-gdp6</x:v>
      </x:c>
    </x:row>
    <x:row r="451">
      <x:c r="A451" t="str">
        <x:v>DOS-4-038</x:v>
      </x:c>
      <x:c r="B451" t="n">
        <x:v>4</x:v>
      </x:c>
      <x:c r="C451" t="str">
        <x:v>7202 72ND COURT, BROOKLYN, NY, 11209, US</x:v>
      </x:c>
      <x:c r="D451" t="str">
        <x:v>E WENTZ LLC</x:v>
      </x:c>
      <x:c r="E451" t="str">
        <x:v>E. WENTZ LLC</x:v>
      </x:c>
      <x:c r="F451" t="str">
        <x:v>Address-corroborated active match</x:v>
      </x:c>
      <x:c r="G451" t="n">
        <x:v>1</x:v>
      </x:c>
      <x:c r="H451" t="n">
        <x:v>2</x:v>
      </x:c>
      <x:c r="I451" t="str">
        <x:v>3988053</x:v>
      </x:c>
      <x:c r="J451" t="str">
        <x:v>E. WENTZ LLC</x:v>
      </x:c>
      <x:c r="K451" s="55" t="n">
        <x:v>40414</x:v>
      </x:c>
      <x:c r="L451" t="str">
        <x:v>Kings</x:v>
      </x:c>
      <x:c r="M451" t="str">
        <x:v>New York</x:v>
      </x:c>
      <x:c r="N451" t="str">
        <x:v>DOMESTIC LIMITED LIABILITY COMPANY</x:v>
      </x:c>
      <x:c r="O451" t="str">
        <x:v>E. WENTZ LLC</x:v>
      </x:c>
      <x:c r="P451" t="str">
        <x:v>7202 72ND COURT, BROOKLYN, NY, 11209</x:v>
      </x:c>
      <x:c r="Q451" t="str"/>
      <x:c r="R451" t="str"/>
      <x:c r="S451" t="str"/>
      <x:c r="T451" t="str"/>
      <x:c r="U451" t="str"/>
      <x:c r="V451" t="str"/>
      <x:c r="W451" t="str"/>
      <x:c r="X451" t="str"/>
      <x:c r="Y451" t="str">
        <x:v>https://data.ny.gov/Economic-Development/Active-Corporations-Beginning-1800/n9v6-gdp6</x:v>
      </x:c>
    </x:row>
    <x:row r="452">
      <x:c r="A452" t="str">
        <x:v>DOS-4-038</x:v>
      </x:c>
      <x:c r="B452" t="n">
        <x:v>4</x:v>
      </x:c>
      <x:c r="C452" t="str">
        <x:v>7202 72ND COURT, BROOKLYN, NY, 11209, US</x:v>
      </x:c>
      <x:c r="D452" t="str">
        <x:v>FOUR 3RD AVE LLC</x:v>
      </x:c>
      <x:c r="E452" t="str">
        <x:v>FOUR 3RD AVE LLC</x:v>
      </x:c>
      <x:c r="F452" t="str">
        <x:v>Address-corroborated active match</x:v>
      </x:c>
      <x:c r="G452" t="n">
        <x:v>1</x:v>
      </x:c>
      <x:c r="H452" t="n">
        <x:v>2</x:v>
      </x:c>
      <x:c r="I452" t="str">
        <x:v>3988518</x:v>
      </x:c>
      <x:c r="J452" t="str">
        <x:v>FOUR 3RD AVE LLC</x:v>
      </x:c>
      <x:c r="K452" s="55" t="n">
        <x:v>40415</x:v>
      </x:c>
      <x:c r="L452" t="str">
        <x:v>Kings</x:v>
      </x:c>
      <x:c r="M452" t="str">
        <x:v>New York</x:v>
      </x:c>
      <x:c r="N452" t="str">
        <x:v>DOMESTIC LIMITED LIABILITY COMPANY</x:v>
      </x:c>
      <x:c r="O452" t="str">
        <x:v>FOUR 3RD AVE LLC</x:v>
      </x:c>
      <x:c r="P452" t="str">
        <x:v>7202 72ND COURT, BROOKLYN, NY, 11209</x:v>
      </x:c>
      <x:c r="Q452" t="str"/>
      <x:c r="R452" t="str"/>
      <x:c r="S452" t="str"/>
      <x:c r="T452" t="str"/>
      <x:c r="U452" t="str"/>
      <x:c r="V452" t="str"/>
      <x:c r="W452" t="str"/>
      <x:c r="X452" t="str"/>
      <x:c r="Y452" t="str">
        <x:v>https://data.ny.gov/Economic-Development/Active-Corporations-Beginning-1800/n9v6-gdp6</x:v>
      </x:c>
    </x:row>
    <x:row r="453">
      <x:c r="A453" t="str">
        <x:v>DOS-4-038</x:v>
      </x:c>
      <x:c r="B453" t="n">
        <x:v>4</x:v>
      </x:c>
      <x:c r="C453" t="str">
        <x:v>7202 72ND COURT, BROOKLYN, NY, 11209, US</x:v>
      </x:c>
      <x:c r="D453" t="str">
        <x:v>J LATSKO LLC</x:v>
      </x:c>
      <x:c r="E453" t="str">
        <x:v>J. LATSKO LLC</x:v>
      </x:c>
      <x:c r="F453" t="str">
        <x:v>Address-corroborated active match</x:v>
      </x:c>
      <x:c r="G453" t="n">
        <x:v>1</x:v>
      </x:c>
      <x:c r="H453" t="n">
        <x:v>2</x:v>
      </x:c>
      <x:c r="I453" t="str">
        <x:v>3988521</x:v>
      </x:c>
      <x:c r="J453" t="str">
        <x:v>J. LATSKO LLC</x:v>
      </x:c>
      <x:c r="K453" s="55" t="n">
        <x:v>40415</x:v>
      </x:c>
      <x:c r="L453" t="str">
        <x:v>Kings</x:v>
      </x:c>
      <x:c r="M453" t="str">
        <x:v>New York</x:v>
      </x:c>
      <x:c r="N453" t="str">
        <x:v>DOMESTIC LIMITED LIABILITY COMPANY</x:v>
      </x:c>
      <x:c r="O453" t="str">
        <x:v>J. LATSKO LLC</x:v>
      </x:c>
      <x:c r="P453" t="str">
        <x:v>7202 72ND COURT, BROOKLYN, NY, 11209</x:v>
      </x:c>
      <x:c r="Q453" t="str"/>
      <x:c r="R453" t="str"/>
      <x:c r="S453" t="str"/>
      <x:c r="T453" t="str"/>
      <x:c r="U453" t="str"/>
      <x:c r="V453" t="str"/>
      <x:c r="W453" t="str"/>
      <x:c r="X453" t="str"/>
      <x:c r="Y453" t="str">
        <x:v>https://data.ny.gov/Economic-Development/Active-Corporations-Beginning-1800/n9v6-gdp6</x:v>
      </x:c>
    </x:row>
    <x:row r="454">
      <x:c r="A454" t="str">
        <x:v>DOS-4-039</x:v>
      </x:c>
      <x:c r="B454" t="n">
        <x:v>4</x:v>
      </x:c>
      <x:c r="C454" t="str">
        <x:v>183 WILSON ST #133, BROOKLYN, NY, 11211, US</x:v>
      </x:c>
      <x:c r="D454" t="str">
        <x:v>236 242 GOLD ST LLC</x:v>
      </x:c>
      <x:c r="E454" t="str">
        <x:v>236-242 GOLD ST LLC</x:v>
      </x:c>
      <x:c r="F454" t="str">
        <x:v>Active name match</x:v>
      </x:c>
      <x:c r="G454" t="n">
        <x:v>1</x:v>
      </x:c>
      <x:c r="H454" t="n">
        <x:v>1</x:v>
      </x:c>
      <x:c r="I454" t="str">
        <x:v>6823546</x:v>
      </x:c>
      <x:c r="J454" t="str">
        <x:v>236-242 GOLD ST LLC</x:v>
      </x:c>
      <x:c r="K454" s="55" t="n">
        <x:v>45049</x:v>
      </x:c>
      <x:c r="L454" t="str">
        <x:v>Albany</x:v>
      </x:c>
      <x:c r="M454" t="str">
        <x:v>New York</x:v>
      </x:c>
      <x:c r="N454" t="str">
        <x:v>DOMESTIC LIMITED LIABILITY COMPANY</x:v>
      </x:c>
      <x:c r="O454" t="str">
        <x:v>236-242 GOLD ST LLC</x:v>
      </x:c>
      <x:c r="P454" t="str">
        <x:v>183 WILSON STREET, SUITE 133, BROOKLYN, NY, 11211</x:v>
      </x:c>
      <x:c r="Q454" t="str"/>
      <x:c r="R454" t="str"/>
      <x:c r="S454" t="str"/>
      <x:c r="T454" t="str"/>
      <x:c r="U454" t="str"/>
      <x:c r="V454" t="str"/>
      <x:c r="W454" t="str"/>
      <x:c r="X454" t="str"/>
      <x:c r="Y454" t="str">
        <x:v>https://data.ny.gov/Economic-Development/Active-Corporations-Beginning-1800/n9v6-gdp6</x:v>
      </x:c>
    </x:row>
    <x:row r="455">
      <x:c r="A455" t="str">
        <x:v>DOS-4-039</x:v>
      </x:c>
      <x:c r="B455" t="n">
        <x:v>4</x:v>
      </x:c>
      <x:c r="C455" t="str">
        <x:v>183 WILSON ST #133, BROOKLYN, NY, 11211, US</x:v>
      </x:c>
      <x:c r="D455" t="str">
        <x:v>55 BORINQUEN PLACE LLC</x:v>
      </x:c>
      <x:c r="E455" t="str">
        <x:v>55 BORINQUEN PLACE LLC</x:v>
      </x:c>
      <x:c r="F455" t="str">
        <x:v>Address-corroborated active match</x:v>
      </x:c>
      <x:c r="G455" t="n">
        <x:v>1</x:v>
      </x:c>
      <x:c r="H455" t="n">
        <x:v>2</x:v>
      </x:c>
      <x:c r="I455" t="str">
        <x:v>6355314</x:v>
      </x:c>
      <x:c r="J455" t="str">
        <x:v>55 BORINQUEN PLACE LLC</x:v>
      </x:c>
      <x:c r="K455" s="55" t="n">
        <x:v>44552</x:v>
      </x:c>
      <x:c r="L455" t="str">
        <x:v>Albany</x:v>
      </x:c>
      <x:c r="M455" t="str">
        <x:v>New York</x:v>
      </x:c>
      <x:c r="N455" t="str">
        <x:v>DOMESTIC LIMITED LIABILITY COMPANY</x:v>
      </x:c>
      <x:c r="O455" t="str">
        <x:v>55 BORINQUEN PLACE LLC</x:v>
      </x:c>
      <x:c r="P455" t="str">
        <x:v>183 Wilson St., Ste. 133, Brooklyn, NY, 11211</x:v>
      </x:c>
      <x:c r="Q455" t="str"/>
      <x:c r="R455" t="str"/>
      <x:c r="S455" t="str"/>
      <x:c r="T455" t="str"/>
      <x:c r="U455" t="str"/>
      <x:c r="V455" t="str"/>
      <x:c r="W455" t="str"/>
      <x:c r="X455" t="str"/>
      <x:c r="Y455" t="str">
        <x:v>https://data.ny.gov/Economic-Development/Active-Corporations-Beginning-1800/n9v6-gdp6</x:v>
      </x:c>
    </x:row>
    <x:row r="456">
      <x:c r="A456" t="str">
        <x:v>DOS-4-039</x:v>
      </x:c>
      <x:c r="B456" t="n">
        <x:v>4</x:v>
      </x:c>
      <x:c r="C456" t="str">
        <x:v>183 WILSON ST #133, BROOKLYN, NY, 11211, US</x:v>
      </x:c>
      <x:c r="D456" t="str">
        <x:v>WHIPPLE JS LLC</x:v>
      </x:c>
      <x:c r="E456" t="str">
        <x:v>WHIPPLE JS LLC</x:v>
      </x:c>
      <x:c r="F456" t="str">
        <x:v>Active name match</x:v>
      </x:c>
      <x:c r="G456" t="n">
        <x:v>1</x:v>
      </x:c>
      <x:c r="H456" t="n">
        <x:v>1</x:v>
      </x:c>
      <x:c r="I456" t="str">
        <x:v>6838335</x:v>
      </x:c>
      <x:c r="J456" t="str">
        <x:v>WHIPPLE JS LLC</x:v>
      </x:c>
      <x:c r="K456" s="55" t="n">
        <x:v>45065</x:v>
      </x:c>
      <x:c r="L456" t="str">
        <x:v>Albany</x:v>
      </x:c>
      <x:c r="M456" t="str">
        <x:v>New York</x:v>
      </x:c>
      <x:c r="N456" t="str">
        <x:v>DOMESTIC LIMITED LIABILITY COMPANY</x:v>
      </x:c>
      <x:c r="O456" t="str">
        <x:v>WHIPPLE JS LLC</x:v>
      </x:c>
      <x:c r="P456" t="str">
        <x:v>183 WILSON ST STE 133, BROOKLYN, NY, 11211</x:v>
      </x:c>
      <x:c r="Q456" t="str"/>
      <x:c r="R456" t="str"/>
      <x:c r="S456" t="str"/>
      <x:c r="T456" t="str"/>
      <x:c r="U456" t="str"/>
      <x:c r="V456" t="str"/>
      <x:c r="W456" t="str"/>
      <x:c r="X456" t="str"/>
      <x:c r="Y456" t="str">
        <x:v>https://data.ny.gov/Economic-Development/Active-Corporations-Beginning-1800/n9v6-gdp6</x:v>
      </x:c>
    </x:row>
    <x:row r="457">
      <x:c r="A457" t="str">
        <x:v>DOS-4-039</x:v>
      </x:c>
      <x:c r="B457" t="n">
        <x:v>4</x:v>
      </x:c>
      <x:c r="C457" t="str">
        <x:v>183 WILSON ST #133, BROOKLYN, NY, 11211, US</x:v>
      </x:c>
      <x:c r="D457" t="str">
        <x:v>WHIPPLE YN LLC</x:v>
      </x:c>
      <x:c r="E457" t="str">
        <x:v>WHIPPLE YN LLC</x:v>
      </x:c>
      <x:c r="F457" t="str">
        <x:v>Active name match</x:v>
      </x:c>
      <x:c r="G457" t="n">
        <x:v>1</x:v>
      </x:c>
      <x:c r="H457" t="n">
        <x:v>1</x:v>
      </x:c>
      <x:c r="I457" t="str">
        <x:v>6840911</x:v>
      </x:c>
      <x:c r="J457" t="str">
        <x:v>WHIPPLE YN LLC</x:v>
      </x:c>
      <x:c r="K457" s="55" t="n">
        <x:v>45069</x:v>
      </x:c>
      <x:c r="L457" t="str">
        <x:v>Albany</x:v>
      </x:c>
      <x:c r="M457" t="str">
        <x:v>New York</x:v>
      </x:c>
      <x:c r="N457" t="str">
        <x:v>DOMESTIC LIMITED LIABILITY COMPANY</x:v>
      </x:c>
      <x:c r="O457" t="str">
        <x:v>WHIPPLE YN LLC</x:v>
      </x:c>
      <x:c r="P457" t="str">
        <x:v>183 WILSON ST STE 133, BROOKLYN, NY, 11211</x:v>
      </x:c>
      <x:c r="Q457" t="str"/>
      <x:c r="R457" t="str"/>
      <x:c r="S457" t="str"/>
      <x:c r="T457" t="str"/>
      <x:c r="U457" t="str"/>
      <x:c r="V457" t="str"/>
      <x:c r="W457" t="str"/>
      <x:c r="X457" t="str"/>
      <x:c r="Y457" t="str">
        <x:v>https://data.ny.gov/Economic-Development/Active-Corporations-Beginning-1800/n9v6-gdp6</x:v>
      </x:c>
    </x:row>
    <x:row r="458">
      <x:c r="A458" t="str">
        <x:v>DOS-4-040</x:v>
      </x:c>
      <x:c r="B458" t="n">
        <x:v>4</x:v>
      </x:c>
      <x:c r="C458" t="str">
        <x:v>213 NEW GLOUCESTER ROAD, NORTH YARMOUTH, ME, 04097, US</x:v>
      </x:c>
      <x:c r="D458" t="str">
        <x:v>DA ROB REALTY LLC</x:v>
      </x:c>
      <x:c r="E458" t="str">
        <x:v>DA-ROB REALTY LLC</x:v>
      </x:c>
      <x:c r="F458" t="str">
        <x:v>Active name match</x:v>
      </x:c>
      <x:c r="G458" t="n">
        <x:v>1</x:v>
      </x:c>
      <x:c r="H458" t="n">
        <x:v>0</x:v>
      </x:c>
      <x:c r="I458" t="str">
        <x:v>4165978</x:v>
      </x:c>
      <x:c r="J458" t="str">
        <x:v>DA-ROB REALTY LLC</x:v>
      </x:c>
      <x:c r="K458" s="55" t="n">
        <x:v>40863</x:v>
      </x:c>
      <x:c r="L458" t="str">
        <x:v>Kings</x:v>
      </x:c>
      <x:c r="M458" t="str">
        <x:v>New York</x:v>
      </x:c>
      <x:c r="N458" t="str">
        <x:v>DOMESTIC LIMITED LIABILITY COMPANY</x:v>
      </x:c>
      <x:c r="O458" t="str">
        <x:v>DA-ROB REALTY LLC</x:v>
      </x:c>
      <x:c r="P458" t="str">
        <x:v>261 ADELPHI ST, BROOKLYN, NY, 11205</x:v>
      </x:c>
      <x:c r="Q458" t="str"/>
      <x:c r="R458" t="str"/>
      <x:c r="S458" t="str"/>
      <x:c r="T458" t="str"/>
      <x:c r="U458" t="str"/>
      <x:c r="V458" t="str"/>
      <x:c r="W458" t="str"/>
      <x:c r="X458" t="str"/>
      <x:c r="Y458" t="str">
        <x:v>https://data.ny.gov/Economic-Development/Active-Corporations-Beginning-1800/n9v6-gdp6</x:v>
      </x:c>
    </x:row>
    <x:row r="459">
      <x:c r="A459" t="str">
        <x:v>DOS-4-040</x:v>
      </x:c>
      <x:c r="B459" t="n">
        <x:v>4</x:v>
      </x:c>
      <x:c r="C459" t="str">
        <x:v>213 NEW GLOUCESTER ROAD, NORTH YARMOUTH, ME, 04097, US</x:v>
      </x:c>
      <x:c r="D459" t="str">
        <x:v>EASTLAKE EQUITIES LLC</x:v>
      </x:c>
      <x:c r="E459" t="str">
        <x:v>EASTLAKE EQUITIES LLC</x:v>
      </x:c>
      <x:c r="F459" t="str">
        <x:v>Active name match</x:v>
      </x:c>
      <x:c r="G459" t="n">
        <x:v>1</x:v>
      </x:c>
      <x:c r="H459" t="n">
        <x:v>0</x:v>
      </x:c>
      <x:c r="I459" t="str">
        <x:v>4158476</x:v>
      </x:c>
      <x:c r="J459" t="str">
        <x:v>EASTLAKE EQUITIES LLC</x:v>
      </x:c>
      <x:c r="K459" s="55" t="n">
        <x:v>40843</x:v>
      </x:c>
      <x:c r="L459" t="str">
        <x:v>Kings</x:v>
      </x:c>
      <x:c r="M459" t="str">
        <x:v>New York</x:v>
      </x:c>
      <x:c r="N459" t="str">
        <x:v>DOMESTIC LIMITED LIABILITY COMPANY</x:v>
      </x:c>
      <x:c r="O459" t="str">
        <x:v>EASTLAKE EQUITIES LLC</x:v>
      </x:c>
      <x:c r="P459" t="str">
        <x:v>261 ADELPHI ST, BROOKLYN, NY, 11205</x:v>
      </x:c>
      <x:c r="Q459" t="str"/>
      <x:c r="R459" t="str"/>
      <x:c r="S459" t="str"/>
      <x:c r="T459" t="str"/>
      <x:c r="U459" t="str"/>
      <x:c r="V459" t="str"/>
      <x:c r="W459" t="str"/>
      <x:c r="X459" t="str"/>
      <x:c r="Y459" t="str">
        <x:v>https://data.ny.gov/Economic-Development/Active-Corporations-Beginning-1800/n9v6-gdp6</x:v>
      </x:c>
    </x:row>
    <x:row r="460">
      <x:c r="A460" t="str">
        <x:v>DOS-4-040</x:v>
      </x:c>
      <x:c r="B460" t="n">
        <x:v>4</x:v>
      </x:c>
      <x:c r="C460" t="str">
        <x:v>213 NEW GLOUCESTER ROAD, NORTH YARMOUTH, ME, 04097, US</x:v>
      </x:c>
      <x:c r="D460" t="str">
        <x:v>ROUND POND PROPERTIES LLC</x:v>
      </x:c>
      <x:c r="E460" t="str">
        <x:v>ROUND POND PROPERTIES LLC</x:v>
      </x:c>
      <x:c r="F460" t="str">
        <x:v>Active name match</x:v>
      </x:c>
      <x:c r="G460" t="n">
        <x:v>1</x:v>
      </x:c>
      <x:c r="H460" t="n">
        <x:v>0</x:v>
      </x:c>
      <x:c r="I460" t="str">
        <x:v>4158416</x:v>
      </x:c>
      <x:c r="J460" t="str">
        <x:v>ROUND POND PROPERTIES LLC</x:v>
      </x:c>
      <x:c r="K460" s="55" t="n">
        <x:v>40843</x:v>
      </x:c>
      <x:c r="L460" t="str">
        <x:v>Kings</x:v>
      </x:c>
      <x:c r="M460" t="str">
        <x:v>New York</x:v>
      </x:c>
      <x:c r="N460" t="str">
        <x:v>DOMESTIC LIMITED LIABILITY COMPANY</x:v>
      </x:c>
      <x:c r="O460" t="str">
        <x:v>ROUND POND PROPERTIES LLC</x:v>
      </x:c>
      <x:c r="P460" t="str">
        <x:v>261 ADELPHI ST, BROOKLYN, NY, 11205</x:v>
      </x:c>
      <x:c r="Q460" t="str"/>
      <x:c r="R460" t="str"/>
      <x:c r="S460" t="str"/>
      <x:c r="T460" t="str"/>
      <x:c r="U460" t="str"/>
      <x:c r="V460" t="str"/>
      <x:c r="W460" t="str"/>
      <x:c r="X460" t="str"/>
      <x:c r="Y460" t="str">
        <x:v>https://data.ny.gov/Economic-Development/Active-Corporations-Beginning-1800/n9v6-gdp6</x:v>
      </x:c>
    </x:row>
    <x:row r="461">
      <x:c r="A461" t="str">
        <x:v>DOS-4-040</x:v>
      </x:c>
      <x:c r="B461" t="n">
        <x:v>4</x:v>
      </x:c>
      <x:c r="C461" t="str">
        <x:v>213 NEW GLOUCESTER ROAD, NORTH YARMOUTH, ME, 04097, US</x:v>
      </x:c>
      <x:c r="D461" t="str">
        <x:v>TOWNHOUSE REVIVAL PROPERTIES LLC</x:v>
      </x:c>
      <x:c r="E461" t="str">
        <x:v>TOWNHOUSE REVIVAL PROPERTIES LLC</x:v>
      </x:c>
      <x:c r="F461" t="str">
        <x:v>Active name match</x:v>
      </x:c>
      <x:c r="G461" t="n">
        <x:v>1</x:v>
      </x:c>
      <x:c r="H461" t="n">
        <x:v>0</x:v>
      </x:c>
      <x:c r="I461" t="str">
        <x:v>4158430</x:v>
      </x:c>
      <x:c r="J461" t="str">
        <x:v>TOWNHOUSE REVIVAL PROPERTIES LLC</x:v>
      </x:c>
      <x:c r="K461" s="55" t="n">
        <x:v>40843</x:v>
      </x:c>
      <x:c r="L461" t="str">
        <x:v>Kings</x:v>
      </x:c>
      <x:c r="M461" t="str">
        <x:v>New York</x:v>
      </x:c>
      <x:c r="N461" t="str">
        <x:v>DOMESTIC LIMITED LIABILITY COMPANY</x:v>
      </x:c>
      <x:c r="O461" t="str">
        <x:v>TOWNHOUSE REVIVAL PROPERTIES LLC</x:v>
      </x:c>
      <x:c r="P461" t="str">
        <x:v>261 ADELPHI ST, BROOKLYN, NY, 11205</x:v>
      </x:c>
      <x:c r="Q461" t="str"/>
      <x:c r="R461" t="str"/>
      <x:c r="S461" t="str"/>
      <x:c r="T461" t="str"/>
      <x:c r="U461" t="str"/>
      <x:c r="V461" t="str"/>
      <x:c r="W461" t="str"/>
      <x:c r="X461" t="str"/>
      <x:c r="Y461" t="str">
        <x:v>https://data.ny.gov/Economic-Development/Active-Corporations-Beginning-1800/n9v6-gdp6</x:v>
      </x:c>
    </x:row>
    <x:row r="462">
      <x:c r="A462" t="str">
        <x:v>DOS-4-041</x:v>
      </x:c>
      <x:c r="B462" t="n">
        <x:v>4</x:v>
      </x:c>
      <x:c r="C462" t="str">
        <x:v>2546 EAST 17TH STREET  -  2ND FLOOR, BROOKLYN, NY, 11235, US | 2546 EAST 17TH STREET 2ND FLOOR, BROOKLYN, NY, 11235, US | 2546 EAST 17TH STREET, 2ND FLOOR, BROOKLYN, NY, 11235, US</x:v>
      </x:c>
      <x:c r="D462" t="str">
        <x:v>30 PARK PLACE OLIMP LLC</x:v>
      </x:c>
      <x:c r="E462" t="str">
        <x:v>30 PARK PLACE OLIMP LLC</x:v>
      </x:c>
      <x:c r="F462" t="str">
        <x:v>Active name match</x:v>
      </x:c>
      <x:c r="G462" t="n">
        <x:v>1</x:v>
      </x:c>
      <x:c r="H462" t="n">
        <x:v>0</x:v>
      </x:c>
      <x:c r="I462" t="str">
        <x:v>4583230</x:v>
      </x:c>
      <x:c r="J462" t="str">
        <x:v>30 PARK PLACE OLIMP LLC</x:v>
      </x:c>
      <x:c r="K462" s="55" t="n">
        <x:v>41787</x:v>
      </x:c>
      <x:c r="L462" t="str">
        <x:v>Kings</x:v>
      </x:c>
      <x:c r="M462" t="str">
        <x:v>New York</x:v>
      </x:c>
      <x:c r="N462" t="str">
        <x:v>DOMESTIC LIMITED LIABILITY COMPANY</x:v>
      </x:c>
      <x:c r="O462" t="str">
        <x:v>30 PARK PLACE OLIMP LLC</x:v>
      </x:c>
      <x:c r="P462" t="str">
        <x:v>626 SHEEPSHEAD BAY RD, SUITE 640, BROOKLYN, NY, 11224</x:v>
      </x:c>
      <x:c r="Q462" t="str"/>
      <x:c r="R462" t="str"/>
      <x:c r="S462" t="str"/>
      <x:c r="T462" t="str"/>
      <x:c r="U462" t="str"/>
      <x:c r="V462" t="str"/>
      <x:c r="W462" t="str"/>
      <x:c r="X462" t="str"/>
      <x:c r="Y462" t="str">
        <x:v>https://data.ny.gov/Economic-Development/Active-Corporations-Beginning-1800/n9v6-gdp6</x:v>
      </x:c>
    </x:row>
    <x:row r="463">
      <x:c r="A463" t="str">
        <x:v>DOS-4-041</x:v>
      </x:c>
      <x:c r="B463" t="n">
        <x:v>4</x:v>
      </x:c>
      <x:c r="C463" t="str">
        <x:v>2546 EAST 17TH STREET  -  2ND FLOOR, BROOKLYN, NY, 11235, US | 2546 EAST 17TH STREET 2ND FLOOR, BROOKLYN, NY, 11235, US | 2546 EAST 17TH STREET, 2ND FLOOR, BROOKLYN, NY, 11235, US</x:v>
      </x:c>
      <x:c r="D463" t="str">
        <x:v>GZH PROPERTIES LLC</x:v>
      </x:c>
      <x:c r="E463" t="str">
        <x:v>GZH PROPERTIES LLC</x:v>
      </x:c>
      <x:c r="F463" t="str">
        <x:v>Active name match</x:v>
      </x:c>
      <x:c r="G463" t="n">
        <x:v>1</x:v>
      </x:c>
      <x:c r="H463" t="n">
        <x:v>0</x:v>
      </x:c>
      <x:c r="I463" t="str">
        <x:v>4390558</x:v>
      </x:c>
      <x:c r="J463" t="str">
        <x:v>GZH PROPERTIES LLC</x:v>
      </x:c>
      <x:c r="K463" s="55" t="n">
        <x:v>41382</x:v>
      </x:c>
      <x:c r="L463" t="str">
        <x:v>Kings</x:v>
      </x:c>
      <x:c r="M463" t="str">
        <x:v>New York</x:v>
      </x:c>
      <x:c r="N463" t="str">
        <x:v>DOMESTIC LIMITED LIABILITY COMPANY</x:v>
      </x:c>
      <x:c r="O463" t="str">
        <x:v>GZH PROPERTIES LLC</x:v>
      </x:c>
      <x:c r="P463" t="str">
        <x:v>626 SHEEPSHEAD BAY RD, SUITE 640, BROOKLYN, NY, 11224</x:v>
      </x:c>
      <x:c r="Q463" t="str"/>
      <x:c r="R463" t="str"/>
      <x:c r="S463" t="str"/>
      <x:c r="T463" t="str"/>
      <x:c r="U463" t="str"/>
      <x:c r="V463" t="str"/>
      <x:c r="W463" t="str"/>
      <x:c r="X463" t="str"/>
      <x:c r="Y463" t="str">
        <x:v>https://data.ny.gov/Economic-Development/Active-Corporations-Beginning-1800/n9v6-gdp6</x:v>
      </x:c>
    </x:row>
    <x:row r="464">
      <x:c r="A464" t="str">
        <x:v>DOS-4-041</x:v>
      </x:c>
      <x:c r="B464" t="n">
        <x:v>4</x:v>
      </x:c>
      <x:c r="C464" t="str">
        <x:v>2546 EAST 17TH STREET  -  2ND FLOOR, BROOKLYN, NY, 11235, US | 2546 EAST 17TH STREET 2ND FLOOR, BROOKLYN, NY, 11235, US | 2546 EAST 17TH STREET, 2ND FLOOR, BROOKLYN, NY, 11235, US</x:v>
      </x:c>
      <x:c r="D464" t="str">
        <x:v>MADINA PROPERTIES LLC</x:v>
      </x:c>
      <x:c r="E464" t="str">
        <x:v>MADINA PROPERTIES LLC</x:v>
      </x:c>
      <x:c r="F464" t="str">
        <x:v>Active name match</x:v>
      </x:c>
      <x:c r="G464" t="n">
        <x:v>1</x:v>
      </x:c>
      <x:c r="H464" t="n">
        <x:v>1</x:v>
      </x:c>
      <x:c r="I464" t="str">
        <x:v>4312178</x:v>
      </x:c>
      <x:c r="J464" t="str">
        <x:v>MADINA PROPERTIES LLC</x:v>
      </x:c>
      <x:c r="K464" s="55" t="n">
        <x:v>41205</x:v>
      </x:c>
      <x:c r="L464" t="str">
        <x:v>Kings</x:v>
      </x:c>
      <x:c r="M464" t="str">
        <x:v>New York</x:v>
      </x:c>
      <x:c r="N464" t="str">
        <x:v>DOMESTIC LIMITED LIABILITY COMPANY</x:v>
      </x:c>
      <x:c r="O464" t="str">
        <x:v>MADINA PROPERTIES LLC</x:v>
      </x:c>
      <x:c r="P464" t="str">
        <x:v>2546 E 17TH ST SECOND FL, BROOKLYN, NY, 11235</x:v>
      </x:c>
      <x:c r="Q464" t="str"/>
      <x:c r="R464" t="str"/>
      <x:c r="S464" t="str"/>
      <x:c r="T464" t="str"/>
      <x:c r="U464" t="str"/>
      <x:c r="V464" t="str"/>
      <x:c r="W464" t="str"/>
      <x:c r="X464" t="str"/>
      <x:c r="Y464" t="str">
        <x:v>https://data.ny.gov/Economic-Development/Active-Corporations-Beginning-1800/n9v6-gdp6</x:v>
      </x:c>
    </x:row>
    <x:row r="465">
      <x:c r="A465" t="str">
        <x:v>DOS-4-041</x:v>
      </x:c>
      <x:c r="B465" t="n">
        <x:v>4</x:v>
      </x:c>
      <x:c r="C465" t="str">
        <x:v>2546 EAST 17TH STREET  -  2ND FLOOR, BROOKLYN, NY, 11235, US | 2546 EAST 17TH STREET 2ND FLOOR, BROOKLYN, NY, 11235, US | 2546 EAST 17TH STREET, 2ND FLOOR, BROOKLYN, NY, 11235, US</x:v>
      </x:c>
      <x:c r="D465" t="str">
        <x:v>ZT PROPERTIES LLC</x:v>
      </x:c>
      <x:c r="E465" t="str">
        <x:v>ZT PROPERTIES LLC</x:v>
      </x:c>
      <x:c r="F465" t="str">
        <x:v>Active name match</x:v>
      </x:c>
      <x:c r="G465" t="n">
        <x:v>1</x:v>
      </x:c>
      <x:c r="H465" t="n">
        <x:v>0</x:v>
      </x:c>
      <x:c r="I465" t="str">
        <x:v>4839570</x:v>
      </x:c>
      <x:c r="J465" t="str">
        <x:v>ZT PROPERTIES LLC</x:v>
      </x:c>
      <x:c r="K465" s="55" t="n">
        <x:v>42303</x:v>
      </x:c>
      <x:c r="L465" t="str">
        <x:v>Kings</x:v>
      </x:c>
      <x:c r="M465" t="str">
        <x:v>New York</x:v>
      </x:c>
      <x:c r="N465" t="str">
        <x:v>DOMESTIC LIMITED LIABILITY COMPANY</x:v>
      </x:c>
      <x:c r="O465" t="str">
        <x:v>ZT PROPERTIES LLC</x:v>
      </x:c>
      <x:c r="P465" t="str">
        <x:v>626 Sheepshead Bay Rd, STE 640, BROOKLYN, NY, 11224</x:v>
      </x:c>
      <x:c r="Q465" t="str"/>
      <x:c r="R465" t="str"/>
      <x:c r="S465" t="str"/>
      <x:c r="T465" t="str"/>
      <x:c r="U465" t="str"/>
      <x:c r="V465" t="str"/>
      <x:c r="W465" t="str"/>
      <x:c r="X465" t="str"/>
      <x:c r="Y465" t="str">
        <x:v>https://data.ny.gov/Economic-Development/Active-Corporations-Beginning-1800/n9v6-gdp6</x:v>
      </x:c>
    </x:row>
    <x:row r="466">
      <x:c r="A466" t="str">
        <x:v>DOS-4-042</x:v>
      </x:c>
      <x:c r="B466" t="n">
        <x:v>4</x:v>
      </x:c>
      <x:c r="C466" t="str">
        <x:v>430 PARK AVENUE, 15TH FLOOR, NEW YORK, NY, 10022, US | 430 PARK AVENUE,, 15TH FLOOR, NEW YORK, NY, 10022, US</x:v>
      </x:c>
      <x:c r="D466" t="str">
        <x:v>1004 FULTON OWNER LLC</x:v>
      </x:c>
      <x:c r="E466" t="str">
        <x:v>1004 FULTON OWNER LLC</x:v>
      </x:c>
      <x:c r="F466" t="str">
        <x:v>Active name match</x:v>
      </x:c>
      <x:c r="G466" t="n">
        <x:v>1</x:v>
      </x:c>
      <x:c r="H466" t="n">
        <x:v>0</x:v>
      </x:c>
      <x:c r="I466" t="str">
        <x:v>6021887</x:v>
      </x:c>
      <x:c r="J466" t="str">
        <x:v>1004 FULTON OWNER LLC</x:v>
      </x:c>
      <x:c r="K466" s="55" t="n">
        <x:v>44342</x:v>
      </x:c>
      <x:c r="L466" t="str">
        <x:v>New York</x:v>
      </x:c>
      <x:c r="M466" t="str">
        <x:v>Delaware</x:v>
      </x:c>
      <x:c r="N466" t="str">
        <x:v>FOREIGN LIMITED LIABILITY COMPANY</x:v>
      </x:c>
      <x:c r="O466" t="str">
        <x:v>C/O C T CORPORATION SYSTEM</x:v>
      </x:c>
      <x:c r="P466" t="str">
        <x:v>28 LIBERTY STREET, NEW YORK, NY, 10005</x:v>
      </x:c>
      <x:c r="Q466" t="str"/>
      <x:c r="R466" t="str"/>
      <x:c r="S466" t="str"/>
      <x:c r="T466" t="str"/>
      <x:c r="U466" t="str"/>
      <x:c r="V466" t="str"/>
      <x:c r="W466" t="str"/>
      <x:c r="X466" t="str"/>
      <x:c r="Y466" t="str">
        <x:v>https://data.ny.gov/Economic-Development/Active-Corporations-Beginning-1800/n9v6-gdp6</x:v>
      </x:c>
    </x:row>
    <x:row r="467">
      <x:c r="A467" t="str">
        <x:v>DOS-4-042</x:v>
      </x:c>
      <x:c r="B467" t="n">
        <x:v>4</x:v>
      </x:c>
      <x:c r="C467" t="str">
        <x:v>430 PARK AVENUE, 15TH FLOOR, NEW YORK, NY, 10022, US | 430 PARK AVENUE,, 15TH FLOOR, NEW YORK, NY, 10022, US</x:v>
      </x:c>
      <x:c r="D467" t="str">
        <x:v>42ND STREET GORP PROPERTY LLC</x:v>
      </x:c>
      <x:c r="E467" t="str">
        <x:v>42ND STREET GORP PROPERTY LLC</x:v>
      </x:c>
      <x:c r="F467" t="str">
        <x:v>Active name match</x:v>
      </x:c>
      <x:c r="G467" t="n">
        <x:v>1</x:v>
      </x:c>
      <x:c r="H467" t="n">
        <x:v>0</x:v>
      </x:c>
      <x:c r="I467" t="str">
        <x:v>6314263</x:v>
      </x:c>
      <x:c r="J467" t="str">
        <x:v>42ND STREET GORP PROPERTY LLC</x:v>
      </x:c>
      <x:c r="K467" s="55" t="n">
        <x:v>44497</x:v>
      </x:c>
      <x:c r="L467" t="str">
        <x:v>New York</x:v>
      </x:c>
      <x:c r="M467" t="str">
        <x:v>Delaware</x:v>
      </x:c>
      <x:c r="N467" t="str">
        <x:v>FOREIGN LIMITED LIABILITY COMPANY</x:v>
      </x:c>
      <x:c r="O467" t="str">
        <x:v>C/O C T CORPORATION SYSTEM</x:v>
      </x:c>
      <x:c r="P467" t="str">
        <x:v>28 LIBERTY STREET, NEW YORK, NY, 10005</x:v>
      </x:c>
      <x:c r="Q467" t="str"/>
      <x:c r="R467" t="str"/>
      <x:c r="S467" t="str">
        <x:v>C T CORPORATION SYSTEM</x:v>
      </x:c>
      <x:c r="T467" t="str">
        <x:v>28 LIBERTY STREET, NEW YORK, NEW YORK, 10005</x:v>
      </x:c>
      <x:c r="U467" t="str"/>
      <x:c r="V467" t="str"/>
      <x:c r="W467" t="str"/>
      <x:c r="X467" t="str"/>
      <x:c r="Y467" t="str">
        <x:v>https://data.ny.gov/Economic-Development/Active-Corporations-Beginning-1800/n9v6-gdp6</x:v>
      </x:c>
    </x:row>
    <x:row r="468">
      <x:c r="A468" t="str">
        <x:v>DOS-4-042</x:v>
      </x:c>
      <x:c r="B468" t="n">
        <x:v>4</x:v>
      </x:c>
      <x:c r="C468" t="str">
        <x:v>430 PARK AVENUE, 15TH FLOOR, NEW YORK, NY, 10022, US | 430 PARK AVENUE,, 15TH FLOOR, NEW YORK, NY, 10022, US</x:v>
      </x:c>
      <x:c r="D468" t="str">
        <x:v>733 DEKALB OWNER LLC</x:v>
      </x:c>
      <x:c r="E468" t="str">
        <x:v>733 DEKALB OWNER LLC</x:v>
      </x:c>
      <x:c r="F468" t="str">
        <x:v>Active name match</x:v>
      </x:c>
      <x:c r="G468" t="n">
        <x:v>1</x:v>
      </x:c>
      <x:c r="H468" t="n">
        <x:v>0</x:v>
      </x:c>
      <x:c r="I468" t="str">
        <x:v>6009105</x:v>
      </x:c>
      <x:c r="J468" t="str">
        <x:v>733 DEKALB OWNER LLC</x:v>
      </x:c>
      <x:c r="K468" s="55" t="n">
        <x:v>44326</x:v>
      </x:c>
      <x:c r="L468" t="str">
        <x:v>New York</x:v>
      </x:c>
      <x:c r="M468" t="str">
        <x:v>Delaware</x:v>
      </x:c>
      <x:c r="N468" t="str">
        <x:v>FOREIGN LIMITED LIABILITY COMPANY</x:v>
      </x:c>
      <x:c r="O468" t="str">
        <x:v>C/O C T CORPORATION SYSTEM</x:v>
      </x:c>
      <x:c r="P468" t="str">
        <x:v>28 LIBERTY STREET, NEW YORK, NY, 10005</x:v>
      </x:c>
      <x:c r="Q468" t="str"/>
      <x:c r="R468" t="str"/>
      <x:c r="S468" t="str"/>
      <x:c r="T468" t="str"/>
      <x:c r="U468" t="str"/>
      <x:c r="V468" t="str"/>
      <x:c r="W468" t="str"/>
      <x:c r="X468" t="str"/>
      <x:c r="Y468" t="str">
        <x:v>https://data.ny.gov/Economic-Development/Active-Corporations-Beginning-1800/n9v6-gdp6</x:v>
      </x:c>
    </x:row>
    <x:row r="469">
      <x:c r="A469" t="str">
        <x:v>DOS-4-042</x:v>
      </x:c>
      <x:c r="B469" t="n">
        <x:v>4</x:v>
      </x:c>
      <x:c r="C469" t="str">
        <x:v>430 PARK AVENUE, 15TH FLOOR, NEW YORK, NY, 10022, US | 430 PARK AVENUE,, 15TH FLOOR, NEW YORK, NY, 10022, US</x:v>
      </x:c>
      <x:c r="D469" t="str">
        <x:v>HIGHLINE 22 OWNER LLC</x:v>
      </x:c>
      <x:c r="E469" t="str">
        <x:v>HIGHLINE 22 OWNER LLC</x:v>
      </x:c>
      <x:c r="F469" t="str">
        <x:v>Active name match</x:v>
      </x:c>
      <x:c r="G469" t="n">
        <x:v>1</x:v>
      </x:c>
      <x:c r="H469" t="n">
        <x:v>0</x:v>
      </x:c>
      <x:c r="I469" t="str">
        <x:v>6803411</x:v>
      </x:c>
      <x:c r="J469" t="str">
        <x:v>HIGHLINE 22 OWNER LLC</x:v>
      </x:c>
      <x:c r="K469" s="55" t="n">
        <x:v>45035</x:v>
      </x:c>
      <x:c r="L469" t="str">
        <x:v>New York</x:v>
      </x:c>
      <x:c r="M469" t="str">
        <x:v>Delaware</x:v>
      </x:c>
      <x:c r="N469" t="str">
        <x:v>FOREIGN LIMITED LIABILITY COMPANY</x:v>
      </x:c>
      <x:c r="O469" t="str">
        <x:v>C/O C T CORPORATION SYSTEM</x:v>
      </x:c>
      <x:c r="P469" t="str">
        <x:v>28 LIBERTY STREET, NEW YORK, NY, 10005</x:v>
      </x:c>
      <x:c r="Q469" t="str"/>
      <x:c r="R469" t="str"/>
      <x:c r="S469" t="str"/>
      <x:c r="T469" t="str"/>
      <x:c r="U469" t="str"/>
      <x:c r="V469" t="str"/>
      <x:c r="W469" t="str"/>
      <x:c r="X469" t="str"/>
      <x:c r="Y469" t="str">
        <x:v>https://data.ny.gov/Economic-Development/Active-Corporations-Beginning-1800/n9v6-gdp6</x:v>
      </x:c>
    </x:row>
    <x:row r="470">
      <x:c r="A470" t="str">
        <x:v>DOS-4-043</x:v>
      </x:c>
      <x:c r="B470" t="n">
        <x:v>4</x:v>
      </x:c>
      <x:c r="C470" t="str">
        <x:v>440 CLINTON STREET, BROOKLYN, NY, 11231, US</x:v>
      </x:c>
      <x:c r="D470" t="str">
        <x:v>117 127 CARROLL STREET GARAGE LLC</x:v>
      </x:c>
      <x:c r="E470" t="str">
        <x:v>117-127 CARROLL STREET GARAGE LLC</x:v>
      </x:c>
      <x:c r="F470" t="str">
        <x:v>Active name match</x:v>
      </x:c>
      <x:c r="G470" t="n">
        <x:v>1</x:v>
      </x:c>
      <x:c r="H470" t="n">
        <x:v>0</x:v>
      </x:c>
      <x:c r="I470" t="str">
        <x:v>3879172</x:v>
      </x:c>
      <x:c r="J470" t="str">
        <x:v>117-127 CARROLL STREET GARAGE, LLC</x:v>
      </x:c>
      <x:c r="K470" s="55" t="n">
        <x:v>40133</x:v>
      </x:c>
      <x:c r="L470" t="str">
        <x:v>Kings</x:v>
      </x:c>
      <x:c r="M470" t="str">
        <x:v>New York</x:v>
      </x:c>
      <x:c r="N470" t="str">
        <x:v>DOMESTIC LIMITED LIABILITY COMPANY</x:v>
      </x:c>
      <x:c r="O470" t="str">
        <x:v>C/O TERENCE L. KELLEHER, ESQ.</x:v>
      </x:c>
      <x:c r="P470" t="str">
        <x:v>14 PENN PLAZA, SUITE 720, NEW YORK, NY, 10122</x:v>
      </x:c>
      <x:c r="Q470" t="str"/>
      <x:c r="R470" t="str"/>
      <x:c r="S470" t="str"/>
      <x:c r="T470" t="str"/>
      <x:c r="U470" t="str"/>
      <x:c r="V470" t="str"/>
      <x:c r="W470" t="str"/>
      <x:c r="X470" t="str"/>
      <x:c r="Y470" t="str">
        <x:v>https://data.ny.gov/Economic-Development/Active-Corporations-Beginning-1800/n9v6-gdp6</x:v>
      </x:c>
    </x:row>
    <x:row r="471">
      <x:c r="A471" t="str">
        <x:v>DOS-4-043</x:v>
      </x:c>
      <x:c r="B471" t="n">
        <x:v>4</x:v>
      </x:c>
      <x:c r="C471" t="str">
        <x:v>440 CLINTON STREET, BROOKLYN, NY, 11231, US</x:v>
      </x:c>
      <x:c r="D471" t="str">
        <x:v>25 FIRST PLACE LLC</x:v>
      </x:c>
      <x:c r="E471" t="str">
        <x:v>25 FIRST PLACE LLC</x:v>
      </x:c>
      <x:c r="F471" t="str">
        <x:v>Active name match</x:v>
      </x:c>
      <x:c r="G471" t="n">
        <x:v>1</x:v>
      </x:c>
      <x:c r="H471" t="n">
        <x:v>1</x:v>
      </x:c>
      <x:c r="I471" t="str">
        <x:v>4215180</x:v>
      </x:c>
      <x:c r="J471" t="str">
        <x:v>25 FIRST PLACE LLC</x:v>
      </x:c>
      <x:c r="K471" s="55" t="n">
        <x:v>40980</x:v>
      </x:c>
      <x:c r="L471" t="str">
        <x:v>Kings</x:v>
      </x:c>
      <x:c r="M471" t="str">
        <x:v>New York</x:v>
      </x:c>
      <x:c r="N471" t="str">
        <x:v>DOMESTIC LIMITED LIABILITY COMPANY</x:v>
      </x:c>
      <x:c r="O471" t="str">
        <x:v>MENZIUSO FAMILY LIMITED PARTNERSHIP</x:v>
      </x:c>
      <x:c r="P471" t="str">
        <x:v>450 CLINTON STREET  APT 1F, BROOKLYN, NY, 11231</x:v>
      </x:c>
      <x:c r="Q471" t="str"/>
      <x:c r="R471" t="str"/>
      <x:c r="S471" t="str"/>
      <x:c r="T471" t="str"/>
      <x:c r="U471" t="str"/>
      <x:c r="V471" t="str"/>
      <x:c r="W471" t="str"/>
      <x:c r="X471" t="str"/>
      <x:c r="Y471" t="str">
        <x:v>https://data.ny.gov/Economic-Development/Active-Corporations-Beginning-1800/n9v6-gdp6</x:v>
      </x:c>
    </x:row>
    <x:row r="472">
      <x:c r="A472" t="str">
        <x:v>DOS-4-043</x:v>
      </x:c>
      <x:c r="B472" t="n">
        <x:v>4</x:v>
      </x:c>
      <x:c r="C472" t="str">
        <x:v>440 CLINTON STREET, BROOKLYN, NY, 11231, US</x:v>
      </x:c>
      <x:c r="D472" t="str">
        <x:v>53 HAZEL COURT LLC</x:v>
      </x:c>
      <x:c r="E472" t="str">
        <x:v>53 HAZEL COURT LLC</x:v>
      </x:c>
      <x:c r="F472" t="str">
        <x:v>Active name match</x:v>
      </x:c>
      <x:c r="G472" t="n">
        <x:v>1</x:v>
      </x:c>
      <x:c r="H472" t="n">
        <x:v>0</x:v>
      </x:c>
      <x:c r="I472" t="str">
        <x:v>3969962</x:v>
      </x:c>
      <x:c r="J472" t="str">
        <x:v>53 HAZEL COURT, LLC</x:v>
      </x:c>
      <x:c r="K472" s="55" t="n">
        <x:v>40366</x:v>
      </x:c>
      <x:c r="L472" t="str">
        <x:v>Kings</x:v>
      </x:c>
      <x:c r="M472" t="str">
        <x:v>New York</x:v>
      </x:c>
      <x:c r="N472" t="str">
        <x:v>DOMESTIC LIMITED LIABILITY COMPANY</x:v>
      </x:c>
      <x:c r="O472" t="str">
        <x:v>C/O TERENCE L. KELLEHER, ESQ.</x:v>
      </x:c>
      <x:c r="P472" t="str">
        <x:v>9 BROMPTON ROAD, GARDEN CITY, NY, 11530</x:v>
      </x:c>
      <x:c r="Q472" t="str"/>
      <x:c r="R472" t="str"/>
      <x:c r="S472" t="str"/>
      <x:c r="T472" t="str"/>
      <x:c r="U472" t="str"/>
      <x:c r="V472" t="str"/>
      <x:c r="W472" t="str"/>
      <x:c r="X472" t="str"/>
      <x:c r="Y472" t="str">
        <x:v>https://data.ny.gov/Economic-Development/Active-Corporations-Beginning-1800/n9v6-gdp6</x:v>
      </x:c>
    </x:row>
    <x:row r="473">
      <x:c r="A473" t="str">
        <x:v>DOS-4-043</x:v>
      </x:c>
      <x:c r="B473" t="n">
        <x:v>4</x:v>
      </x:c>
      <x:c r="C473" t="str">
        <x:v>440 CLINTON STREET, BROOKLYN, NY, 11231, US</x:v>
      </x:c>
      <x:c r="D473" t="str">
        <x:v>54 IRA COURT LLC</x:v>
      </x:c>
      <x:c r="E473" t="str">
        <x:v>54 IRA COURT LLC</x:v>
      </x:c>
      <x:c r="F473" t="str">
        <x:v>Active name match</x:v>
      </x:c>
      <x:c r="G473" t="n">
        <x:v>1</x:v>
      </x:c>
      <x:c r="H473" t="n">
        <x:v>0</x:v>
      </x:c>
      <x:c r="I473" t="str">
        <x:v>3969964</x:v>
      </x:c>
      <x:c r="J473" t="str">
        <x:v>54 IRA COURT, LLC</x:v>
      </x:c>
      <x:c r="K473" s="55" t="n">
        <x:v>40366</x:v>
      </x:c>
      <x:c r="L473" t="str">
        <x:v>Kings</x:v>
      </x:c>
      <x:c r="M473" t="str">
        <x:v>New York</x:v>
      </x:c>
      <x:c r="N473" t="str">
        <x:v>DOMESTIC LIMITED LIABILITY COMPANY</x:v>
      </x:c>
      <x:c r="O473" t="str">
        <x:v>C/O TERENCE L. KELLEHER, ESQ.</x:v>
      </x:c>
      <x:c r="P473" t="str">
        <x:v>9 BROMPTON ROAD, GARDEN CITY, NY, 11530</x:v>
      </x:c>
      <x:c r="Q473" t="str"/>
      <x:c r="R473" t="str"/>
      <x:c r="S473" t="str"/>
      <x:c r="T473" t="str"/>
      <x:c r="U473" t="str"/>
      <x:c r="V473" t="str"/>
      <x:c r="W473" t="str"/>
      <x:c r="X473" t="str"/>
      <x:c r="Y473" t="str">
        <x:v>https://data.ny.gov/Economic-Development/Active-Corporations-Beginning-1800/n9v6-gdp6</x:v>
      </x:c>
    </x:row>
    <x:row r="474">
      <x:c r="A474" t="str">
        <x:v>DOS-4-044</x:v>
      </x:c>
      <x:c r="B474" t="n">
        <x:v>4</x:v>
      </x:c>
      <x:c r="C474" t="str">
        <x:v>54 BURTON AVE, WOODMERE, NY, 11598, US</x:v>
      </x:c>
      <x:c r="D474" t="str">
        <x:v>MMJ PROPERTY MANAGEMENT LLC</x:v>
      </x:c>
      <x:c r="E474" t="str">
        <x:v>MMJ PROPERTY MANAGEMENT LLC</x:v>
      </x:c>
      <x:c r="F474" t="str">
        <x:v>Active name match</x:v>
      </x:c>
      <x:c r="G474" t="n">
        <x:v>1</x:v>
      </x:c>
      <x:c r="H474" t="n">
        <x:v>1</x:v>
      </x:c>
      <x:c r="I474" t="str">
        <x:v>7241237</x:v>
      </x:c>
      <x:c r="J474" t="str">
        <x:v>MMJ PROPERTY MANAGEMENT LLC</x:v>
      </x:c>
      <x:c r="K474" s="55" t="n">
        <x:v>45321</x:v>
      </x:c>
      <x:c r="L474" t="str">
        <x:v>Nassau</x:v>
      </x:c>
      <x:c r="M474" t="str">
        <x:v>New York</x:v>
      </x:c>
      <x:c r="N474" t="str">
        <x:v>DOMESTIC LIMITED LIABILITY COMPANY</x:v>
      </x:c>
      <x:c r="O474" t="str">
        <x:v>THE LIMITED LIABILITY COMPANY</x:v>
      </x:c>
      <x:c r="P474" t="str">
        <x:v>54 BURTON AVENUE, WOODMERE, NY, 11598</x:v>
      </x:c>
      <x:c r="Q474" t="str"/>
      <x:c r="R474" t="str"/>
      <x:c r="S474" t="str"/>
      <x:c r="T474" t="str"/>
      <x:c r="U474" t="str"/>
      <x:c r="V474" t="str"/>
      <x:c r="W474" t="str"/>
      <x:c r="X474" t="str"/>
      <x:c r="Y474" t="str">
        <x:v>https://data.ny.gov/Economic-Development/Active-Corporations-Beginning-1800/n9v6-gdp6</x:v>
      </x:c>
    </x:row>
    <x:row r="475">
      <x:c r="A475" t="str">
        <x:v>DOS-4-044</x:v>
      </x:c>
      <x:c r="B475" t="n">
        <x:v>4</x:v>
      </x:c>
      <x:c r="C475" t="str">
        <x:v>54 BURTON AVE, WOODMERE, NY, 11598, US</x:v>
      </x:c>
      <x:c r="D475" t="str">
        <x:v>SCOTTIE PROPERTY MANAGEMENT LLC</x:v>
      </x:c>
      <x:c r="E475" t="str">
        <x:v>SCOTTIE PROPERTY MANAGEMENT LLC</x:v>
      </x:c>
      <x:c r="F475" t="str">
        <x:v>Address-corroborated active match</x:v>
      </x:c>
      <x:c r="G475" t="n">
        <x:v>1</x:v>
      </x:c>
      <x:c r="H475" t="n">
        <x:v>2</x:v>
      </x:c>
      <x:c r="I475" t="str">
        <x:v>7241245</x:v>
      </x:c>
      <x:c r="J475" t="str">
        <x:v>SCOTTIE PROPERTY MANAGEMENT LLC</x:v>
      </x:c>
      <x:c r="K475" s="55" t="n">
        <x:v>45321</x:v>
      </x:c>
      <x:c r="L475" t="str">
        <x:v>Nassau</x:v>
      </x:c>
      <x:c r="M475" t="str">
        <x:v>New York</x:v>
      </x:c>
      <x:c r="N475" t="str">
        <x:v>DOMESTIC LIMITED LIABILITY COMPANY</x:v>
      </x:c>
      <x:c r="O475" t="str">
        <x:v>THE LIMITED LIABILITY COMPANY</x:v>
      </x:c>
      <x:c r="P475" t="str">
        <x:v>54 BURTON AVE, WOODMERE, NY, 11598</x:v>
      </x:c>
      <x:c r="Q475" t="str"/>
      <x:c r="R475" t="str"/>
      <x:c r="S475" t="str"/>
      <x:c r="T475" t="str"/>
      <x:c r="U475" t="str"/>
      <x:c r="V475" t="str"/>
      <x:c r="W475" t="str"/>
      <x:c r="X475" t="str"/>
      <x:c r="Y475" t="str">
        <x:v>https://data.ny.gov/Economic-Development/Active-Corporations-Beginning-1800/n9v6-gdp6</x:v>
      </x:c>
    </x:row>
    <x:row r="476">
      <x:c r="A476" t="str">
        <x:v>DOS-4-044</x:v>
      </x:c>
      <x:c r="B476" t="n">
        <x:v>4</x:v>
      </x:c>
      <x:c r="C476" t="str">
        <x:v>54 BURTON AVE, WOODMERE, NY, 11598, US</x:v>
      </x:c>
      <x:c r="D476" t="str">
        <x:v>SINDHI PROPERTY MANAGEMENT LLC</x:v>
      </x:c>
      <x:c r="E476" t="str">
        <x:v>SINDHI PROPERTY MANAGEMENT LLC</x:v>
      </x:c>
      <x:c r="F476" t="str">
        <x:v>Active name match</x:v>
      </x:c>
      <x:c r="G476" t="n">
        <x:v>1</x:v>
      </x:c>
      <x:c r="H476" t="n">
        <x:v>1</x:v>
      </x:c>
      <x:c r="I476" t="str">
        <x:v>7298414</x:v>
      </x:c>
      <x:c r="J476" t="str">
        <x:v>SINDHI PROPERTY MANAGEMENT LLC</x:v>
      </x:c>
      <x:c r="K476" s="55" t="n">
        <x:v>45387</x:v>
      </x:c>
      <x:c r="L476" t="str">
        <x:v>Nassau</x:v>
      </x:c>
      <x:c r="M476" t="str">
        <x:v>New York</x:v>
      </x:c>
      <x:c r="N476" t="str">
        <x:v>DOMESTIC LIMITED LIABILITY COMPANY</x:v>
      </x:c>
      <x:c r="O476" t="str">
        <x:v>THE LIMITED LIABILITY COMPANY</x:v>
      </x:c>
      <x:c r="P476" t="str">
        <x:v>54 BURTON AVENUE, WOODMERE, NY, 11598</x:v>
      </x:c>
      <x:c r="Q476" t="str"/>
      <x:c r="R476" t="str"/>
      <x:c r="S476" t="str"/>
      <x:c r="T476" t="str"/>
      <x:c r="U476" t="str"/>
      <x:c r="V476" t="str"/>
      <x:c r="W476" t="str"/>
      <x:c r="X476" t="str"/>
      <x:c r="Y476" t="str">
        <x:v>https://data.ny.gov/Economic-Development/Active-Corporations-Beginning-1800/n9v6-gdp6</x:v>
      </x:c>
    </x:row>
    <x:row r="477">
      <x:c r="A477" t="str">
        <x:v>DOS-4-044</x:v>
      </x:c>
      <x:c r="B477" t="n">
        <x:v>4</x:v>
      </x:c>
      <x:c r="C477" t="str">
        <x:v>54 BURTON AVE, WOODMERE, NY, 11598, US</x:v>
      </x:c>
      <x:c r="D477" t="str">
        <x:v>TADEEPRON PROPERTY MANAGEMENT LLC</x:v>
      </x:c>
      <x:c r="E477" t="str">
        <x:v>TADEEPRON PROPERTY MANAGEMENT LLC</x:v>
      </x:c>
      <x:c r="F477" t="str">
        <x:v>Active name match</x:v>
      </x:c>
      <x:c r="G477" t="n">
        <x:v>1</x:v>
      </x:c>
      <x:c r="H477" t="n">
        <x:v>1</x:v>
      </x:c>
      <x:c r="I477" t="str">
        <x:v>7241251</x:v>
      </x:c>
      <x:c r="J477" t="str">
        <x:v>TADEEPRON PROPERTY MANAGEMENT LLC</x:v>
      </x:c>
      <x:c r="K477" s="55" t="n">
        <x:v>45321</x:v>
      </x:c>
      <x:c r="L477" t="str">
        <x:v>Nassau</x:v>
      </x:c>
      <x:c r="M477" t="str">
        <x:v>New York</x:v>
      </x:c>
      <x:c r="N477" t="str">
        <x:v>DOMESTIC LIMITED LIABILITY COMPANY</x:v>
      </x:c>
      <x:c r="O477" t="str">
        <x:v>THE LIMITED LIABILITY COMPANY</x:v>
      </x:c>
      <x:c r="P477" t="str">
        <x:v>50 BURTON AVE, WOODMERE, NY, 11598</x:v>
      </x:c>
      <x:c r="Q477" t="str"/>
      <x:c r="R477" t="str"/>
      <x:c r="S477" t="str"/>
      <x:c r="T477" t="str"/>
      <x:c r="U477" t="str"/>
      <x:c r="V477" t="str"/>
      <x:c r="W477" t="str"/>
      <x:c r="X477" t="str"/>
      <x:c r="Y477" t="str">
        <x:v>https://data.ny.gov/Economic-Development/Active-Corporations-Beginning-1800/n9v6-gdp6</x:v>
      </x:c>
    </x:row>
    <x:row r="478">
      <x:c r="A478" t="str">
        <x:v>DOS-4-045</x:v>
      </x:c>
      <x:c r="B478" t="n">
        <x:v>4</x:v>
      </x:c>
      <x:c r="C478" t="str">
        <x:v>57-77 80 STREET, MIDDLE VILLAGE, NY, 11379, US</x:v>
      </x:c>
      <x:c r="D478" t="str">
        <x:v>NAV 1094 5418 LLC</x:v>
      </x:c>
      <x:c r="E478" t="str">
        <x:v>NAV 1094-5418 LLC</x:v>
      </x:c>
      <x:c r="F478" t="str">
        <x:v>No active DOS match</x:v>
      </x:c>
      <x:c r="G478" t="n">
        <x:v>0</x:v>
      </x:c>
      <x:c r="H478" t="n">
        <x:v>0</x:v>
      </x:c>
      <x:c r="I478" t="str"/>
      <x:c r="J478" t="str"/>
      <x:c r="K478" s="55" t="str"/>
      <x:c r="L478" t="str"/>
      <x:c r="M478" t="str"/>
      <x:c r="N478" t="str"/>
      <x:c r="O478" t="str"/>
      <x:c r="P478" t="str"/>
      <x:c r="Q478" t="str"/>
      <x:c r="R478" t="str"/>
      <x:c r="S478" t="str"/>
      <x:c r="T478" t="str"/>
      <x:c r="U478" t="str"/>
      <x:c r="V478" t="str"/>
      <x:c r="W478" t="str"/>
      <x:c r="X478" t="str"/>
      <x:c r="Y478" t="str">
        <x:v>https://data.ny.gov/Economic-Development/Active-Corporations-Beginning-1800/n9v6-gdp6</x:v>
      </x:c>
    </x:row>
    <x:row r="479">
      <x:c r="A479" t="str">
        <x:v>DOS-4-045</x:v>
      </x:c>
      <x:c r="B479" t="n">
        <x:v>4</x:v>
      </x:c>
      <x:c r="C479" t="str">
        <x:v>57-77 80 STREET, MIDDLE VILLAGE, NY, 11379, US</x:v>
      </x:c>
      <x:c r="D479" t="str">
        <x:v>NAV 115 1701 LLC</x:v>
      </x:c>
      <x:c r="E479" t="str">
        <x:v>NAV 115-1701 LLC</x:v>
      </x:c>
      <x:c r="F479" t="str">
        <x:v>No active DOS match</x:v>
      </x:c>
      <x:c r="G479" t="n">
        <x:v>0</x:v>
      </x:c>
      <x:c r="H479" t="n">
        <x:v>0</x:v>
      </x:c>
      <x:c r="I479" t="str"/>
      <x:c r="J479" t="str"/>
      <x:c r="K479" s="55" t="str"/>
      <x:c r="L479" t="str"/>
      <x:c r="M479" t="str"/>
      <x:c r="N479" t="str"/>
      <x:c r="O479" t="str"/>
      <x:c r="P479" t="str"/>
      <x:c r="Q479" t="str"/>
      <x:c r="R479" t="str"/>
      <x:c r="S479" t="str"/>
      <x:c r="T479" t="str"/>
      <x:c r="U479" t="str"/>
      <x:c r="V479" t="str"/>
      <x:c r="W479" t="str"/>
      <x:c r="X479" t="str"/>
      <x:c r="Y479" t="str">
        <x:v>https://data.ny.gov/Economic-Development/Active-Corporations-Beginning-1800/n9v6-gdp6</x:v>
      </x:c>
    </x:row>
    <x:row r="480">
      <x:c r="A480" t="str">
        <x:v>DOS-4-045</x:v>
      </x:c>
      <x:c r="B480" t="n">
        <x:v>4</x:v>
      </x:c>
      <x:c r="C480" t="str">
        <x:v>57-77 80 STREET, MIDDLE VILLAGE, NY, 11379, US</x:v>
      </x:c>
      <x:c r="D480" t="str">
        <x:v>NAV 291 LLC</x:v>
      </x:c>
      <x:c r="E480" t="str">
        <x:v>NAV 291 LLC</x:v>
      </x:c>
      <x:c r="F480" t="str">
        <x:v>No active DOS match</x:v>
      </x:c>
      <x:c r="G480" t="n">
        <x:v>0</x:v>
      </x:c>
      <x:c r="H480" t="n">
        <x:v>0</x:v>
      </x:c>
      <x:c r="I480" t="str"/>
      <x:c r="J480" t="str"/>
      <x:c r="K480" s="55" t="str"/>
      <x:c r="L480" t="str"/>
      <x:c r="M480" t="str"/>
      <x:c r="N480" t="str"/>
      <x:c r="O480" t="str"/>
      <x:c r="P480" t="str"/>
      <x:c r="Q480" t="str"/>
      <x:c r="R480" t="str"/>
      <x:c r="S480" t="str"/>
      <x:c r="T480" t="str"/>
      <x:c r="U480" t="str"/>
      <x:c r="V480" t="str"/>
      <x:c r="W480" t="str"/>
      <x:c r="X480" t="str"/>
      <x:c r="Y480" t="str">
        <x:v>https://data.ny.gov/Economic-Development/Active-Corporations-Beginning-1800/n9v6-gdp6</x:v>
      </x:c>
    </x:row>
    <x:row r="481">
      <x:c r="A481" t="str">
        <x:v>DOS-4-045</x:v>
      </x:c>
      <x:c r="B481" t="n">
        <x:v>4</x:v>
      </x:c>
      <x:c r="C481" t="str">
        <x:v>57-77 80 STREET, MIDDLE VILLAGE, NY, 11379, US</x:v>
      </x:c>
      <x:c r="D481" t="str">
        <x:v>NAV 76 78 LLC</x:v>
      </x:c>
      <x:c r="E481" t="str">
        <x:v>NAV 76-78 LLC</x:v>
      </x:c>
      <x:c r="F481" t="str">
        <x:v>No active DOS match</x:v>
      </x:c>
      <x:c r="G481" t="n">
        <x:v>0</x:v>
      </x:c>
      <x:c r="H481" t="n">
        <x:v>0</x:v>
      </x:c>
      <x:c r="I481" t="str"/>
      <x:c r="J481" t="str"/>
      <x:c r="K481" s="55" t="str"/>
      <x:c r="L481" t="str"/>
      <x:c r="M481" t="str"/>
      <x:c r="N481" t="str"/>
      <x:c r="O481" t="str"/>
      <x:c r="P481" t="str"/>
      <x:c r="Q481" t="str"/>
      <x:c r="R481" t="str"/>
      <x:c r="S481" t="str"/>
      <x:c r="T481" t="str"/>
      <x:c r="U481" t="str"/>
      <x:c r="V481" t="str"/>
      <x:c r="W481" t="str"/>
      <x:c r="X481" t="str"/>
      <x:c r="Y481" t="str">
        <x:v>https://data.ny.gov/Economic-Development/Active-Corporations-Beginning-1800/n9v6-gdp6</x:v>
      </x:c>
    </x:row>
    <x:row r="482">
      <x:c r="A482" t="str">
        <x:v>DOS-4-046</x:v>
      </x:c>
      <x:c r="B482" t="n">
        <x:v>4</x:v>
      </x:c>
      <x:c r="C482" t="str">
        <x:v>59-05 59TH DRIVE, MASPETH, NY, 11378, US</x:v>
      </x:c>
      <x:c r="D482" t="str">
        <x:v>65 82 LLC</x:v>
      </x:c>
      <x:c r="E482" t="str">
        <x:v>65-82 LLC</x:v>
      </x:c>
      <x:c r="F482" t="str">
        <x:v>Address-corroborated active match</x:v>
      </x:c>
      <x:c r="G482" t="n">
        <x:v>1</x:v>
      </x:c>
      <x:c r="H482" t="n">
        <x:v>2</x:v>
      </x:c>
      <x:c r="I482" t="str">
        <x:v>4251170</x:v>
      </x:c>
      <x:c r="J482" t="str">
        <x:v>65-82 LLC</x:v>
      </x:c>
      <x:c r="K482" s="55" t="n">
        <x:v>41058</x:v>
      </x:c>
      <x:c r="L482" t="str">
        <x:v>Queens</x:v>
      </x:c>
      <x:c r="M482" t="str">
        <x:v>New York</x:v>
      </x:c>
      <x:c r="N482" t="str">
        <x:v>DOMESTIC LIMITED LIABILITY COMPANY</x:v>
      </x:c>
      <x:c r="O482" t="str">
        <x:v>65-82 LLC</x:v>
      </x:c>
      <x:c r="P482" t="str">
        <x:v>59-05 59TH DR., MASPETH, NY, 11378</x:v>
      </x:c>
      <x:c r="Q482" t="str"/>
      <x:c r="R482" t="str"/>
      <x:c r="S482" t="str"/>
      <x:c r="T482" t="str"/>
      <x:c r="U482" t="str"/>
      <x:c r="V482" t="str"/>
      <x:c r="W482" t="str"/>
      <x:c r="X482" t="str"/>
      <x:c r="Y482" t="str">
        <x:v>https://data.ny.gov/Economic-Development/Active-Corporations-Beginning-1800/n9v6-gdp6</x:v>
      </x:c>
    </x:row>
    <x:row r="483">
      <x:c r="A483" t="str">
        <x:v>DOS-4-046</x:v>
      </x:c>
      <x:c r="B483" t="n">
        <x:v>4</x:v>
      </x:c>
      <x:c r="C483" t="str">
        <x:v>59-05 59TH DRIVE, MASPETH, NY, 11378, US</x:v>
      </x:c>
      <x:c r="D483" t="str">
        <x:v>65 84 LLC</x:v>
      </x:c>
      <x:c r="E483" t="str">
        <x:v>65-84 LLC</x:v>
      </x:c>
      <x:c r="F483" t="str">
        <x:v>Address-corroborated active match</x:v>
      </x:c>
      <x:c r="G483" t="n">
        <x:v>1</x:v>
      </x:c>
      <x:c r="H483" t="n">
        <x:v>2</x:v>
      </x:c>
      <x:c r="I483" t="str">
        <x:v>4251172</x:v>
      </x:c>
      <x:c r="J483" t="str">
        <x:v>65-84 LLC</x:v>
      </x:c>
      <x:c r="K483" s="55" t="n">
        <x:v>41058</x:v>
      </x:c>
      <x:c r="L483" t="str">
        <x:v>Queens</x:v>
      </x:c>
      <x:c r="M483" t="str">
        <x:v>New York</x:v>
      </x:c>
      <x:c r="N483" t="str">
        <x:v>DOMESTIC LIMITED LIABILITY COMPANY</x:v>
      </x:c>
      <x:c r="O483" t="str">
        <x:v>65-84 LLC</x:v>
      </x:c>
      <x:c r="P483" t="str">
        <x:v>59-05 59TH DR., MASPETH, NY, 11378</x:v>
      </x:c>
      <x:c r="Q483" t="str"/>
      <x:c r="R483" t="str"/>
      <x:c r="S483" t="str"/>
      <x:c r="T483" t="str"/>
      <x:c r="U483" t="str"/>
      <x:c r="V483" t="str"/>
      <x:c r="W483" t="str"/>
      <x:c r="X483" t="str"/>
      <x:c r="Y483" t="str">
        <x:v>https://data.ny.gov/Economic-Development/Active-Corporations-Beginning-1800/n9v6-gdp6</x:v>
      </x:c>
    </x:row>
    <x:row r="484">
      <x:c r="A484" t="str">
        <x:v>DOS-4-046</x:v>
      </x:c>
      <x:c r="B484" t="n">
        <x:v>4</x:v>
      </x:c>
      <x:c r="C484" t="str">
        <x:v>59-05 59TH DRIVE, MASPETH, NY, 11378, US</x:v>
      </x:c>
      <x:c r="D484" t="str">
        <x:v>65 86 LLC</x:v>
      </x:c>
      <x:c r="E484" t="str">
        <x:v>65-86 LLC</x:v>
      </x:c>
      <x:c r="F484" t="str">
        <x:v>Address-corroborated active match</x:v>
      </x:c>
      <x:c r="G484" t="n">
        <x:v>1</x:v>
      </x:c>
      <x:c r="H484" t="n">
        <x:v>2</x:v>
      </x:c>
      <x:c r="I484" t="str">
        <x:v>4251168</x:v>
      </x:c>
      <x:c r="J484" t="str">
        <x:v>65-86 LLC</x:v>
      </x:c>
      <x:c r="K484" s="55" t="n">
        <x:v>41058</x:v>
      </x:c>
      <x:c r="L484" t="str">
        <x:v>Queens</x:v>
      </x:c>
      <x:c r="M484" t="str">
        <x:v>New York</x:v>
      </x:c>
      <x:c r="N484" t="str">
        <x:v>DOMESTIC LIMITED LIABILITY COMPANY</x:v>
      </x:c>
      <x:c r="O484" t="str">
        <x:v>65-86 LLC</x:v>
      </x:c>
      <x:c r="P484" t="str">
        <x:v>59-05 59TH DR., MASPETH, NY, 11378</x:v>
      </x:c>
      <x:c r="Q484" t="str"/>
      <x:c r="R484" t="str"/>
      <x:c r="S484" t="str"/>
      <x:c r="T484" t="str"/>
      <x:c r="U484" t="str"/>
      <x:c r="V484" t="str"/>
      <x:c r="W484" t="str"/>
      <x:c r="X484" t="str"/>
      <x:c r="Y484" t="str">
        <x:v>https://data.ny.gov/Economic-Development/Active-Corporations-Beginning-1800/n9v6-gdp6</x:v>
      </x:c>
    </x:row>
    <x:row r="485">
      <x:c r="A485" t="str">
        <x:v>DOS-4-046</x:v>
      </x:c>
      <x:c r="B485" t="n">
        <x:v>4</x:v>
      </x:c>
      <x:c r="C485" t="str">
        <x:v>59-05 59TH DRIVE, MASPETH, NY, 11378, US</x:v>
      </x:c>
      <x:c r="D485" t="str">
        <x:v>COURTYARD 120 LLC</x:v>
      </x:c>
      <x:c r="E485" t="str">
        <x:v>COURTYARD 120 LLC</x:v>
      </x:c>
      <x:c r="F485" t="str">
        <x:v>Active name match</x:v>
      </x:c>
      <x:c r="G485" t="n">
        <x:v>1</x:v>
      </x:c>
      <x:c r="H485" t="n">
        <x:v>1</x:v>
      </x:c>
      <x:c r="I485" t="str">
        <x:v>5153407</x:v>
      </x:c>
      <x:c r="J485" t="str">
        <x:v>COURTYARD 120 LLC</x:v>
      </x:c>
      <x:c r="K485" s="55" t="n">
        <x:v>42899</x:v>
      </x:c>
      <x:c r="L485" t="str">
        <x:v>Queens</x:v>
      </x:c>
      <x:c r="M485" t="str">
        <x:v>New York</x:v>
      </x:c>
      <x:c r="N485" t="str">
        <x:v>DOMESTIC LIMITED LIABILITY COMPANY</x:v>
      </x:c>
      <x:c r="O485" t="str">
        <x:v>COURTYARD 120 LLC</x:v>
      </x:c>
      <x:c r="P485" t="str">
        <x:v>5905 59TH DRIVE, MASPETH, NY, 11378</x:v>
      </x:c>
      <x:c r="Q485" t="str"/>
      <x:c r="R485" t="str"/>
      <x:c r="S485" t="str"/>
      <x:c r="T485" t="str"/>
      <x:c r="U485" t="str"/>
      <x:c r="V485" t="str"/>
      <x:c r="W485" t="str"/>
      <x:c r="X485" t="str"/>
      <x:c r="Y485" t="str">
        <x:v>https://data.ny.gov/Economic-Development/Active-Corporations-Beginning-1800/n9v6-gdp6</x:v>
      </x:c>
    </x:row>
    <x:row r="486">
      <x:c r="A486" t="str">
        <x:v>DOS-4-047</x:v>
      </x:c>
      <x:c r="B486" t="n">
        <x:v>4</x:v>
      </x:c>
      <x:c r="C486" t="str">
        <x:v>75 OCEANA DRIVE EAST, PH1C, BROOKLYN, NY, 11235, US</x:v>
      </x:c>
      <x:c r="D486" t="str">
        <x:v>135 OCEANA PH2A LLC</x:v>
      </x:c>
      <x:c r="E486" t="str">
        <x:v>135 OCEANA PH2A, LLC</x:v>
      </x:c>
      <x:c r="F486" t="str">
        <x:v>Active name match</x:v>
      </x:c>
      <x:c r="G486" t="n">
        <x:v>1</x:v>
      </x:c>
      <x:c r="H486" t="n">
        <x:v>1</x:v>
      </x:c>
      <x:c r="I486" t="str">
        <x:v>4171221</x:v>
      </x:c>
      <x:c r="J486" t="str">
        <x:v>135 OCEANA PH2A, LLC</x:v>
      </x:c>
      <x:c r="K486" s="55" t="n">
        <x:v>40877</x:v>
      </x:c>
      <x:c r="L486" t="str">
        <x:v>Kings</x:v>
      </x:c>
      <x:c r="M486" t="str">
        <x:v>New York</x:v>
      </x:c>
      <x:c r="N486" t="str">
        <x:v>DOMESTIC LIMITED LIABILITY COMPANY</x:v>
      </x:c>
      <x:c r="O486" t="str">
        <x:v>LYUBOV MEDUEDOUSKAYA</x:v>
      </x:c>
      <x:c r="P486" t="str">
        <x:v>75 OCEANA DR EAST, APT PH-1C, BROOKLYN, NY, 11235</x:v>
      </x:c>
      <x:c r="Q486" t="str"/>
      <x:c r="R486" t="str"/>
      <x:c r="S486" t="str"/>
      <x:c r="T486" t="str"/>
      <x:c r="U486" t="str"/>
      <x:c r="V486" t="str"/>
      <x:c r="W486" t="str"/>
      <x:c r="X486" t="str"/>
      <x:c r="Y486" t="str">
        <x:v>https://data.ny.gov/Economic-Development/Active-Corporations-Beginning-1800/n9v6-gdp6</x:v>
      </x:c>
    </x:row>
    <x:row r="487">
      <x:c r="A487" t="str">
        <x:v>DOS-4-047</x:v>
      </x:c>
      <x:c r="B487" t="n">
        <x:v>4</x:v>
      </x:c>
      <x:c r="C487" t="str">
        <x:v>75 OCEANA DRIVE EAST, PH1C, BROOKLYN, NY, 11235, US</x:v>
      </x:c>
      <x:c r="D487" t="str">
        <x:v>155 OCEANA 2A LLC</x:v>
      </x:c>
      <x:c r="E487" t="str">
        <x:v>155 OCEANA 2A, LLC</x:v>
      </x:c>
      <x:c r="F487" t="str">
        <x:v>Active name match</x:v>
      </x:c>
      <x:c r="G487" t="n">
        <x:v>1</x:v>
      </x:c>
      <x:c r="H487" t="n">
        <x:v>1</x:v>
      </x:c>
      <x:c r="I487" t="str">
        <x:v>4171226</x:v>
      </x:c>
      <x:c r="J487" t="str">
        <x:v>155 OCEANA 2A, LLC</x:v>
      </x:c>
      <x:c r="K487" s="55" t="n">
        <x:v>40877</x:v>
      </x:c>
      <x:c r="L487" t="str">
        <x:v>Kings</x:v>
      </x:c>
      <x:c r="M487" t="str">
        <x:v>New York</x:v>
      </x:c>
      <x:c r="N487" t="str">
        <x:v>DOMESTIC LIMITED LIABILITY COMPANY</x:v>
      </x:c>
      <x:c r="O487" t="str">
        <x:v>LYUBOV MEDUEDOUSKAYA</x:v>
      </x:c>
      <x:c r="P487" t="str">
        <x:v>75 OCEANA DR EAST, APT PH-1C, BROOKLYN, NY, 11235</x:v>
      </x:c>
      <x:c r="Q487" t="str"/>
      <x:c r="R487" t="str"/>
      <x:c r="S487" t="str"/>
      <x:c r="T487" t="str"/>
      <x:c r="U487" t="str"/>
      <x:c r="V487" t="str"/>
      <x:c r="W487" t="str"/>
      <x:c r="X487" t="str"/>
      <x:c r="Y487" t="str">
        <x:v>https://data.ny.gov/Economic-Development/Active-Corporations-Beginning-1800/n9v6-gdp6</x:v>
      </x:c>
    </x:row>
    <x:row r="488">
      <x:c r="A488" t="str">
        <x:v>DOS-4-047</x:v>
      </x:c>
      <x:c r="B488" t="n">
        <x:v>4</x:v>
      </x:c>
      <x:c r="C488" t="str">
        <x:v>75 OCEANA DRIVE EAST, PH1C, BROOKLYN, NY, 11235, US</x:v>
      </x:c>
      <x:c r="D488" t="str">
        <x:v>75 OCEANA PH1C LLC</x:v>
      </x:c>
      <x:c r="E488" t="str">
        <x:v>75 OCEANA PH1C, LLC</x:v>
      </x:c>
      <x:c r="F488" t="str">
        <x:v>Active name match</x:v>
      </x:c>
      <x:c r="G488" t="n">
        <x:v>1</x:v>
      </x:c>
      <x:c r="H488" t="n">
        <x:v>1</x:v>
      </x:c>
      <x:c r="I488" t="str">
        <x:v>4171198</x:v>
      </x:c>
      <x:c r="J488" t="str">
        <x:v>75 OCEANA PH1C, LLC</x:v>
      </x:c>
      <x:c r="K488" s="55" t="n">
        <x:v>40877</x:v>
      </x:c>
      <x:c r="L488" t="str">
        <x:v>Kings</x:v>
      </x:c>
      <x:c r="M488" t="str">
        <x:v>New York</x:v>
      </x:c>
      <x:c r="N488" t="str">
        <x:v>DOMESTIC LIMITED LIABILITY COMPANY</x:v>
      </x:c>
      <x:c r="O488" t="str">
        <x:v>LYUBOV MEDUEDOUSKAYA</x:v>
      </x:c>
      <x:c r="P488" t="str">
        <x:v>75 OCEANA DR EAST, APT PH-1C, BROOKLYN, NY, 11235</x:v>
      </x:c>
      <x:c r="Q488" t="str"/>
      <x:c r="R488" t="str"/>
      <x:c r="S488" t="str"/>
      <x:c r="T488" t="str"/>
      <x:c r="U488" t="str"/>
      <x:c r="V488" t="str"/>
      <x:c r="W488" t="str"/>
      <x:c r="X488" t="str"/>
      <x:c r="Y488" t="str">
        <x:v>https://data.ny.gov/Economic-Development/Active-Corporations-Beginning-1800/n9v6-gdp6</x:v>
      </x:c>
    </x:row>
    <x:row r="489">
      <x:c r="A489" t="str">
        <x:v>DOS-4-047</x:v>
      </x:c>
      <x:c r="B489" t="n">
        <x:v>4</x:v>
      </x:c>
      <x:c r="C489" t="str">
        <x:v>75 OCEANA DRIVE EAST, PH1C, BROOKLYN, NY, 11235, US</x:v>
      </x:c>
      <x:c r="D489" t="str">
        <x:v>75 OCEANA PH2E LLC</x:v>
      </x:c>
      <x:c r="E489" t="str">
        <x:v>75 OCEANA PH2E, LLC</x:v>
      </x:c>
      <x:c r="F489" t="str">
        <x:v>No active DOS match</x:v>
      </x:c>
      <x:c r="G489" t="n">
        <x:v>0</x:v>
      </x:c>
      <x:c r="H489" t="n">
        <x:v>0</x:v>
      </x:c>
      <x:c r="I489" t="str"/>
      <x:c r="J489" t="str"/>
      <x:c r="K489" s="55" t="str"/>
      <x:c r="L489" t="str"/>
      <x:c r="M489" t="str"/>
      <x:c r="N489" t="str"/>
      <x:c r="O489" t="str"/>
      <x:c r="P489" t="str"/>
      <x:c r="Q489" t="str"/>
      <x:c r="R489" t="str"/>
      <x:c r="S489" t="str"/>
      <x:c r="T489" t="str"/>
      <x:c r="U489" t="str"/>
      <x:c r="V489" t="str"/>
      <x:c r="W489" t="str"/>
      <x:c r="X489" t="str"/>
      <x:c r="Y489" t="str">
        <x:v>https://data.ny.gov/Economic-Development/Active-Corporations-Beginning-1800/n9v6-gdp6</x:v>
      </x:c>
    </x:row>
    <x:row r="490">
      <x:c r="A490" t="str">
        <x:v>DOS-4-048</x:v>
      </x:c>
      <x:c r="B490" t="n">
        <x:v>4</x:v>
      </x:c>
      <x:c r="C490" t="str">
        <x:v>129 MACDOUGAL STREET, NEW YORK, NY, 10012, US</x:v>
      </x:c>
      <x:c r="D490" t="str">
        <x:v>131 MACDOUGAL LLC</x:v>
      </x:c>
      <x:c r="E490" t="str">
        <x:v>131 MACDOUGAL LLC</x:v>
      </x:c>
      <x:c r="F490" t="str">
        <x:v>Address-corroborated active match</x:v>
      </x:c>
      <x:c r="G490" t="n">
        <x:v>1</x:v>
      </x:c>
      <x:c r="H490" t="n">
        <x:v>2</x:v>
      </x:c>
      <x:c r="I490" t="str">
        <x:v>6504137</x:v>
      </x:c>
      <x:c r="J490" t="str">
        <x:v>131 MACDOUGAL LLC</x:v>
      </x:c>
      <x:c r="K490" s="55" t="n">
        <x:v>44715</x:v>
      </x:c>
      <x:c r="L490" t="str">
        <x:v>New York</x:v>
      </x:c>
      <x:c r="M490" t="str">
        <x:v>New York</x:v>
      </x:c>
      <x:c r="N490" t="str">
        <x:v>DOMESTIC LIMITED LIABILITY COMPANY</x:v>
      </x:c>
      <x:c r="O490" t="str">
        <x:v>131 MACDOUGAL LLC</x:v>
      </x:c>
      <x:c r="P490" t="str">
        <x:v>129 macdougal street, NEW YORK, NY, 10012</x:v>
      </x:c>
      <x:c r="Q490" t="str"/>
      <x:c r="R490" t="str"/>
      <x:c r="S490" t="str"/>
      <x:c r="T490" t="str"/>
      <x:c r="U490" t="str"/>
      <x:c r="V490" t="str"/>
      <x:c r="W490" t="str"/>
      <x:c r="X490" t="str"/>
      <x:c r="Y490" t="str">
        <x:v>https://data.ny.gov/Economic-Development/Active-Corporations-Beginning-1800/n9v6-gdp6</x:v>
      </x:c>
    </x:row>
    <x:row r="491">
      <x:c r="A491" t="str">
        <x:v>DOS-4-048</x:v>
      </x:c>
      <x:c r="B491" t="n">
        <x:v>4</x:v>
      </x:c>
      <x:c r="C491" t="str">
        <x:v>129 MACDOUGAL STREET, NEW YORK, NY, 10012, US</x:v>
      </x:c>
      <x:c r="D491" t="str">
        <x:v>337 SOUTH 5TH STREET LLC</x:v>
      </x:c>
      <x:c r="E491" t="str">
        <x:v>337 SOUTH 5TH STREET, LLC</x:v>
      </x:c>
      <x:c r="F491" t="str">
        <x:v>Address-corroborated active match</x:v>
      </x:c>
      <x:c r="G491" t="n">
        <x:v>1</x:v>
      </x:c>
      <x:c r="H491" t="n">
        <x:v>2</x:v>
      </x:c>
      <x:c r="I491" t="str">
        <x:v>4956738</x:v>
      </x:c>
      <x:c r="J491" t="str">
        <x:v>337 SOUTH 5TH STREET, LLC</x:v>
      </x:c>
      <x:c r="K491" s="55" t="n">
        <x:v>42523</x:v>
      </x:c>
      <x:c r="L491" t="str">
        <x:v>Kings</x:v>
      </x:c>
      <x:c r="M491" t="str">
        <x:v>New York</x:v>
      </x:c>
      <x:c r="N491" t="str">
        <x:v>DOMESTIC LIMITED LIABILITY COMPANY</x:v>
      </x:c>
      <x:c r="O491" t="str">
        <x:v>337 SOUTH 5TH STREET, LLC</x:v>
      </x:c>
      <x:c r="P491" t="str">
        <x:v>129 MACDOUGAL STREET, NEW YORK, NY, 10012</x:v>
      </x:c>
      <x:c r="Q491" t="str"/>
      <x:c r="R491" t="str"/>
      <x:c r="S491" t="str"/>
      <x:c r="T491" t="str"/>
      <x:c r="U491" t="str"/>
      <x:c r="V491" t="str"/>
      <x:c r="W491" t="str"/>
      <x:c r="X491" t="str"/>
      <x:c r="Y491" t="str">
        <x:v>https://data.ny.gov/Economic-Development/Active-Corporations-Beginning-1800/n9v6-gdp6</x:v>
      </x:c>
    </x:row>
    <x:row r="492">
      <x:c r="A492" t="str">
        <x:v>DOS-4-048</x:v>
      </x:c>
      <x:c r="B492" t="n">
        <x:v>4</x:v>
      </x:c>
      <x:c r="C492" t="str">
        <x:v>129 MACDOUGAL STREET, NEW YORK, NY, 10012, US</x:v>
      </x:c>
      <x:c r="D492" t="str">
        <x:v>508 BROADWAY PARTNERS LLC</x:v>
      </x:c>
      <x:c r="E492" t="str">
        <x:v>508 BROADWAY PARTNERS LLC</x:v>
      </x:c>
      <x:c r="F492" t="str">
        <x:v>Address-corroborated active match</x:v>
      </x:c>
      <x:c r="G492" t="n">
        <x:v>1</x:v>
      </x:c>
      <x:c r="H492" t="n">
        <x:v>2</x:v>
      </x:c>
      <x:c r="I492" t="str">
        <x:v>4646487</x:v>
      </x:c>
      <x:c r="J492" t="str">
        <x:v>508 BROADWAY PARTNERS LLC</x:v>
      </x:c>
      <x:c r="K492" s="55" t="n">
        <x:v>41918</x:v>
      </x:c>
      <x:c r="L492" t="str">
        <x:v>New York</x:v>
      </x:c>
      <x:c r="M492" t="str">
        <x:v>New York</x:v>
      </x:c>
      <x:c r="N492" t="str">
        <x:v>DOMESTIC LIMITED LIABILITY COMPANY</x:v>
      </x:c>
      <x:c r="O492" t="str">
        <x:v>508 BROADWAY PARTNERS LLC</x:v>
      </x:c>
      <x:c r="P492" t="str">
        <x:v>129 MACDOUGAL STREET, NEW YORK, NY, 10012</x:v>
      </x:c>
      <x:c r="Q492" t="str"/>
      <x:c r="R492" t="str"/>
      <x:c r="S492" t="str"/>
      <x:c r="T492" t="str"/>
      <x:c r="U492" t="str"/>
      <x:c r="V492" t="str"/>
      <x:c r="W492" t="str"/>
      <x:c r="X492" t="str"/>
      <x:c r="Y492" t="str">
        <x:v>https://data.ny.gov/Economic-Development/Active-Corporations-Beginning-1800/n9v6-gdp6</x:v>
      </x:c>
    </x:row>
    <x:row r="493">
      <x:c r="A493" t="str">
        <x:v>DOS-4-048</x:v>
      </x:c>
      <x:c r="B493" t="n">
        <x:v>4</x:v>
      </x:c>
      <x:c r="C493" t="str">
        <x:v>129 MACDOUGAL STREET, NEW YORK, NY, 10012, US</x:v>
      </x:c>
      <x:c r="D493" t="str">
        <x:v>N 9TH LLC</x:v>
      </x:c>
      <x:c r="E493" t="str">
        <x:v>N.9TH LLC</x:v>
      </x:c>
      <x:c r="F493" t="str">
        <x:v>No active DOS match</x:v>
      </x:c>
      <x:c r="G493" t="n">
        <x:v>0</x:v>
      </x:c>
      <x:c r="H493" t="n">
        <x:v>0</x:v>
      </x:c>
      <x:c r="I493" t="str"/>
      <x:c r="J493" t="str"/>
      <x:c r="K493" s="55" t="str"/>
      <x:c r="L493" t="str"/>
      <x:c r="M493" t="str"/>
      <x:c r="N493" t="str"/>
      <x:c r="O493" t="str"/>
      <x:c r="P493" t="str"/>
      <x:c r="Q493" t="str"/>
      <x:c r="R493" t="str"/>
      <x:c r="S493" t="str"/>
      <x:c r="T493" t="str"/>
      <x:c r="U493" t="str"/>
      <x:c r="V493" t="str"/>
      <x:c r="W493" t="str"/>
      <x:c r="X493" t="str"/>
      <x:c r="Y493" t="str">
        <x:v>https://data.ny.gov/Economic-Development/Active-Corporations-Beginning-1800/n9v6-gdp6</x:v>
      </x:c>
    </x:row>
    <x:row r="494">
      <x:c r="A494" t="str">
        <x:v>DOS-4-049</x:v>
      </x:c>
      <x:c r="B494" t="n">
        <x:v>4</x:v>
      </x:c>
      <x:c r="C494" t="str">
        <x:v>134 NORTH 4TH STREET, BROOKLYN, NY, 11249, US</x:v>
      </x:c>
      <x:c r="D494" t="str">
        <x:v>149 GREEN BROOKLYN CONDOS LLC</x:v>
      </x:c>
      <x:c r="E494" t="str">
        <x:v>149 GREEN BROOKLYN CONDOS LLC</x:v>
      </x:c>
      <x:c r="F494" t="str">
        <x:v>Active name match</x:v>
      </x:c>
      <x:c r="G494" t="n">
        <x:v>1</x:v>
      </x:c>
      <x:c r="H494" t="n">
        <x:v>1</x:v>
      </x:c>
      <x:c r="I494" t="str">
        <x:v>7483771</x:v>
      </x:c>
      <x:c r="J494" t="str">
        <x:v>149 GREEN BROOKLYN CONDOS LLC</x:v>
      </x:c>
      <x:c r="K494" s="55" t="n">
        <x:v>45637</x:v>
      </x:c>
      <x:c r="L494" t="str">
        <x:v>Kings</x:v>
      </x:c>
      <x:c r="M494" t="str">
        <x:v>New York</x:v>
      </x:c>
      <x:c r="N494" t="str">
        <x:v>DOMESTIC LIMITED LIABILITY COMPANY</x:v>
      </x:c>
      <x:c r="O494" t="str">
        <x:v>149 Green Brooklyn Condos LLC</x:v>
      </x:c>
      <x:c r="P494" t="str">
        <x:v>134 N. 4th Street, Brooklyn, NY, 11249</x:v>
      </x:c>
      <x:c r="Q494" t="str"/>
      <x:c r="R494" t="str"/>
      <x:c r="S494" t="str"/>
      <x:c r="T494" t="str"/>
      <x:c r="U494" t="str"/>
      <x:c r="V494" t="str"/>
      <x:c r="W494" t="str"/>
      <x:c r="X494" t="str"/>
      <x:c r="Y494" t="str">
        <x:v>https://data.ny.gov/Economic-Development/Active-Corporations-Beginning-1800/n9v6-gdp6</x:v>
      </x:c>
    </x:row>
    <x:row r="495">
      <x:c r="A495" t="str">
        <x:v>DOS-4-049</x:v>
      </x:c>
      <x:c r="B495" t="n">
        <x:v>4</x:v>
      </x:c>
      <x:c r="C495" t="str">
        <x:v>134 NORTH 4TH STREET, BROOKLYN, NY, 11249, US</x:v>
      </x:c>
      <x:c r="D495" t="str">
        <x:v>CLAY PROPERTIES LLC</x:v>
      </x:c>
      <x:c r="E495" t="str">
        <x:v>CLAY PROPERTIES LLC</x:v>
      </x:c>
      <x:c r="F495" t="str">
        <x:v>Active name match</x:v>
      </x:c>
      <x:c r="G495" t="n">
        <x:v>1</x:v>
      </x:c>
      <x:c r="H495" t="n">
        <x:v>0</x:v>
      </x:c>
      <x:c r="I495" t="str">
        <x:v>7737796</x:v>
      </x:c>
      <x:c r="J495" t="str">
        <x:v>CLAY PROPERTIES LLC</x:v>
      </x:c>
      <x:c r="K495" s="55" t="n">
        <x:v>45950</x:v>
      </x:c>
      <x:c r="L495" t="str">
        <x:v>Kings</x:v>
      </x:c>
      <x:c r="M495" t="str">
        <x:v>Delaware</x:v>
      </x:c>
      <x:c r="N495" t="str">
        <x:v>FOREIGN LIMITED LIABILITY COMPANY</x:v>
      </x:c>
      <x:c r="O495" t="str">
        <x:v>CLAY PROPERTIES LLC</x:v>
      </x:c>
      <x:c r="P495" t="str">
        <x:v>19 box street, BROOKLYN, NY, 11222</x:v>
      </x:c>
      <x:c r="Q495" t="str"/>
      <x:c r="R495" t="str"/>
      <x:c r="S495" t="str"/>
      <x:c r="T495" t="str"/>
      <x:c r="U495" t="str"/>
      <x:c r="V495" t="str"/>
      <x:c r="W495" t="str"/>
      <x:c r="X495" t="str"/>
      <x:c r="Y495" t="str">
        <x:v>https://data.ny.gov/Economic-Development/Active-Corporations-Beginning-1800/n9v6-gdp6</x:v>
      </x:c>
    </x:row>
    <x:row r="496">
      <x:c r="A496" t="str">
        <x:v>DOS-4-049</x:v>
      </x:c>
      <x:c r="B496" t="n">
        <x:v>4</x:v>
      </x:c>
      <x:c r="C496" t="str">
        <x:v>134 NORTH 4TH STREET, BROOKLYN, NY, 11249, US</x:v>
      </x:c>
      <x:c r="D496" t="str">
        <x:v>FREEMAN BUILDING LLC</x:v>
      </x:c>
      <x:c r="E496" t="str">
        <x:v>FREEMAN BUILDING LLC</x:v>
      </x:c>
      <x:c r="F496" t="str">
        <x:v>Active name match</x:v>
      </x:c>
      <x:c r="G496" t="n">
        <x:v>1</x:v>
      </x:c>
      <x:c r="H496" t="n">
        <x:v>0</x:v>
      </x:c>
      <x:c r="I496" t="str">
        <x:v>4728193</x:v>
      </x:c>
      <x:c r="J496" t="str">
        <x:v>FREEMAN BUILDING LLC</x:v>
      </x:c>
      <x:c r="K496" s="55" t="n">
        <x:v>42082</x:v>
      </x:c>
      <x:c r="L496" t="str">
        <x:v>Rockland</x:v>
      </x:c>
      <x:c r="M496" t="str">
        <x:v>New York</x:v>
      </x:c>
      <x:c r="N496" t="str">
        <x:v>DOMESTIC LIMITED LIABILITY COMPANY</x:v>
      </x:c>
      <x:c r="O496" t="str">
        <x:v>VCORP AGENT SERVICES INC</x:v>
      </x:c>
      <x:c r="P496" t="str">
        <x:v>25 ROBERT PITT DRIVE SUITE 204, MONSEY, NY, 10952</x:v>
      </x:c>
      <x:c r="Q496" t="str"/>
      <x:c r="R496" t="str"/>
      <x:c r="S496" t="str"/>
      <x:c r="T496" t="str"/>
      <x:c r="U496" t="str"/>
      <x:c r="V496" t="str"/>
      <x:c r="W496" t="str"/>
      <x:c r="X496" t="str"/>
      <x:c r="Y496" t="str">
        <x:v>https://data.ny.gov/Economic-Development/Active-Corporations-Beginning-1800/n9v6-gdp6</x:v>
      </x:c>
    </x:row>
    <x:row r="497">
      <x:c r="A497" t="str">
        <x:v>DOS-4-049</x:v>
      </x:c>
      <x:c r="B497" t="n">
        <x:v>4</x:v>
      </x:c>
      <x:c r="C497" t="str">
        <x:v>134 NORTH 4TH STREET, BROOKLYN, NY, 11249, US</x:v>
      </x:c>
      <x:c r="D497" t="str">
        <x:v>WILLIAMSBURG ON 5TH LLC</x:v>
      </x:c>
      <x:c r="E497" t="str">
        <x:v>WILLIAMSBURG ON 5TH LLC</x:v>
      </x:c>
      <x:c r="F497" t="str">
        <x:v>Active name match</x:v>
      </x:c>
      <x:c r="G497" t="n">
        <x:v>1</x:v>
      </x:c>
      <x:c r="H497" t="n">
        <x:v>0</x:v>
      </x:c>
      <x:c r="I497" t="str">
        <x:v>5616768</x:v>
      </x:c>
      <x:c r="J497" t="str">
        <x:v>WILLIAMSBURG ON 5TH LLC</x:v>
      </x:c>
      <x:c r="K497" s="55" t="n">
        <x:v>43714</x:v>
      </x:c>
      <x:c r="L497" t="str">
        <x:v>Kings</x:v>
      </x:c>
      <x:c r="M497" t="str">
        <x:v>New York</x:v>
      </x:c>
      <x:c r="N497" t="str">
        <x:v>DOMESTIC LIMITED LIABILITY COMPANY</x:v>
      </x:c>
      <x:c r="O497" t="str">
        <x:v>IDAN SHITRIT</x:v>
      </x:c>
      <x:c r="P497" t="str">
        <x:v>19-21 Box, BROOKLYN, NY, 11222</x:v>
      </x:c>
      <x:c r="Q497" t="str"/>
      <x:c r="R497" t="str"/>
      <x:c r="S497" t="str"/>
      <x:c r="T497" t="str"/>
      <x:c r="U497" t="str"/>
      <x:c r="V497" t="str"/>
      <x:c r="W497" t="str"/>
      <x:c r="X497" t="str"/>
      <x:c r="Y497" t="str">
        <x:v>https://data.ny.gov/Economic-Development/Active-Corporations-Beginning-1800/n9v6-gdp6</x:v>
      </x:c>
    </x:row>
    <x:row r="498">
      <x:c r="A498" t="str">
        <x:v>DOS-4-050</x:v>
      </x:c>
      <x:c r="B498" t="n">
        <x:v>4</x:v>
      </x:c>
      <x:c r="C498" t="str">
        <x:v>136-20 38TH AVENUE, SUITE 3E, FLUSHING, NY, 11354, US</x:v>
      </x:c>
      <x:c r="D498" t="str">
        <x:v>BS LIC REALTY LLC</x:v>
      </x:c>
      <x:c r="E498" t="str">
        <x:v>BS LIC REALTY LLC</x:v>
      </x:c>
      <x:c r="F498" t="str">
        <x:v>Active name match</x:v>
      </x:c>
      <x:c r="G498" t="n">
        <x:v>1</x:v>
      </x:c>
      <x:c r="H498" t="n">
        <x:v>1</x:v>
      </x:c>
      <x:c r="I498" t="str">
        <x:v>6302092</x:v>
      </x:c>
      <x:c r="J498" t="str">
        <x:v>BS LIC REALTY LLC</x:v>
      </x:c>
      <x:c r="K498" s="55" t="n">
        <x:v>44482</x:v>
      </x:c>
      <x:c r="L498" t="str">
        <x:v>Queens</x:v>
      </x:c>
      <x:c r="M498" t="str">
        <x:v>New York</x:v>
      </x:c>
      <x:c r="N498" t="str">
        <x:v>DOMESTIC LIMITED LIABILITY COMPANY</x:v>
      </x:c>
      <x:c r="O498" t="str">
        <x:v>BS LIC REALTY LLC</x:v>
      </x:c>
      <x:c r="P498" t="str">
        <x:v>136-20 38TH AVE SUITE 3E, FLUSHING, NY, 11354</x:v>
      </x:c>
      <x:c r="Q498" t="str"/>
      <x:c r="R498" t="str"/>
      <x:c r="S498" t="str"/>
      <x:c r="T498" t="str"/>
      <x:c r="U498" t="str"/>
      <x:c r="V498" t="str"/>
      <x:c r="W498" t="str"/>
      <x:c r="X498" t="str"/>
      <x:c r="Y498" t="str">
        <x:v>https://data.ny.gov/Economic-Development/Active-Corporations-Beginning-1800/n9v6-gdp6</x:v>
      </x:c>
    </x:row>
    <x:row r="499">
      <x:c r="A499" t="str">
        <x:v>DOS-4-050</x:v>
      </x:c>
      <x:c r="B499" t="n">
        <x:v>4</x:v>
      </x:c>
      <x:c r="C499" t="str">
        <x:v>136-20 38TH AVENUE, SUITE 3E, FLUSHING, NY, 11354, US</x:v>
      </x:c>
      <x:c r="D499" t="str">
        <x:v>GBJ 12 REALTY LLC</x:v>
      </x:c>
      <x:c r="E499" t="str">
        <x:v>GBJ 12 REALTY LLC</x:v>
      </x:c>
      <x:c r="F499" t="str">
        <x:v>Active name match</x:v>
      </x:c>
      <x:c r="G499" t="n">
        <x:v>1</x:v>
      </x:c>
      <x:c r="H499" t="n">
        <x:v>1</x:v>
      </x:c>
      <x:c r="I499" t="str">
        <x:v>7181368</x:v>
      </x:c>
      <x:c r="J499" t="str">
        <x:v>GBJ 12 REALTY LLC</x:v>
      </x:c>
      <x:c r="K499" s="55" t="n">
        <x:v>45243</x:v>
      </x:c>
      <x:c r="L499" t="str">
        <x:v>Queens</x:v>
      </x:c>
      <x:c r="M499" t="str">
        <x:v>New York</x:v>
      </x:c>
      <x:c r="N499" t="str">
        <x:v>DOMESTIC LIMITED LIABILITY COMPANY</x:v>
      </x:c>
      <x:c r="O499" t="str">
        <x:v>GBJ 12 REALTY LLC</x:v>
      </x:c>
      <x:c r="P499" t="str">
        <x:v>3522 LINDEN PLACE, FLUSHING, NY, 11354</x:v>
      </x:c>
      <x:c r="Q499" t="str"/>
      <x:c r="R499" t="str"/>
      <x:c r="S499" t="str"/>
      <x:c r="T499" t="str"/>
      <x:c r="U499" t="str"/>
      <x:c r="V499" t="str"/>
      <x:c r="W499" t="str"/>
      <x:c r="X499" t="str"/>
      <x:c r="Y499" t="str">
        <x:v>https://data.ny.gov/Economic-Development/Active-Corporations-Beginning-1800/n9v6-gdp6</x:v>
      </x:c>
    </x:row>
    <x:row r="500">
      <x:c r="A500" t="str">
        <x:v>DOS-4-050</x:v>
      </x:c>
      <x:c r="B500" t="n">
        <x:v>4</x:v>
      </x:c>
      <x:c r="C500" t="str">
        <x:v>136-20 38TH AVENUE, SUITE 3E, FLUSHING, NY, 11354, US</x:v>
      </x:c>
      <x:c r="D500" t="str">
        <x:v>GBV 39 REALTY LLC</x:v>
      </x:c>
      <x:c r="E500" t="str">
        <x:v>GBV 39 REALTY LLC</x:v>
      </x:c>
      <x:c r="F500" t="str">
        <x:v>Active name match</x:v>
      </x:c>
      <x:c r="G500" t="n">
        <x:v>1</x:v>
      </x:c>
      <x:c r="H500" t="n">
        <x:v>1</x:v>
      </x:c>
      <x:c r="I500" t="str">
        <x:v>6036960</x:v>
      </x:c>
      <x:c r="J500" t="str">
        <x:v>GBV 39 REALTY LLC</x:v>
      </x:c>
      <x:c r="K500" s="55" t="n">
        <x:v>44362</x:v>
      </x:c>
      <x:c r="L500" t="str">
        <x:v>Queens</x:v>
      </x:c>
      <x:c r="M500" t="str">
        <x:v>New York</x:v>
      </x:c>
      <x:c r="N500" t="str">
        <x:v>DOMESTIC LIMITED LIABILITY COMPANY</x:v>
      </x:c>
      <x:c r="O500" t="str">
        <x:v>HANGDONG ZHANG</x:v>
      </x:c>
      <x:c r="P500" t="str">
        <x:v>136-20 38TH AVE SUITE 3E, FLUSHING, NY, 11354</x:v>
      </x:c>
      <x:c r="Q500" t="str"/>
      <x:c r="R500" t="str"/>
      <x:c r="S500" t="str"/>
      <x:c r="T500" t="str"/>
      <x:c r="U500" t="str"/>
      <x:c r="V500" t="str"/>
      <x:c r="W500" t="str"/>
      <x:c r="X500" t="str"/>
      <x:c r="Y500" t="str">
        <x:v>https://data.ny.gov/Economic-Development/Active-Corporations-Beginning-1800/n9v6-gdp6</x:v>
      </x:c>
    </x:row>
    <x:row r="501">
      <x:c r="A501" t="str">
        <x:v>DOS-4-050</x:v>
      </x:c>
      <x:c r="B501" t="n">
        <x:v>4</x:v>
      </x:c>
      <x:c r="C501" t="str">
        <x:v>136-20 38TH AVENUE, SUITE 3E, FLUSHING, NY, 11354, US</x:v>
      </x:c>
      <x:c r="D501" t="str">
        <x:v>GBZ 39 REALTY LLC</x:v>
      </x:c>
      <x:c r="E501" t="str">
        <x:v>GBZ 39 REALTY LLC</x:v>
      </x:c>
      <x:c r="F501" t="str">
        <x:v>Address-corroborated active match</x:v>
      </x:c>
      <x:c r="G501" t="n">
        <x:v>1</x:v>
      </x:c>
      <x:c r="H501" t="n">
        <x:v>2</x:v>
      </x:c>
      <x:c r="I501" t="str">
        <x:v>6887503</x:v>
      </x:c>
      <x:c r="J501" t="str">
        <x:v>GBZ 39 REALTY LLC</x:v>
      </x:c>
      <x:c r="K501" s="55" t="n">
        <x:v>45104</x:v>
      </x:c>
      <x:c r="L501" t="str">
        <x:v>Queens</x:v>
      </x:c>
      <x:c r="M501" t="str">
        <x:v>New York</x:v>
      </x:c>
      <x:c r="N501" t="str">
        <x:v>DOMESTIC LIMITED LIABILITY COMPANY</x:v>
      </x:c>
      <x:c r="O501" t="str">
        <x:v>GBZ 39 REALTY LLC</x:v>
      </x:c>
      <x:c r="P501" t="str">
        <x:v>136-20 38th Ave, Suite 3E, Flushing, NY, 11354</x:v>
      </x:c>
      <x:c r="Q501" t="str"/>
      <x:c r="R501" t="str"/>
      <x:c r="S501" t="str"/>
      <x:c r="T501" t="str"/>
      <x:c r="U501" t="str"/>
      <x:c r="V501" t="str"/>
      <x:c r="W501" t="str"/>
      <x:c r="X501" t="str"/>
      <x:c r="Y501" t="str">
        <x:v>https://data.ny.gov/Economic-Development/Active-Corporations-Beginning-1800/n9v6-gdp6</x:v>
      </x:c>
    </x:row>
    <x:row r="502">
      <x:c r="A502" t="str">
        <x:v>DOS-4-051</x:v>
      </x:c>
      <x:c r="B502" t="n">
        <x:v>4</x:v>
      </x:c>
      <x:c r="C502" t="str">
        <x:v>1431 NOSTRAND AVENUE, BROOKLYN, NY, 11226, US</x:v>
      </x:c>
      <x:c r="D502" t="str">
        <x:v>1373 FLATBUSH LLC</x:v>
      </x:c>
      <x:c r="E502" t="str">
        <x:v>1373 FLATBUSH LLC</x:v>
      </x:c>
      <x:c r="F502" t="str">
        <x:v>Active name match</x:v>
      </x:c>
      <x:c r="G502" t="n">
        <x:v>1</x:v>
      </x:c>
      <x:c r="H502" t="n">
        <x:v>0</x:v>
      </x:c>
      <x:c r="I502" t="str">
        <x:v>5056052</x:v>
      </x:c>
      <x:c r="J502" t="str">
        <x:v>1373 FLATBUSH LLC</x:v>
      </x:c>
      <x:c r="K502" s="55" t="n">
        <x:v>42725</x:v>
      </x:c>
      <x:c r="L502" t="str">
        <x:v>Kings</x:v>
      </x:c>
      <x:c r="M502" t="str">
        <x:v>New York</x:v>
      </x:c>
      <x:c r="N502" t="str">
        <x:v>DOMESTIC LIMITED LIABILITY COMPANY</x:v>
      </x:c>
      <x:c r="O502" t="str">
        <x:v>1373 FLATBUSH LLC</x:v>
      </x:c>
      <x:c r="P502" t="str">
        <x:v>PO BOX 230323, BROOKLYN, NY, 11223</x:v>
      </x:c>
      <x:c r="Q502" t="str"/>
      <x:c r="R502" t="str"/>
      <x:c r="S502" t="str"/>
      <x:c r="T502" t="str"/>
      <x:c r="U502" t="str"/>
      <x:c r="V502" t="str"/>
      <x:c r="W502" t="str"/>
      <x:c r="X502" t="str"/>
      <x:c r="Y502" t="str">
        <x:v>https://data.ny.gov/Economic-Development/Active-Corporations-Beginning-1800/n9v6-gdp6</x:v>
      </x:c>
    </x:row>
    <x:row r="503">
      <x:c r="A503" t="str">
        <x:v>DOS-4-051</x:v>
      </x:c>
      <x:c r="B503" t="n">
        <x:v>4</x:v>
      </x:c>
      <x:c r="C503" t="str">
        <x:v>1431 NOSTRAND AVENUE, BROOKLYN, NY, 11226, US</x:v>
      </x:c>
      <x:c r="D503" t="str">
        <x:v>15 EAST 19TH LLC</x:v>
      </x:c>
      <x:c r="E503" t="str">
        <x:v>15 EAST 19TH LLC</x:v>
      </x:c>
      <x:c r="F503" t="str">
        <x:v>Active name match</x:v>
      </x:c>
      <x:c r="G503" t="n">
        <x:v>1</x:v>
      </x:c>
      <x:c r="H503" t="n">
        <x:v>0</x:v>
      </x:c>
      <x:c r="I503" t="str">
        <x:v>4136475</x:v>
      </x:c>
      <x:c r="J503" t="str">
        <x:v>15 EAST 19TH LLC</x:v>
      </x:c>
      <x:c r="K503" s="55" t="n">
        <x:v>40785</x:v>
      </x:c>
      <x:c r="L503" t="str">
        <x:v>Kings</x:v>
      </x:c>
      <x:c r="M503" t="str">
        <x:v>New York</x:v>
      </x:c>
      <x:c r="N503" t="str">
        <x:v>DOMESTIC LIMITED LIABILITY COMPANY</x:v>
      </x:c>
      <x:c r="O503" t="str">
        <x:v>15 EAST 19TH LLC</x:v>
      </x:c>
      <x:c r="P503" t="str">
        <x:v>PO BOX 230323, BROOKLYN, NY, 11223</x:v>
      </x:c>
      <x:c r="Q503" t="str"/>
      <x:c r="R503" t="str"/>
      <x:c r="S503" t="str"/>
      <x:c r="T503" t="str"/>
      <x:c r="U503" t="str"/>
      <x:c r="V503" t="str"/>
      <x:c r="W503" t="str"/>
      <x:c r="X503" t="str"/>
      <x:c r="Y503" t="str">
        <x:v>https://data.ny.gov/Economic-Development/Active-Corporations-Beginning-1800/n9v6-gdp6</x:v>
      </x:c>
    </x:row>
    <x:row r="504">
      <x:c r="A504" t="str">
        <x:v>DOS-4-051</x:v>
      </x:c>
      <x:c r="B504" t="n">
        <x:v>4</x:v>
      </x:c>
      <x:c r="C504" t="str">
        <x:v>1431 NOSTRAND AVENUE, BROOKLYN, NY, 11226, US</x:v>
      </x:c>
      <x:c r="D504" t="str">
        <x:v>15 EAST 19TH ST LLC</x:v>
      </x:c>
      <x:c r="E504" t="str">
        <x:v>15 EAST 19TH ST LLC</x:v>
      </x:c>
      <x:c r="F504" t="str">
        <x:v>No active DOS match</x:v>
      </x:c>
      <x:c r="G504" t="n">
        <x:v>0</x:v>
      </x:c>
      <x:c r="H504" t="n">
        <x:v>0</x:v>
      </x:c>
      <x:c r="I504" t="str"/>
      <x:c r="J504" t="str"/>
      <x:c r="K504" s="55" t="str"/>
      <x:c r="L504" t="str"/>
      <x:c r="M504" t="str"/>
      <x:c r="N504" t="str"/>
      <x:c r="O504" t="str"/>
      <x:c r="P504" t="str"/>
      <x:c r="Q504" t="str"/>
      <x:c r="R504" t="str"/>
      <x:c r="S504" t="str"/>
      <x:c r="T504" t="str"/>
      <x:c r="U504" t="str"/>
      <x:c r="V504" t="str"/>
      <x:c r="W504" t="str"/>
      <x:c r="X504" t="str"/>
      <x:c r="Y504" t="str">
        <x:v>https://data.ny.gov/Economic-Development/Active-Corporations-Beginning-1800/n9v6-gdp6</x:v>
      </x:c>
    </x:row>
    <x:row r="505">
      <x:c r="A505" t="str">
        <x:v>DOS-4-051</x:v>
      </x:c>
      <x:c r="B505" t="n">
        <x:v>4</x:v>
      </x:c>
      <x:c r="C505" t="str">
        <x:v>1431 NOSTRAND AVENUE, BROOKLYN, NY, 11226, US</x:v>
      </x:c>
      <x:c r="D505" t="str">
        <x:v>1517 FULTON LLC</x:v>
      </x:c>
      <x:c r="E505" t="str">
        <x:v>1517 FULTON LLC</x:v>
      </x:c>
      <x:c r="F505" t="str">
        <x:v>Active name match</x:v>
      </x:c>
      <x:c r="G505" t="n">
        <x:v>1</x:v>
      </x:c>
      <x:c r="H505" t="n">
        <x:v>1</x:v>
      </x:c>
      <x:c r="I505" t="str">
        <x:v>4978640</x:v>
      </x:c>
      <x:c r="J505" t="str">
        <x:v>1517 FULTON LLC</x:v>
      </x:c>
      <x:c r="K505" s="55" t="n">
        <x:v>42569</x:v>
      </x:c>
      <x:c r="L505" t="str">
        <x:v>Kings</x:v>
      </x:c>
      <x:c r="M505" t="str">
        <x:v>New York</x:v>
      </x:c>
      <x:c r="N505" t="str">
        <x:v>DOMESTIC LIMITED LIABILITY COMPANY</x:v>
      </x:c>
      <x:c r="O505" t="str">
        <x:v>3M MGMT LLC</x:v>
      </x:c>
      <x:c r="P505" t="str">
        <x:v>PO BOX 230323, BROOKLYN, NY, 11226</x:v>
      </x:c>
      <x:c r="Q505" t="str"/>
      <x:c r="R505" t="str"/>
      <x:c r="S505" t="str"/>
      <x:c r="T505" t="str"/>
      <x:c r="U505" t="str"/>
      <x:c r="V505" t="str"/>
      <x:c r="W505" t="str"/>
      <x:c r="X505" t="str"/>
      <x:c r="Y505" t="str">
        <x:v>https://data.ny.gov/Economic-Development/Active-Corporations-Beginning-1800/n9v6-gdp6</x:v>
      </x:c>
    </x:row>
    <x:row r="506">
      <x:c r="A506" t="str">
        <x:v>DOS-4-052</x:v>
      </x:c>
      <x:c r="B506" t="n">
        <x:v>4</x:v>
      </x:c>
      <x:c r="C506" t="str">
        <x:v>1628 CHURCH AVENUE, BROOKLYN, NY, 11226, US</x:v>
      </x:c>
      <x:c r="D506" t="str">
        <x:v>1019 E 46 REALTY LLC</x:v>
      </x:c>
      <x:c r="E506" t="str">
        <x:v>1019 E 46 REALTY LLC</x:v>
      </x:c>
      <x:c r="F506" t="str">
        <x:v>Address-corroborated active match</x:v>
      </x:c>
      <x:c r="G506" t="n">
        <x:v>1</x:v>
      </x:c>
      <x:c r="H506" t="n">
        <x:v>2</x:v>
      </x:c>
      <x:c r="I506" t="str">
        <x:v>3927808</x:v>
      </x:c>
      <x:c r="J506" t="str">
        <x:v>1019 E 46 REALTY LLC</x:v>
      </x:c>
      <x:c r="K506" s="55" t="n">
        <x:v>40260</x:v>
      </x:c>
      <x:c r="L506" t="str">
        <x:v>Kings</x:v>
      </x:c>
      <x:c r="M506" t="str">
        <x:v>New York</x:v>
      </x:c>
      <x:c r="N506" t="str">
        <x:v>DOMESTIC LIMITED LIABILITY COMPANY</x:v>
      </x:c>
      <x:c r="O506" t="str">
        <x:v>1019 E 46 REALTY LLC</x:v>
      </x:c>
      <x:c r="P506" t="str">
        <x:v>1628 CHURCH AVENUE, BROOKLYN, NY, 11226</x:v>
      </x:c>
      <x:c r="Q506" t="str"/>
      <x:c r="R506" t="str"/>
      <x:c r="S506" t="str"/>
      <x:c r="T506" t="str"/>
      <x:c r="U506" t="str"/>
      <x:c r="V506" t="str"/>
      <x:c r="W506" t="str"/>
      <x:c r="X506" t="str"/>
      <x:c r="Y506" t="str">
        <x:v>https://data.ny.gov/Economic-Development/Active-Corporations-Beginning-1800/n9v6-gdp6</x:v>
      </x:c>
    </x:row>
    <x:row r="507">
      <x:c r="A507" t="str">
        <x:v>DOS-4-052</x:v>
      </x:c>
      <x:c r="B507" t="n">
        <x:v>4</x:v>
      </x:c>
      <x:c r="C507" t="str">
        <x:v>1628 CHURCH AVENUE, BROOKLYN, NY, 11226, US</x:v>
      </x:c>
      <x:c r="D507" t="str">
        <x:v>51 STREET LLC</x:v>
      </x:c>
      <x:c r="E507" t="str">
        <x:v>51 STREET LLC</x:v>
      </x:c>
      <x:c r="F507" t="str">
        <x:v>Address-corroborated active match</x:v>
      </x:c>
      <x:c r="G507" t="n">
        <x:v>1</x:v>
      </x:c>
      <x:c r="H507" t="n">
        <x:v>2</x:v>
      </x:c>
      <x:c r="I507" t="str">
        <x:v>3223186</x:v>
      </x:c>
      <x:c r="J507" t="str">
        <x:v>51 STREET LLC</x:v>
      </x:c>
      <x:c r="K507" s="55" t="n">
        <x:v>38527</x:v>
      </x:c>
      <x:c r="L507" t="str">
        <x:v>Kings</x:v>
      </x:c>
      <x:c r="M507" t="str">
        <x:v>New York</x:v>
      </x:c>
      <x:c r="N507" t="str">
        <x:v>DOMESTIC LIMITED LIABILITY COMPANY</x:v>
      </x:c>
      <x:c r="O507" t="str">
        <x:v>51 STREET LLC</x:v>
      </x:c>
      <x:c r="P507" t="str">
        <x:v>1628 CHURCH AVENUE, BROOKLYN, NY, 11226</x:v>
      </x:c>
      <x:c r="Q507" t="str"/>
      <x:c r="R507" t="str"/>
      <x:c r="S507" t="str"/>
      <x:c r="T507" t="str"/>
      <x:c r="U507" t="str"/>
      <x:c r="V507" t="str"/>
      <x:c r="W507" t="str"/>
      <x:c r="X507" t="str"/>
      <x:c r="Y507" t="str">
        <x:v>https://data.ny.gov/Economic-Development/Active-Corporations-Beginning-1800/n9v6-gdp6</x:v>
      </x:c>
    </x:row>
    <x:row r="508">
      <x:c r="A508" t="str">
        <x:v>DOS-4-052</x:v>
      </x:c>
      <x:c r="B508" t="n">
        <x:v>4</x:v>
      </x:c>
      <x:c r="C508" t="str">
        <x:v>1628 CHURCH AVENUE, BROOKLYN, NY, 11226, US</x:v>
      </x:c>
      <x:c r="D508" t="str">
        <x:v>ALM ASSOCIATES LLC</x:v>
      </x:c>
      <x:c r="E508" t="str">
        <x:v>ALM ASSOCIATES LLC</x:v>
      </x:c>
      <x:c r="F508" t="str">
        <x:v>Address-corroborated active match</x:v>
      </x:c>
      <x:c r="G508" t="n">
        <x:v>1</x:v>
      </x:c>
      <x:c r="H508" t="n">
        <x:v>2</x:v>
      </x:c>
      <x:c r="I508" t="str">
        <x:v>3819063</x:v>
      </x:c>
      <x:c r="J508" t="str">
        <x:v>ALM ASSOCIATES LLC</x:v>
      </x:c>
      <x:c r="K508" s="55" t="n">
        <x:v>39969</x:v>
      </x:c>
      <x:c r="L508" t="str">
        <x:v>Kings</x:v>
      </x:c>
      <x:c r="M508" t="str">
        <x:v>New York</x:v>
      </x:c>
      <x:c r="N508" t="str">
        <x:v>DOMESTIC LIMITED LIABILITY COMPANY</x:v>
      </x:c>
      <x:c r="O508" t="str">
        <x:v>ALM ASSOCIATES LLC</x:v>
      </x:c>
      <x:c r="P508" t="str">
        <x:v>1628 CHURCH AVE., BROOKLYN, NY, 11226</x:v>
      </x:c>
      <x:c r="Q508" t="str"/>
      <x:c r="R508" t="str"/>
      <x:c r="S508" t="str"/>
      <x:c r="T508" t="str"/>
      <x:c r="U508" t="str"/>
      <x:c r="V508" t="str"/>
      <x:c r="W508" t="str"/>
      <x:c r="X508" t="str"/>
      <x:c r="Y508" t="str">
        <x:v>https://data.ny.gov/Economic-Development/Active-Corporations-Beginning-1800/n9v6-gdp6</x:v>
      </x:c>
    </x:row>
    <x:row r="509">
      <x:c r="A509" t="str">
        <x:v>DOS-4-052</x:v>
      </x:c>
      <x:c r="B509" t="n">
        <x:v>4</x:v>
      </x:c>
      <x:c r="C509" t="str">
        <x:v>1628 CHURCH AVENUE, BROOKLYN, NY, 11226, US</x:v>
      </x:c>
      <x:c r="D509" t="str">
        <x:v>BRIGHTON 3RD GROUP LLC</x:v>
      </x:c>
      <x:c r="E509" t="str">
        <x:v>BRIGHTON 3RD GROUP LLC</x:v>
      </x:c>
      <x:c r="F509" t="str">
        <x:v>Address-corroborated active match</x:v>
      </x:c>
      <x:c r="G509" t="n">
        <x:v>1</x:v>
      </x:c>
      <x:c r="H509" t="n">
        <x:v>2</x:v>
      </x:c>
      <x:c r="I509" t="str">
        <x:v>5301857</x:v>
      </x:c>
      <x:c r="J509" t="str">
        <x:v>BRIGHTON 3RD GROUP LLC</x:v>
      </x:c>
      <x:c r="K509" s="55" t="n">
        <x:v>43171</x:v>
      </x:c>
      <x:c r="L509" t="str">
        <x:v>Kings</x:v>
      </x:c>
      <x:c r="M509" t="str">
        <x:v>New York</x:v>
      </x:c>
      <x:c r="N509" t="str">
        <x:v>DOMESTIC LIMITED LIABILITY COMPANY</x:v>
      </x:c>
      <x:c r="O509" t="str">
        <x:v>C/O THE LIMITED LIABILITY COMPANY</x:v>
      </x:c>
      <x:c r="P509" t="str">
        <x:v>1628 CHURCH AVENUE, BROOKLYN, NY, 11226</x:v>
      </x:c>
      <x:c r="Q509" t="str"/>
      <x:c r="R509" t="str"/>
      <x:c r="S509" t="str"/>
      <x:c r="T509" t="str"/>
      <x:c r="U509" t="str"/>
      <x:c r="V509" t="str"/>
      <x:c r="W509" t="str"/>
      <x:c r="X509" t="str"/>
      <x:c r="Y509" t="str">
        <x:v>https://data.ny.gov/Economic-Development/Active-Corporations-Beginning-1800/n9v6-gdp6</x:v>
      </x:c>
    </x:row>
    <x:row r="510">
      <x:c r="A510" t="str">
        <x:v>DOS-4-053</x:v>
      </x:c>
      <x:c r="B510" t="n">
        <x:v>4</x:v>
      </x:c>
      <x:c r="C510" t="str">
        <x:v>168-17 LIBERTY AVENUE, JAMAICA, NY, 11433, US</x:v>
      </x:c>
      <x:c r="D510" t="str">
        <x:v>AV REALTY 168 17 LIBERTY AVENUE LLC</x:v>
      </x:c>
      <x:c r="E510" t="str">
        <x:v>AV REALTY 168-17 LIBERTY AVENUE LLC</x:v>
      </x:c>
      <x:c r="F510" t="str">
        <x:v>Address-corroborated active match</x:v>
      </x:c>
      <x:c r="G510" t="n">
        <x:v>1</x:v>
      </x:c>
      <x:c r="H510" t="n">
        <x:v>2</x:v>
      </x:c>
      <x:c r="I510" t="str">
        <x:v>5225884</x:v>
      </x:c>
      <x:c r="J510" t="str">
        <x:v>AV REALTY 168-17 LIBERTY AVENUE LLC</x:v>
      </x:c>
      <x:c r="K510" s="55" t="n">
        <x:v>43038</x:v>
      </x:c>
      <x:c r="L510" t="str">
        <x:v>Queens</x:v>
      </x:c>
      <x:c r="M510" t="str">
        <x:v>New York</x:v>
      </x:c>
      <x:c r="N510" t="str">
        <x:v>DOMESTIC LIMITED LIABILITY COMPANY</x:v>
      </x:c>
      <x:c r="O510" t="str">
        <x:v>AV REALTY 168-17 LIBERTY AVENUE LLC</x:v>
      </x:c>
      <x:c r="P510" t="str">
        <x:v>168-17 LIBERTY AVE., JAMAICA, NY, 11433</x:v>
      </x:c>
      <x:c r="Q510" t="str"/>
      <x:c r="R510" t="str"/>
      <x:c r="S510" t="str"/>
      <x:c r="T510" t="str"/>
      <x:c r="U510" t="str"/>
      <x:c r="V510" t="str"/>
      <x:c r="W510" t="str"/>
      <x:c r="X510" t="str"/>
      <x:c r="Y510" t="str">
        <x:v>https://data.ny.gov/Economic-Development/Active-Corporations-Beginning-1800/n9v6-gdp6</x:v>
      </x:c>
    </x:row>
    <x:row r="511">
      <x:c r="A511" t="str">
        <x:v>DOS-4-053</x:v>
      </x:c>
      <x:c r="B511" t="n">
        <x:v>4</x:v>
      </x:c>
      <x:c r="C511" t="str">
        <x:v>168-17 LIBERTY AVENUE, JAMAICA, NY, 11433, US</x:v>
      </x:c>
      <x:c r="D511" t="str">
        <x:v>AV REALTY 168 25 27 LIBERTY AVENUE LLC</x:v>
      </x:c>
      <x:c r="E511" t="str">
        <x:v>AV REALTY 168-25/27 LIBERTY AVENUE LLC</x:v>
      </x:c>
      <x:c r="F511" t="str">
        <x:v>Address-corroborated active match</x:v>
      </x:c>
      <x:c r="G511" t="n">
        <x:v>1</x:v>
      </x:c>
      <x:c r="H511" t="n">
        <x:v>2</x:v>
      </x:c>
      <x:c r="I511" t="str">
        <x:v>5225885</x:v>
      </x:c>
      <x:c r="J511" t="str">
        <x:v>AV REALTY 168-25/27 LIBERTY AVENUE LLC</x:v>
      </x:c>
      <x:c r="K511" s="55" t="n">
        <x:v>43038</x:v>
      </x:c>
      <x:c r="L511" t="str">
        <x:v>Queens</x:v>
      </x:c>
      <x:c r="M511" t="str">
        <x:v>New York</x:v>
      </x:c>
      <x:c r="N511" t="str">
        <x:v>DOMESTIC LIMITED LIABILITY COMPANY</x:v>
      </x:c>
      <x:c r="O511" t="str">
        <x:v>AV REALTY 168-25/27 LIBERTY AVENUE LLC</x:v>
      </x:c>
      <x:c r="P511" t="str">
        <x:v>168-17 LIBERTY AVE., JAMAICA, NY, 11433</x:v>
      </x:c>
      <x:c r="Q511" t="str"/>
      <x:c r="R511" t="str"/>
      <x:c r="S511" t="str"/>
      <x:c r="T511" t="str"/>
      <x:c r="U511" t="str"/>
      <x:c r="V511" t="str"/>
      <x:c r="W511" t="str"/>
      <x:c r="X511" t="str"/>
      <x:c r="Y511" t="str">
        <x:v>https://data.ny.gov/Economic-Development/Active-Corporations-Beginning-1800/n9v6-gdp6</x:v>
      </x:c>
    </x:row>
    <x:row r="512">
      <x:c r="A512" t="str">
        <x:v>DOS-4-053</x:v>
      </x:c>
      <x:c r="B512" t="n">
        <x:v>4</x:v>
      </x:c>
      <x:c r="C512" t="str">
        <x:v>168-17 LIBERTY AVENUE, JAMAICA, NY, 11433, US</x:v>
      </x:c>
      <x:c r="D512" t="str">
        <x:v>AV REALTY 168 26 28 LIBERTY AVENUE LLC</x:v>
      </x:c>
      <x:c r="E512" t="str">
        <x:v>AV REALTY 168-26/28 LIBERTY AVENUE LLC</x:v>
      </x:c>
      <x:c r="F512" t="str">
        <x:v>Address-corroborated active match</x:v>
      </x:c>
      <x:c r="G512" t="n">
        <x:v>1</x:v>
      </x:c>
      <x:c r="H512" t="n">
        <x:v>2</x:v>
      </x:c>
      <x:c r="I512" t="str">
        <x:v>5225888</x:v>
      </x:c>
      <x:c r="J512" t="str">
        <x:v>AV REALTY 168-26/28 LIBERTY AVENUE LLC</x:v>
      </x:c>
      <x:c r="K512" s="55" t="n">
        <x:v>43038</x:v>
      </x:c>
      <x:c r="L512" t="str">
        <x:v>Queens</x:v>
      </x:c>
      <x:c r="M512" t="str">
        <x:v>New York</x:v>
      </x:c>
      <x:c r="N512" t="str">
        <x:v>DOMESTIC LIMITED LIABILITY COMPANY</x:v>
      </x:c>
      <x:c r="O512" t="str">
        <x:v>AV REALTY 168-26/28 LIBERTY AVENUE LLC</x:v>
      </x:c>
      <x:c r="P512" t="str">
        <x:v>168-17 LIBERTY AVE., JAMAICA, NY, 11433</x:v>
      </x:c>
      <x:c r="Q512" t="str"/>
      <x:c r="R512" t="str"/>
      <x:c r="S512" t="str"/>
      <x:c r="T512" t="str"/>
      <x:c r="U512" t="str"/>
      <x:c r="V512" t="str"/>
      <x:c r="W512" t="str"/>
      <x:c r="X512" t="str"/>
      <x:c r="Y512" t="str">
        <x:v>https://data.ny.gov/Economic-Development/Active-Corporations-Beginning-1800/n9v6-gdp6</x:v>
      </x:c>
    </x:row>
    <x:row r="513">
      <x:c r="A513" t="str">
        <x:v>DOS-4-053</x:v>
      </x:c>
      <x:c r="B513" t="n">
        <x:v>4</x:v>
      </x:c>
      <x:c r="C513" t="str">
        <x:v>168-17 LIBERTY AVENUE, JAMAICA, NY, 11433, US</x:v>
      </x:c>
      <x:c r="D513" t="str">
        <x:v>AVF REALTY168 36 40 LIBERTY AVENUE LLC</x:v>
      </x:c>
      <x:c r="E513" t="str">
        <x:v>AVF REALTY168-36/40 LIBERTY AVENUE LLC</x:v>
      </x:c>
      <x:c r="F513" t="str">
        <x:v>No active DOS match</x:v>
      </x:c>
      <x:c r="G513" t="n">
        <x:v>0</x:v>
      </x:c>
      <x:c r="H513" t="n">
        <x:v>0</x:v>
      </x:c>
      <x:c r="I513" t="str"/>
      <x:c r="J513" t="str"/>
      <x:c r="K513" s="55" t="str"/>
      <x:c r="L513" t="str"/>
      <x:c r="M513" t="str"/>
      <x:c r="N513" t="str"/>
      <x:c r="O513" t="str"/>
      <x:c r="P513" t="str"/>
      <x:c r="Q513" t="str"/>
      <x:c r="R513" t="str"/>
      <x:c r="S513" t="str"/>
      <x:c r="T513" t="str"/>
      <x:c r="U513" t="str"/>
      <x:c r="V513" t="str"/>
      <x:c r="W513" t="str"/>
      <x:c r="X513" t="str"/>
      <x:c r="Y513" t="str">
        <x:v>https://data.ny.gov/Economic-Development/Active-Corporations-Beginning-1800/n9v6-gdp6</x:v>
      </x:c>
    </x:row>
    <x:row r="514">
      <x:c r="A514" t="str">
        <x:v>DOS-4-054</x:v>
      </x:c>
      <x:c r="B514" t="n">
        <x:v>4</x:v>
      </x:c>
      <x:c r="C514" t="str">
        <x:v>1913 BRONXDALE AVENUE, BRONX, NY, 10462, US</x:v>
      </x:c>
      <x:c r="D514" t="str">
        <x:v>1911 1913 BRONXDALE AVENUE REALTY LLC</x:v>
      </x:c>
      <x:c r="E514" t="str">
        <x:v>1911-1913 BRONXDALE AVENUE REALTY LLC</x:v>
      </x:c>
      <x:c r="F514" t="str">
        <x:v>Address-corroborated active match</x:v>
      </x:c>
      <x:c r="G514" t="n">
        <x:v>1</x:v>
      </x:c>
      <x:c r="H514" t="n">
        <x:v>2</x:v>
      </x:c>
      <x:c r="I514" t="str">
        <x:v>3192095</x:v>
      </x:c>
      <x:c r="J514" t="str">
        <x:v>1911-1913 BRONXDALE AVENUE REALTY LLC</x:v>
      </x:c>
      <x:c r="K514" s="55" t="n">
        <x:v>38457</x:v>
      </x:c>
      <x:c r="L514" t="str">
        <x:v>Bronx</x:v>
      </x:c>
      <x:c r="M514" t="str">
        <x:v>New York</x:v>
      </x:c>
      <x:c r="N514" t="str">
        <x:v>DOMESTIC LIMITED LIABILITY COMPANY</x:v>
      </x:c>
      <x:c r="O514" t="str">
        <x:v>1911-1913 BRONXDALE AVENUE REALTY LLC</x:v>
      </x:c>
      <x:c r="P514" t="str">
        <x:v>1913 BRONXDALE AVE, BRONX, NY, 10462</x:v>
      </x:c>
      <x:c r="Q514" t="str"/>
      <x:c r="R514" t="str"/>
      <x:c r="S514" t="str"/>
      <x:c r="T514" t="str"/>
      <x:c r="U514" t="str"/>
      <x:c r="V514" t="str"/>
      <x:c r="W514" t="str"/>
      <x:c r="X514" t="str"/>
      <x:c r="Y514" t="str">
        <x:v>https://data.ny.gov/Economic-Development/Active-Corporations-Beginning-1800/n9v6-gdp6</x:v>
      </x:c>
    </x:row>
    <x:row r="515">
      <x:c r="A515" t="str">
        <x:v>DOS-4-054</x:v>
      </x:c>
      <x:c r="B515" t="n">
        <x:v>4</x:v>
      </x:c>
      <x:c r="C515" t="str">
        <x:v>1913 BRONXDALE AVENUE, BRONX, NY, 10462, US</x:v>
      </x:c>
      <x:c r="D515" t="str">
        <x:v>1912 1920 MULINER AVE REALTY LLC</x:v>
      </x:c>
      <x:c r="E515" t="str">
        <x:v>1912-1920 MULINER AVE. REALTY, LLC</x:v>
      </x:c>
      <x:c r="F515" t="str">
        <x:v>Address-corroborated active match</x:v>
      </x:c>
      <x:c r="G515" t="n">
        <x:v>1</x:v>
      </x:c>
      <x:c r="H515" t="n">
        <x:v>2</x:v>
      </x:c>
      <x:c r="I515" t="str">
        <x:v>3179189</x:v>
      </x:c>
      <x:c r="J515" t="str">
        <x:v>1912-1920 MULINER AVE. REALTY, LLC</x:v>
      </x:c>
      <x:c r="K515" s="55" t="n">
        <x:v>38429</x:v>
      </x:c>
      <x:c r="L515" t="str">
        <x:v>Bronx</x:v>
      </x:c>
      <x:c r="M515" t="str">
        <x:v>New York</x:v>
      </x:c>
      <x:c r="N515" t="str">
        <x:v>DOMESTIC LIMITED LIABILITY COMPANY</x:v>
      </x:c>
      <x:c r="O515" t="str">
        <x:v>1912-1920 MULINER AVE. REALTY, LLC</x:v>
      </x:c>
      <x:c r="P515" t="str">
        <x:v>1913 BRONXDALE AVENUE, BRONX, NY, 10462</x:v>
      </x:c>
      <x:c r="Q515" t="str"/>
      <x:c r="R515" t="str"/>
      <x:c r="S515" t="str"/>
      <x:c r="T515" t="str"/>
      <x:c r="U515" t="str"/>
      <x:c r="V515" t="str"/>
      <x:c r="W515" t="str"/>
      <x:c r="X515" t="str"/>
      <x:c r="Y515" t="str">
        <x:v>https://data.ny.gov/Economic-Development/Active-Corporations-Beginning-1800/n9v6-gdp6</x:v>
      </x:c>
    </x:row>
    <x:row r="516">
      <x:c r="A516" t="str">
        <x:v>DOS-4-054</x:v>
      </x:c>
      <x:c r="B516" t="n">
        <x:v>4</x:v>
      </x:c>
      <x:c r="C516" t="str">
        <x:v>1913 BRONXDALE AVENUE, BRONX, NY, 10462, US</x:v>
      </x:c>
      <x:c r="D516" t="str">
        <x:v>2593 LURTING AVENUE LLC</x:v>
      </x:c>
      <x:c r="E516" t="str">
        <x:v>2593 LURTING AVENUE LLC</x:v>
      </x:c>
      <x:c r="F516" t="str">
        <x:v>Address-corroborated active match</x:v>
      </x:c>
      <x:c r="G516" t="n">
        <x:v>1</x:v>
      </x:c>
      <x:c r="H516" t="n">
        <x:v>2</x:v>
      </x:c>
      <x:c r="I516" t="str">
        <x:v>5106476</x:v>
      </x:c>
      <x:c r="J516" t="str">
        <x:v>2593 LURTING AVENUE LLC</x:v>
      </x:c>
      <x:c r="K516" s="55" t="n">
        <x:v>42816</x:v>
      </x:c>
      <x:c r="L516" t="str">
        <x:v>Bronx</x:v>
      </x:c>
      <x:c r="M516" t="str">
        <x:v>New York</x:v>
      </x:c>
      <x:c r="N516" t="str">
        <x:v>DOMESTIC LIMITED LIABILITY COMPANY</x:v>
      </x:c>
      <x:c r="O516" t="str">
        <x:v>2593 LURTING AVENUE LLC</x:v>
      </x:c>
      <x:c r="P516" t="str">
        <x:v>1913 BRONXDALE AVE., BRONX, NY, 10462</x:v>
      </x:c>
      <x:c r="Q516" t="str"/>
      <x:c r="R516" t="str"/>
      <x:c r="S516" t="str"/>
      <x:c r="T516" t="str"/>
      <x:c r="U516" t="str"/>
      <x:c r="V516" t="str"/>
      <x:c r="W516" t="str"/>
      <x:c r="X516" t="str"/>
      <x:c r="Y516" t="str">
        <x:v>https://data.ny.gov/Economic-Development/Active-Corporations-Beginning-1800/n9v6-gdp6</x:v>
      </x:c>
    </x:row>
    <x:row r="517">
      <x:c r="A517" t="str">
        <x:v>DOS-4-054</x:v>
      </x:c>
      <x:c r="B517" t="n">
        <x:v>4</x:v>
      </x:c>
      <x:c r="C517" t="str">
        <x:v>1913 BRONXDALE AVENUE, BRONX, NY, 10462, US</x:v>
      </x:c>
      <x:c r="D517" t="str">
        <x:v>4 PEACE STREET HOLDINGS LLC</x:v>
      </x:c>
      <x:c r="E517" t="str">
        <x:v>4 PEACE STREET HOLDINGS LLC</x:v>
      </x:c>
      <x:c r="F517" t="str">
        <x:v>Address-corroborated active match</x:v>
      </x:c>
      <x:c r="G517" t="n">
        <x:v>1</x:v>
      </x:c>
      <x:c r="H517" t="n">
        <x:v>2</x:v>
      </x:c>
      <x:c r="I517" t="str">
        <x:v>5415720</x:v>
      </x:c>
      <x:c r="J517" t="str">
        <x:v>4 PEACE STREET HOLDINGS LLC</x:v>
      </x:c>
      <x:c r="K517" s="55" t="n">
        <x:v>43368</x:v>
      </x:c>
      <x:c r="L517" t="str">
        <x:v>Bronx</x:v>
      </x:c>
      <x:c r="M517" t="str">
        <x:v>New York</x:v>
      </x:c>
      <x:c r="N517" t="str">
        <x:v>DOMESTIC LIMITED LIABILITY COMPANY</x:v>
      </x:c>
      <x:c r="O517" t="str">
        <x:v>4 PEACE STREET HOLDINGS LLC</x:v>
      </x:c>
      <x:c r="P517" t="str">
        <x:v>1913 BRONXDALE AVENUE, BRONX, NY, 10462</x:v>
      </x:c>
      <x:c r="Q517" t="str"/>
      <x:c r="R517" t="str"/>
      <x:c r="S517" t="str"/>
      <x:c r="T517" t="str"/>
      <x:c r="U517" t="str"/>
      <x:c r="V517" t="str"/>
      <x:c r="W517" t="str"/>
      <x:c r="X517" t="str"/>
      <x:c r="Y517" t="str">
        <x:v>https://data.ny.gov/Economic-Development/Active-Corporations-Beginning-1800/n9v6-gdp6</x:v>
      </x:c>
    </x:row>
    <x:row r="518">
      <x:c r="A518" t="str">
        <x:v>DOS-4-055</x:v>
      </x:c>
      <x:c r="B518" t="n">
        <x:v>4</x:v>
      </x:c>
      <x:c r="C518" t="str">
        <x:v>214-57 27TH AVENUE, BAYSIDE, NY, 11360, US</x:v>
      </x:c>
      <x:c r="D518" t="str">
        <x:v>160 W 86 REALTY GROUP LLC</x:v>
      </x:c>
      <x:c r="E518" t="str">
        <x:v>160 W. 86 REALTY GROUP, LLC</x:v>
      </x:c>
      <x:c r="F518" t="str">
        <x:v>Address-corroborated active match</x:v>
      </x:c>
      <x:c r="G518" t="n">
        <x:v>1</x:v>
      </x:c>
      <x:c r="H518" t="n">
        <x:v>2</x:v>
      </x:c>
      <x:c r="I518" t="str">
        <x:v>3387266</x:v>
      </x:c>
      <x:c r="J518" t="str">
        <x:v>160 W. 86 REALTY GROUP, LLC</x:v>
      </x:c>
      <x:c r="K518" s="55" t="n">
        <x:v>38910</x:v>
      </x:c>
      <x:c r="L518" t="str">
        <x:v>Queens</x:v>
      </x:c>
      <x:c r="M518" t="str">
        <x:v>New York</x:v>
      </x:c>
      <x:c r="N518" t="str">
        <x:v>DOMESTIC LIMITED LIABILITY COMPANY</x:v>
      </x:c>
      <x:c r="O518" t="str">
        <x:v>160 W. 86 REALTY GROUP, LLC</x:v>
      </x:c>
      <x:c r="P518" t="str">
        <x:v>214-57 27TH AVENUE, BAYSIDE, NY, 11360</x:v>
      </x:c>
      <x:c r="Q518" t="str"/>
      <x:c r="R518" t="str"/>
      <x:c r="S518" t="str"/>
      <x:c r="T518" t="str"/>
      <x:c r="U518" t="str"/>
      <x:c r="V518" t="str"/>
      <x:c r="W518" t="str"/>
      <x:c r="X518" t="str"/>
      <x:c r="Y518" t="str">
        <x:v>https://data.ny.gov/Economic-Development/Active-Corporations-Beginning-1800/n9v6-gdp6</x:v>
      </x:c>
    </x:row>
    <x:row r="519">
      <x:c r="A519" t="str">
        <x:v>DOS-4-055</x:v>
      </x:c>
      <x:c r="B519" t="n">
        <x:v>4</x:v>
      </x:c>
      <x:c r="C519" t="str">
        <x:v>214-57 27TH AVENUE, BAYSIDE, NY, 11360, US</x:v>
      </x:c>
      <x:c r="D519" t="str">
        <x:v>193 2ND AVE REALTY GROUP LLC</x:v>
      </x:c>
      <x:c r="E519" t="str">
        <x:v>193 2ND AVE. REALTY GROUP, LLC</x:v>
      </x:c>
      <x:c r="F519" t="str">
        <x:v>Address-corroborated active match</x:v>
      </x:c>
      <x:c r="G519" t="n">
        <x:v>1</x:v>
      </x:c>
      <x:c r="H519" t="n">
        <x:v>2</x:v>
      </x:c>
      <x:c r="I519" t="str">
        <x:v>3387258</x:v>
      </x:c>
      <x:c r="J519" t="str">
        <x:v>193 2ND AVE. REALTY GROUP, LLC</x:v>
      </x:c>
      <x:c r="K519" s="55" t="n">
        <x:v>38910</x:v>
      </x:c>
      <x:c r="L519" t="str">
        <x:v>Queens</x:v>
      </x:c>
      <x:c r="M519" t="str">
        <x:v>New York</x:v>
      </x:c>
      <x:c r="N519" t="str">
        <x:v>DOMESTIC LIMITED LIABILITY COMPANY</x:v>
      </x:c>
      <x:c r="O519" t="str">
        <x:v>193 2ND AVE. REALTY GROUP, LLC</x:v>
      </x:c>
      <x:c r="P519" t="str">
        <x:v>214-57 27TH AVENUE, BAYSIDE, NY, 11360</x:v>
      </x:c>
      <x:c r="Q519" t="str"/>
      <x:c r="R519" t="str"/>
      <x:c r="S519" t="str"/>
      <x:c r="T519" t="str"/>
      <x:c r="U519" t="str"/>
      <x:c r="V519" t="str"/>
      <x:c r="W519" t="str"/>
      <x:c r="X519" t="str"/>
      <x:c r="Y519" t="str">
        <x:v>https://data.ny.gov/Economic-Development/Active-Corporations-Beginning-1800/n9v6-gdp6</x:v>
      </x:c>
    </x:row>
    <x:row r="520">
      <x:c r="A520" t="str">
        <x:v>DOS-4-055</x:v>
      </x:c>
      <x:c r="B520" t="n">
        <x:v>4</x:v>
      </x:c>
      <x:c r="C520" t="str">
        <x:v>214-57 27TH AVENUE, BAYSIDE, NY, 11360, US</x:v>
      </x:c>
      <x:c r="D520" t="str">
        <x:v>416 W 47TH STREET REALTY LLC</x:v>
      </x:c>
      <x:c r="E520" t="str">
        <x:v>416 W. 47TH STREET REALTY, LLC</x:v>
      </x:c>
      <x:c r="F520" t="str">
        <x:v>Address-corroborated active match</x:v>
      </x:c>
      <x:c r="G520" t="n">
        <x:v>1</x:v>
      </x:c>
      <x:c r="H520" t="n">
        <x:v>2</x:v>
      </x:c>
      <x:c r="I520" t="str">
        <x:v>3387301</x:v>
      </x:c>
      <x:c r="J520" t="str">
        <x:v>416 W. 47TH STREET REALTY, LLC</x:v>
      </x:c>
      <x:c r="K520" s="55" t="n">
        <x:v>38910</x:v>
      </x:c>
      <x:c r="L520" t="str">
        <x:v>Queens</x:v>
      </x:c>
      <x:c r="M520" t="str">
        <x:v>New York</x:v>
      </x:c>
      <x:c r="N520" t="str">
        <x:v>DOMESTIC LIMITED LIABILITY COMPANY</x:v>
      </x:c>
      <x:c r="O520" t="str">
        <x:v>416 W. 47TH STREET REALTY, LLC</x:v>
      </x:c>
      <x:c r="P520" t="str">
        <x:v>214-57 27TH AVENUE, BAYSIDE, NY, 11360</x:v>
      </x:c>
      <x:c r="Q520" t="str"/>
      <x:c r="R520" t="str"/>
      <x:c r="S520" t="str"/>
      <x:c r="T520" t="str"/>
      <x:c r="U520" t="str"/>
      <x:c r="V520" t="str"/>
      <x:c r="W520" t="str"/>
      <x:c r="X520" t="str"/>
      <x:c r="Y520" t="str">
        <x:v>https://data.ny.gov/Economic-Development/Active-Corporations-Beginning-1800/n9v6-gdp6</x:v>
      </x:c>
    </x:row>
    <x:row r="521">
      <x:c r="A521" t="str">
        <x:v>DOS-4-055</x:v>
      </x:c>
      <x:c r="B521" t="n">
        <x:v>4</x:v>
      </x:c>
      <x:c r="C521" t="str">
        <x:v>214-57 27TH AVENUE, BAYSIDE, NY, 11360, US</x:v>
      </x:c>
      <x:c r="D521" t="str">
        <x:v>56 MORTON STREET REALTY LLC</x:v>
      </x:c>
      <x:c r="E521" t="str">
        <x:v>56 MORTON STREET REALTY, LLC</x:v>
      </x:c>
      <x:c r="F521" t="str">
        <x:v>Address-corroborated active match</x:v>
      </x:c>
      <x:c r="G521" t="n">
        <x:v>1</x:v>
      </x:c>
      <x:c r="H521" t="n">
        <x:v>2</x:v>
      </x:c>
      <x:c r="I521" t="str">
        <x:v>3387248</x:v>
      </x:c>
      <x:c r="J521" t="str">
        <x:v>56 MORTON STREET REALTY, LLC</x:v>
      </x:c>
      <x:c r="K521" s="55" t="n">
        <x:v>38910</x:v>
      </x:c>
      <x:c r="L521" t="str">
        <x:v>Queens</x:v>
      </x:c>
      <x:c r="M521" t="str">
        <x:v>New York</x:v>
      </x:c>
      <x:c r="N521" t="str">
        <x:v>DOMESTIC LIMITED LIABILITY COMPANY</x:v>
      </x:c>
      <x:c r="O521" t="str">
        <x:v>56 MORTON STREET REALTY, LLC</x:v>
      </x:c>
      <x:c r="P521" t="str">
        <x:v>214-57 27TH AVENUE, BAYSIDE, NY, 11360</x:v>
      </x:c>
      <x:c r="Q521" t="str"/>
      <x:c r="R521" t="str"/>
      <x:c r="S521" t="str"/>
      <x:c r="T521" t="str"/>
      <x:c r="U521" t="str"/>
      <x:c r="V521" t="str"/>
      <x:c r="W521" t="str"/>
      <x:c r="X521" t="str"/>
      <x:c r="Y521" t="str">
        <x:v>https://data.ny.gov/Economic-Development/Active-Corporations-Beginning-1800/n9v6-gdp6</x:v>
      </x:c>
    </x:row>
    <x:row r="522">
      <x:c r="A522" t="str">
        <x:v>DOS-4-056</x:v>
      </x:c>
      <x:c r="B522" t="n">
        <x:v>4</x:v>
      </x:c>
      <x:c r="C522" t="str">
        <x:v>252 EXETER STREET, BROOKLYN, NY, 11235, US</x:v>
      </x:c>
      <x:c r="D522" t="str">
        <x:v>DIANA AND SOFIA LLC</x:v>
      </x:c>
      <x:c r="E522" t="str">
        <x:v>DIANA &amp; SOFIA LLC</x:v>
      </x:c>
      <x:c r="F522" t="str">
        <x:v>Address-corroborated active match</x:v>
      </x:c>
      <x:c r="G522" t="n">
        <x:v>1</x:v>
      </x:c>
      <x:c r="H522" t="n">
        <x:v>2</x:v>
      </x:c>
      <x:c r="I522" t="str">
        <x:v>4906840</x:v>
      </x:c>
      <x:c r="J522" t="str">
        <x:v>DIANA &amp; SOFIA LLC</x:v>
      </x:c>
      <x:c r="K522" s="55" t="n">
        <x:v>42432</x:v>
      </x:c>
      <x:c r="L522" t="str">
        <x:v>Albany</x:v>
      </x:c>
      <x:c r="M522" t="str">
        <x:v>New York</x:v>
      </x:c>
      <x:c r="N522" t="str">
        <x:v>DOMESTIC LIMITED LIABILITY COMPANY</x:v>
      </x:c>
      <x:c r="O522" t="str">
        <x:v>DIANA &amp; SOFIA LLC</x:v>
      </x:c>
      <x:c r="P522" t="str">
        <x:v>252 EXETER STREET, BROOKLYN, NY, 11235</x:v>
      </x:c>
      <x:c r="Q522" t="str"/>
      <x:c r="R522" t="str"/>
      <x:c r="S522" t="str"/>
      <x:c r="T522" t="str"/>
      <x:c r="U522" t="str"/>
      <x:c r="V522" t="str"/>
      <x:c r="W522" t="str"/>
      <x:c r="X522" t="str"/>
      <x:c r="Y522" t="str">
        <x:v>https://data.ny.gov/Economic-Development/Active-Corporations-Beginning-1800/n9v6-gdp6</x:v>
      </x:c>
    </x:row>
    <x:row r="523">
      <x:c r="A523" t="str">
        <x:v>DOS-4-056</x:v>
      </x:c>
      <x:c r="B523" t="n">
        <x:v>4</x:v>
      </x:c>
      <x:c r="C523" t="str">
        <x:v>252 EXETER STREET, BROOKLYN, NY, 11235, US</x:v>
      </x:c>
      <x:c r="D523" t="str">
        <x:v>HDT JOY HOUSE LLC</x:v>
      </x:c>
      <x:c r="E523" t="str">
        <x:v>HDT JOY HOUSE, LLC</x:v>
      </x:c>
      <x:c r="F523" t="str">
        <x:v>Active name match</x:v>
      </x:c>
      <x:c r="G523" t="n">
        <x:v>1</x:v>
      </x:c>
      <x:c r="H523" t="n">
        <x:v>1</x:v>
      </x:c>
      <x:c r="I523" t="str">
        <x:v>3808246</x:v>
      </x:c>
      <x:c r="J523" t="str">
        <x:v>HDT JOY HOUSE, LLC</x:v>
      </x:c>
      <x:c r="K523" s="55" t="n">
        <x:v>39941</x:v>
      </x:c>
      <x:c r="L523" t="str">
        <x:v>Kings</x:v>
      </x:c>
      <x:c r="M523" t="str">
        <x:v>New York</x:v>
      </x:c>
      <x:c r="N523" t="str">
        <x:v>DOMESTIC LIMITED LIABILITY COMPANY</x:v>
      </x:c>
      <x:c r="O523" t="str">
        <x:v>HDT JOY HOUSE, LLC</x:v>
      </x:c>
      <x:c r="P523" t="str">
        <x:v>165 IRWIN ST, BROOKLYN, NY, 11235</x:v>
      </x:c>
      <x:c r="Q523" t="str"/>
      <x:c r="R523" t="str"/>
      <x:c r="S523" t="str"/>
      <x:c r="T523" t="str"/>
      <x:c r="U523" t="str"/>
      <x:c r="V523" t="str"/>
      <x:c r="W523" t="str"/>
      <x:c r="X523" t="str"/>
      <x:c r="Y523" t="str">
        <x:v>https://data.ny.gov/Economic-Development/Active-Corporations-Beginning-1800/n9v6-gdp6</x:v>
      </x:c>
    </x:row>
    <x:row r="524">
      <x:c r="A524" t="str">
        <x:v>DOS-4-056</x:v>
      </x:c>
      <x:c r="B524" t="n">
        <x:v>4</x:v>
      </x:c>
      <x:c r="C524" t="str">
        <x:v>252 EXETER STREET, BROOKLYN, NY, 11235, US</x:v>
      </x:c>
      <x:c r="D524" t="str">
        <x:v>LJ23 LLC</x:v>
      </x:c>
      <x:c r="E524" t="str">
        <x:v>LJ23, LLC</x:v>
      </x:c>
      <x:c r="F524" t="str">
        <x:v>Active name match</x:v>
      </x:c>
      <x:c r="G524" t="n">
        <x:v>1</x:v>
      </x:c>
      <x:c r="H524" t="n">
        <x:v>1</x:v>
      </x:c>
      <x:c r="I524" t="str">
        <x:v>3808280</x:v>
      </x:c>
      <x:c r="J524" t="str">
        <x:v>LJ23, LLC</x:v>
      </x:c>
      <x:c r="K524" s="55" t="n">
        <x:v>39941</x:v>
      </x:c>
      <x:c r="L524" t="str">
        <x:v>Kings</x:v>
      </x:c>
      <x:c r="M524" t="str">
        <x:v>New York</x:v>
      </x:c>
      <x:c r="N524" t="str">
        <x:v>DOMESTIC LIMITED LIABILITY COMPANY</x:v>
      </x:c>
      <x:c r="O524" t="str">
        <x:v>LJ23, LLC</x:v>
      </x:c>
      <x:c r="P524" t="str">
        <x:v>165 IRWIN STREET, BROOKLYN, NY, 11235</x:v>
      </x:c>
      <x:c r="Q524" t="str"/>
      <x:c r="R524" t="str"/>
      <x:c r="S524" t="str"/>
      <x:c r="T524" t="str"/>
      <x:c r="U524" t="str"/>
      <x:c r="V524" t="str"/>
      <x:c r="W524" t="str"/>
      <x:c r="X524" t="str"/>
      <x:c r="Y524" t="str">
        <x:v>https://data.ny.gov/Economic-Development/Active-Corporations-Beginning-1800/n9v6-gdp6</x:v>
      </x:c>
    </x:row>
    <x:row r="525">
      <x:c r="A525" t="str">
        <x:v>DOS-4-056</x:v>
      </x:c>
      <x:c r="B525" t="n">
        <x:v>4</x:v>
      </x:c>
      <x:c r="C525" t="str">
        <x:v>252 EXETER STREET, BROOKLYN, NY, 11235, US</x:v>
      </x:c>
      <x:c r="D525" t="str">
        <x:v>TULYA AND JACOB LLC</x:v>
      </x:c>
      <x:c r="E525" t="str">
        <x:v>TULYA &amp; JACOB LLC</x:v>
      </x:c>
      <x:c r="F525" t="str">
        <x:v>Address-corroborated active match</x:v>
      </x:c>
      <x:c r="G525" t="n">
        <x:v>1</x:v>
      </x:c>
      <x:c r="H525" t="n">
        <x:v>2</x:v>
      </x:c>
      <x:c r="I525" t="str">
        <x:v>4906848</x:v>
      </x:c>
      <x:c r="J525" t="str">
        <x:v>TULYA &amp; JACOB LLC</x:v>
      </x:c>
      <x:c r="K525" s="55" t="n">
        <x:v>42432</x:v>
      </x:c>
      <x:c r="L525" t="str">
        <x:v>Albany</x:v>
      </x:c>
      <x:c r="M525" t="str">
        <x:v>New York</x:v>
      </x:c>
      <x:c r="N525" t="str">
        <x:v>DOMESTIC LIMITED LIABILITY COMPANY</x:v>
      </x:c>
      <x:c r="O525" t="str">
        <x:v>TULYA &amp; JACOB LLC</x:v>
      </x:c>
      <x:c r="P525" t="str">
        <x:v>252 EXETER STREET, BROOKLYN, NY, 11235</x:v>
      </x:c>
      <x:c r="Q525" t="str"/>
      <x:c r="R525" t="str"/>
      <x:c r="S525" t="str"/>
      <x:c r="T525" t="str"/>
      <x:c r="U525" t="str"/>
      <x:c r="V525" t="str"/>
      <x:c r="W525" t="str"/>
      <x:c r="X525" t="str"/>
      <x:c r="Y525" t="str">
        <x:v>https://data.ny.gov/Economic-Development/Active-Corporations-Beginning-1800/n9v6-gdp6</x:v>
      </x:c>
    </x:row>
    <x:row r="526">
      <x:c r="A526" t="str">
        <x:v>DOS-4-057</x:v>
      </x:c>
      <x:c r="B526" t="n">
        <x:v>4</x:v>
      </x:c>
      <x:c r="C526" t="str">
        <x:v>259 ELLEN PLACE, JERICHO, NY, 11753, US</x:v>
      </x:c>
      <x:c r="D526" t="str">
        <x:v>JEFFERSON 198 LLC</x:v>
      </x:c>
      <x:c r="E526" t="str">
        <x:v>JEFFERSON 198 LLC</x:v>
      </x:c>
      <x:c r="F526" t="str">
        <x:v>Address-corroborated active match</x:v>
      </x:c>
      <x:c r="G526" t="n">
        <x:v>1</x:v>
      </x:c>
      <x:c r="H526" t="n">
        <x:v>2</x:v>
      </x:c>
      <x:c r="I526" t="str">
        <x:v>7442640</x:v>
      </x:c>
      <x:c r="J526" t="str">
        <x:v>JEFFERSON 198 LLC</x:v>
      </x:c>
      <x:c r="K526" s="55" t="n">
        <x:v>45580</x:v>
      </x:c>
      <x:c r="L526" t="str">
        <x:v>Nassau</x:v>
      </x:c>
      <x:c r="M526" t="str">
        <x:v>New York</x:v>
      </x:c>
      <x:c r="N526" t="str">
        <x:v>DOMESTIC LIMITED LIABILITY COMPANY</x:v>
      </x:c>
      <x:c r="O526" t="str">
        <x:v>Jefferson 198 LLC</x:v>
      </x:c>
      <x:c r="P526" t="str">
        <x:v>259 Ellen Pl, Jericho, NY, 11753</x:v>
      </x:c>
      <x:c r="Q526" t="str"/>
      <x:c r="R526" t="str"/>
      <x:c r="S526" t="str"/>
      <x:c r="T526" t="str"/>
      <x:c r="U526" t="str"/>
      <x:c r="V526" t="str"/>
      <x:c r="W526" t="str"/>
      <x:c r="X526" t="str"/>
      <x:c r="Y526" t="str">
        <x:v>https://data.ny.gov/Economic-Development/Active-Corporations-Beginning-1800/n9v6-gdp6</x:v>
      </x:c>
    </x:row>
    <x:row r="527">
      <x:c r="A527" t="str">
        <x:v>DOS-4-057</x:v>
      </x:c>
      <x:c r="B527" t="n">
        <x:v>4</x:v>
      </x:c>
      <x:c r="C527" t="str">
        <x:v>259 ELLEN PLACE, JERICHO, NY, 11753, US</x:v>
      </x:c>
      <x:c r="D527" t="str">
        <x:v>MARTIN 4031 LLC</x:v>
      </x:c>
      <x:c r="E527" t="str">
        <x:v>MARTIN 4031 LLC</x:v>
      </x:c>
      <x:c r="F527" t="str">
        <x:v>Address-corroborated active match</x:v>
      </x:c>
      <x:c r="G527" t="n">
        <x:v>1</x:v>
      </x:c>
      <x:c r="H527" t="n">
        <x:v>2</x:v>
      </x:c>
      <x:c r="I527" t="str">
        <x:v>6511243</x:v>
      </x:c>
      <x:c r="J527" t="str">
        <x:v>MARTIN 4031 LLC</x:v>
      </x:c>
      <x:c r="K527" s="55" t="n">
        <x:v>44726</x:v>
      </x:c>
      <x:c r="L527" t="str">
        <x:v>Nassau</x:v>
      </x:c>
      <x:c r="M527" t="str">
        <x:v>New York</x:v>
      </x:c>
      <x:c r="N527" t="str">
        <x:v>DOMESTIC LIMITED LIABILITY COMPANY</x:v>
      </x:c>
      <x:c r="O527" t="str">
        <x:v>Martin 4031 LLC</x:v>
      </x:c>
      <x:c r="P527" t="str">
        <x:v>259 Ellen Place, Jericho, NY, 11753</x:v>
      </x:c>
      <x:c r="Q527" t="str"/>
      <x:c r="R527" t="str"/>
      <x:c r="S527" t="str"/>
      <x:c r="T527" t="str"/>
      <x:c r="U527" t="str"/>
      <x:c r="V527" t="str"/>
      <x:c r="W527" t="str"/>
      <x:c r="X527" t="str"/>
      <x:c r="Y527" t="str">
        <x:v>https://data.ny.gov/Economic-Development/Active-Corporations-Beginning-1800/n9v6-gdp6</x:v>
      </x:c>
    </x:row>
    <x:row r="528">
      <x:c r="A528" t="str">
        <x:v>DOS-4-057</x:v>
      </x:c>
      <x:c r="B528" t="n">
        <x:v>4</x:v>
      </x:c>
      <x:c r="C528" t="str">
        <x:v>259 ELLEN PLACE, JERICHO, NY, 11753, US</x:v>
      </x:c>
      <x:c r="D528" t="str">
        <x:v>MARTIN 4141 LLC</x:v>
      </x:c>
      <x:c r="E528" t="str">
        <x:v>MARTIN 4141 LLC</x:v>
      </x:c>
      <x:c r="F528" t="str">
        <x:v>Address-corroborated active match</x:v>
      </x:c>
      <x:c r="G528" t="n">
        <x:v>1</x:v>
      </x:c>
      <x:c r="H528" t="n">
        <x:v>2</x:v>
      </x:c>
      <x:c r="I528" t="str">
        <x:v>6510272</x:v>
      </x:c>
      <x:c r="J528" t="str">
        <x:v>MARTIN 4141 LLC</x:v>
      </x:c>
      <x:c r="K528" s="55" t="n">
        <x:v>44725</x:v>
      </x:c>
      <x:c r="L528" t="str">
        <x:v>Nassau</x:v>
      </x:c>
      <x:c r="M528" t="str">
        <x:v>New York</x:v>
      </x:c>
      <x:c r="N528" t="str">
        <x:v>DOMESTIC LIMITED LIABILITY COMPANY</x:v>
      </x:c>
      <x:c r="O528" t="str">
        <x:v>Martin 4141 LLC</x:v>
      </x:c>
      <x:c r="P528" t="str">
        <x:v>259 Ellen Place, Jericho, NY, 11753</x:v>
      </x:c>
      <x:c r="Q528" t="str"/>
      <x:c r="R528" t="str"/>
      <x:c r="S528" t="str"/>
      <x:c r="T528" t="str"/>
      <x:c r="U528" t="str"/>
      <x:c r="V528" t="str"/>
      <x:c r="W528" t="str"/>
      <x:c r="X528" t="str"/>
      <x:c r="Y528" t="str">
        <x:v>https://data.ny.gov/Economic-Development/Active-Corporations-Beginning-1800/n9v6-gdp6</x:v>
      </x:c>
    </x:row>
    <x:row r="529">
      <x:c r="A529" t="str">
        <x:v>DOS-4-057</x:v>
      </x:c>
      <x:c r="B529" t="n">
        <x:v>4</x:v>
      </x:c>
      <x:c r="C529" t="str">
        <x:v>259 ELLEN PLACE, JERICHO, NY, 11753, US</x:v>
      </x:c>
      <x:c r="D529" t="str">
        <x:v>TRISTAN MARTIN 3745 LLC</x:v>
      </x:c>
      <x:c r="E529" t="str">
        <x:v>TRISTAN MARTIN 3745 LLC</x:v>
      </x:c>
      <x:c r="F529" t="str">
        <x:v>Address-corroborated active match</x:v>
      </x:c>
      <x:c r="G529" t="n">
        <x:v>1</x:v>
      </x:c>
      <x:c r="H529" t="n">
        <x:v>2</x:v>
      </x:c>
      <x:c r="I529" t="str">
        <x:v>6623335</x:v>
      </x:c>
      <x:c r="J529" t="str">
        <x:v>TRISTAN MARTIN 3745 LLC</x:v>
      </x:c>
      <x:c r="K529" s="55" t="n">
        <x:v>44859</x:v>
      </x:c>
      <x:c r="L529" t="str">
        <x:v>Nassau</x:v>
      </x:c>
      <x:c r="M529" t="str">
        <x:v>New York</x:v>
      </x:c>
      <x:c r="N529" t="str">
        <x:v>DOMESTIC LIMITED LIABILITY COMPANY</x:v>
      </x:c>
      <x:c r="O529" t="str">
        <x:v>Tristan Martin 3745 LLC</x:v>
      </x:c>
      <x:c r="P529" t="str">
        <x:v>259 Ellen Place, Jericho, NY, 11753</x:v>
      </x:c>
      <x:c r="Q529" t="str"/>
      <x:c r="R529" t="str"/>
      <x:c r="S529" t="str"/>
      <x:c r="T529" t="str"/>
      <x:c r="U529" t="str"/>
      <x:c r="V529" t="str"/>
      <x:c r="W529" t="str"/>
      <x:c r="X529" t="str"/>
      <x:c r="Y529" t="str">
        <x:v>https://data.ny.gov/Economic-Development/Active-Corporations-Beginning-1800/n9v6-gdp6</x:v>
      </x:c>
    </x:row>
    <x:row r="530">
      <x:c r="A530" t="str">
        <x:v>DOS-4-058</x:v>
      </x:c>
      <x:c r="B530" t="n">
        <x:v>4</x:v>
      </x:c>
      <x:c r="C530" t="str">
        <x:v>3 TALISMAN  COURT, DIX HILLS, NY, 11746, US | 3 TALISMAN COURT, DIX HILLS, NY, 11746, US</x:v>
      </x:c>
      <x:c r="D530" t="str">
        <x:v>FULTON MACDOUGAL MGMT LLC</x:v>
      </x:c>
      <x:c r="E530" t="str">
        <x:v>FULTON MACDOUGAL MGMT, LLC</x:v>
      </x:c>
      <x:c r="F530" t="str">
        <x:v>Address-corroborated active match</x:v>
      </x:c>
      <x:c r="G530" t="n">
        <x:v>1</x:v>
      </x:c>
      <x:c r="H530" t="n">
        <x:v>2</x:v>
      </x:c>
      <x:c r="I530" t="str">
        <x:v>3948794</x:v>
      </x:c>
      <x:c r="J530" t="str">
        <x:v>FULTON MACDOUGAL MGMT, LLC</x:v>
      </x:c>
      <x:c r="K530" s="55" t="n">
        <x:v>40310</x:v>
      </x:c>
      <x:c r="L530" t="str">
        <x:v>Suffolk</x:v>
      </x:c>
      <x:c r="M530" t="str">
        <x:v>New York</x:v>
      </x:c>
      <x:c r="N530" t="str">
        <x:v>DOMESTIC LIMITED LIABILITY COMPANY</x:v>
      </x:c>
      <x:c r="O530" t="str">
        <x:v>FULTON MACDOUGAL MGMT, LLC</x:v>
      </x:c>
      <x:c r="P530" t="str">
        <x:v>3 TALISMAN COURT, DIX HILLS, NY, 11746</x:v>
      </x:c>
      <x:c r="Q530" t="str"/>
      <x:c r="R530" t="str"/>
      <x:c r="S530" t="str"/>
      <x:c r="T530" t="str"/>
      <x:c r="U530" t="str"/>
      <x:c r="V530" t="str"/>
      <x:c r="W530" t="str"/>
      <x:c r="X530" t="str"/>
      <x:c r="Y530" t="str">
        <x:v>https://data.ny.gov/Economic-Development/Active-Corporations-Beginning-1800/n9v6-gdp6</x:v>
      </x:c>
    </x:row>
    <x:row r="531">
      <x:c r="A531" t="str">
        <x:v>DOS-4-058</x:v>
      </x:c>
      <x:c r="B531" t="n">
        <x:v>4</x:v>
      </x:c>
      <x:c r="C531" t="str">
        <x:v>3 TALISMAN  COURT, DIX HILLS, NY, 11746, US | 3 TALISMAN COURT, DIX HILLS, NY, 11746, US</x:v>
      </x:c>
      <x:c r="D531" t="str">
        <x:v>FULTON NAZIA MANAGEMENT LLC</x:v>
      </x:c>
      <x:c r="E531" t="str">
        <x:v>FULTON NAZIA MANAGEMENT LLC.</x:v>
      </x:c>
      <x:c r="F531" t="str">
        <x:v>Address-corroborated active match</x:v>
      </x:c>
      <x:c r="G531" t="n">
        <x:v>1</x:v>
      </x:c>
      <x:c r="H531" t="n">
        <x:v>2</x:v>
      </x:c>
      <x:c r="I531" t="str">
        <x:v>3812757</x:v>
      </x:c>
      <x:c r="J531" t="str">
        <x:v>FULTON NAZIA MANAGEMENT, LLC</x:v>
      </x:c>
      <x:c r="K531" s="55" t="n">
        <x:v>39953</x:v>
      </x:c>
      <x:c r="L531" t="str">
        <x:v>Kings</x:v>
      </x:c>
      <x:c r="M531" t="str">
        <x:v>New York</x:v>
      </x:c>
      <x:c r="N531" t="str">
        <x:v>DOMESTIC LIMITED LIABILITY COMPANY</x:v>
      </x:c>
      <x:c r="O531" t="str">
        <x:v>FULTON NAZIA MANAGEMENT, LLC</x:v>
      </x:c>
      <x:c r="P531" t="str">
        <x:v>3 TALISMAN COURT, DIX HILLS, NY, 11746</x:v>
      </x:c>
      <x:c r="Q531" t="str"/>
      <x:c r="R531" t="str"/>
      <x:c r="S531" t="str"/>
      <x:c r="T531" t="str"/>
      <x:c r="U531" t="str"/>
      <x:c r="V531" t="str"/>
      <x:c r="W531" t="str"/>
      <x:c r="X531" t="str"/>
      <x:c r="Y531" t="str">
        <x:v>https://data.ny.gov/Economic-Development/Active-Corporations-Beginning-1800/n9v6-gdp6</x:v>
      </x:c>
    </x:row>
    <x:row r="532">
      <x:c r="A532" t="str">
        <x:v>DOS-4-058</x:v>
      </x:c>
      <x:c r="B532" t="n">
        <x:v>4</x:v>
      </x:c>
      <x:c r="C532" t="str">
        <x:v>3 TALISMAN  COURT, DIX HILLS, NY, 11746, US | 3 TALISMAN COURT, DIX HILLS, NY, 11746, US</x:v>
      </x:c>
      <x:c r="D532" t="str">
        <x:v>MUN FULTON MNGMT LLC</x:v>
      </x:c>
      <x:c r="E532" t="str">
        <x:v>MUN FULTON MNGMT LLC</x:v>
      </x:c>
      <x:c r="F532" t="str">
        <x:v>Active name match</x:v>
      </x:c>
      <x:c r="G532" t="n">
        <x:v>1</x:v>
      </x:c>
      <x:c r="H532" t="n">
        <x:v>0</x:v>
      </x:c>
      <x:c r="I532" t="str">
        <x:v>5450236</x:v>
      </x:c>
      <x:c r="J532" t="str">
        <x:v>MUN FULTON MNGMT LLC</x:v>
      </x:c>
      <x:c r="K532" s="55" t="n">
        <x:v>43432</x:v>
      </x:c>
      <x:c r="L532" t="str">
        <x:v>Suffolk</x:v>
      </x:c>
      <x:c r="M532" t="str">
        <x:v>New York</x:v>
      </x:c>
      <x:c r="N532" t="str">
        <x:v>DOMESTIC LIMITED LIABILITY COMPANY</x:v>
      </x:c>
      <x:c r="O532" t="str">
        <x:v>MUN FULTON MNGMT LLC</x:v>
      </x:c>
      <x:c r="P532" t="str">
        <x:v>17 Macdougal St, Brooklyn, NY, 11233</x:v>
      </x:c>
      <x:c r="Q532" t="str"/>
      <x:c r="R532" t="str"/>
      <x:c r="S532" t="str">
        <x:v>ismail mohammed</x:v>
      </x:c>
      <x:c r="T532" t="str">
        <x:v>17 macdougal st, BROOKLYN, NEW YORK, 11233</x:v>
      </x:c>
      <x:c r="U532" t="str"/>
      <x:c r="V532" t="str"/>
      <x:c r="W532" t="str"/>
      <x:c r="X532" t="str"/>
      <x:c r="Y532" t="str">
        <x:v>https://data.ny.gov/Economic-Development/Active-Corporations-Beginning-1800/n9v6-gdp6</x:v>
      </x:c>
    </x:row>
    <x:row r="533">
      <x:c r="A533" t="str">
        <x:v>DOS-4-058</x:v>
      </x:c>
      <x:c r="B533" t="n">
        <x:v>4</x:v>
      </x:c>
      <x:c r="C533" t="str">
        <x:v>3 TALISMAN  COURT, DIX HILLS, NY, 11746, US | 3 TALISMAN COURT, DIX HILLS, NY, 11746, US</x:v>
      </x:c>
      <x:c r="D533" t="str">
        <x:v>UROOB EQUITY LLC</x:v>
      </x:c>
      <x:c r="E533" t="str">
        <x:v>UROOB EQUITY LLC</x:v>
      </x:c>
      <x:c r="F533" t="str">
        <x:v>Active name match</x:v>
      </x:c>
      <x:c r="G533" t="n">
        <x:v>1</x:v>
      </x:c>
      <x:c r="H533" t="n">
        <x:v>1</x:v>
      </x:c>
      <x:c r="I533" t="str">
        <x:v>5402571</x:v>
      </x:c>
      <x:c r="J533" t="str">
        <x:v>UROOB EQUITY LLC</x:v>
      </x:c>
      <x:c r="K533" s="55" t="n">
        <x:v>43342</x:v>
      </x:c>
      <x:c r="L533" t="str">
        <x:v>Suffolk</x:v>
      </x:c>
      <x:c r="M533" t="str">
        <x:v>New York</x:v>
      </x:c>
      <x:c r="N533" t="str">
        <x:v>DOMESTIC LIMITED LIABILITY COMPANY</x:v>
      </x:c>
      <x:c r="O533" t="str">
        <x:v>UROOB EQUITY LLC</x:v>
      </x:c>
      <x:c r="P533" t="str">
        <x:v>3 TALISMAN CT, DIX HILLS, NY, 11746</x:v>
      </x:c>
      <x:c r="Q533" t="str"/>
      <x:c r="R533" t="str"/>
      <x:c r="S533" t="str"/>
      <x:c r="T533" t="str"/>
      <x:c r="U533" t="str"/>
      <x:c r="V533" t="str"/>
      <x:c r="W533" t="str"/>
      <x:c r="X533" t="str"/>
      <x:c r="Y533" t="str">
        <x:v>https://data.ny.gov/Economic-Development/Active-Corporations-Beginning-1800/n9v6-gdp6</x:v>
      </x:c>
    </x:row>
    <x:row r="534">
      <x:c r="A534" t="str">
        <x:v>DOS-4-059</x:v>
      </x:c>
      <x:c r="B534" t="n">
        <x:v>4</x:v>
      </x:c>
      <x:c r="C534" t="str">
        <x:v>330 EAST 38TH STREET, NEW YORK, NY, 10016, US</x:v>
      </x:c>
      <x:c r="D534" t="str">
        <x:v>CCFF REALTY LLC</x:v>
      </x:c>
      <x:c r="E534" t="str">
        <x:v>CCFF REALTY, LLC</x:v>
      </x:c>
      <x:c r="F534" t="str">
        <x:v>Active name match</x:v>
      </x:c>
      <x:c r="G534" t="n">
        <x:v>1</x:v>
      </x:c>
      <x:c r="H534" t="n">
        <x:v>0</x:v>
      </x:c>
      <x:c r="I534" t="str">
        <x:v>5457538</x:v>
      </x:c>
      <x:c r="J534" t="str">
        <x:v>CCFF REALTY, LLC</x:v>
      </x:c>
      <x:c r="K534" s="55" t="n">
        <x:v>43446</x:v>
      </x:c>
      <x:c r="L534" t="str">
        <x:v>Richmond</x:v>
      </x:c>
      <x:c r="M534" t="str">
        <x:v>New York</x:v>
      </x:c>
      <x:c r="N534" t="str">
        <x:v>DOMESTIC LIMITED LIABILITY COMPANY</x:v>
      </x:c>
      <x:c r="O534" t="str">
        <x:v>C/O FARZAD FAKHERI</x:v>
      </x:c>
      <x:c r="P534" t="str">
        <x:v>11 RALPH PLACE, Suite 106, Staten Island, NY, 10304</x:v>
      </x:c>
      <x:c r="Q534" t="str"/>
      <x:c r="R534" t="str"/>
      <x:c r="S534" t="str"/>
      <x:c r="T534" t="str"/>
      <x:c r="U534" t="str"/>
      <x:c r="V534" t="str"/>
      <x:c r="W534" t="str"/>
      <x:c r="X534" t="str"/>
      <x:c r="Y534" t="str">
        <x:v>https://data.ny.gov/Economic-Development/Active-Corporations-Beginning-1800/n9v6-gdp6</x:v>
      </x:c>
    </x:row>
    <x:row r="535">
      <x:c r="A535" t="str">
        <x:v>DOS-4-059</x:v>
      </x:c>
      <x:c r="B535" t="n">
        <x:v>4</x:v>
      </x:c>
      <x:c r="C535" t="str">
        <x:v>330 EAST 38TH STREET, NEW YORK, NY, 10016, US</x:v>
      </x:c>
      <x:c r="D535" t="str">
        <x:v>HIGH RISE VENTURES LLC</x:v>
      </x:c>
      <x:c r="E535" t="str">
        <x:v>HIGH RISE VENTURES, LLC</x:v>
      </x:c>
      <x:c r="F535" t="str">
        <x:v>Address-corroborated active match</x:v>
      </x:c>
      <x:c r="G535" t="n">
        <x:v>1</x:v>
      </x:c>
      <x:c r="H535" t="n">
        <x:v>2</x:v>
      </x:c>
      <x:c r="I535" t="str">
        <x:v>4239410</x:v>
      </x:c>
      <x:c r="J535" t="str">
        <x:v>HIGH RISE VENTURES, LLC</x:v>
      </x:c>
      <x:c r="K535" s="55" t="n">
        <x:v>41031</x:v>
      </x:c>
      <x:c r="L535" t="str">
        <x:v>New York</x:v>
      </x:c>
      <x:c r="M535" t="str">
        <x:v>New York</x:v>
      </x:c>
      <x:c r="N535" t="str">
        <x:v>DOMESTIC LIMITED LIABILITY COMPANY</x:v>
      </x:c>
      <x:c r="O535" t="str">
        <x:v>PARASCHOS ALEXANDRIDIS</x:v>
      </x:c>
      <x:c r="P535" t="str">
        <x:v>330 EAST 38TH STREET, UNIT PHA, NEW YORK, NY, 10016</x:v>
      </x:c>
      <x:c r="Q535" t="str"/>
      <x:c r="R535" t="str"/>
      <x:c r="S535" t="str"/>
      <x:c r="T535" t="str"/>
      <x:c r="U535" t="str"/>
      <x:c r="V535" t="str"/>
      <x:c r="W535" t="str"/>
      <x:c r="X535" t="str"/>
      <x:c r="Y535" t="str">
        <x:v>https://data.ny.gov/Economic-Development/Active-Corporations-Beginning-1800/n9v6-gdp6</x:v>
      </x:c>
    </x:row>
    <x:row r="536">
      <x:c r="A536" t="str">
        <x:v>DOS-4-059</x:v>
      </x:c>
      <x:c r="B536" t="n">
        <x:v>4</x:v>
      </x:c>
      <x:c r="C536" t="str">
        <x:v>330 EAST 38TH STREET, NEW YORK, NY, 10016, US</x:v>
      </x:c>
      <x:c r="D536" t="str">
        <x:v>JERU265 LLC</x:v>
      </x:c>
      <x:c r="E536" t="str">
        <x:v>JERU265 LLC</x:v>
      </x:c>
      <x:c r="F536" t="str">
        <x:v>Active name match</x:v>
      </x:c>
      <x:c r="G536" t="n">
        <x:v>1</x:v>
      </x:c>
      <x:c r="H536" t="n">
        <x:v>0</x:v>
      </x:c>
      <x:c r="I536" t="str">
        <x:v>5361443</x:v>
      </x:c>
      <x:c r="J536" t="str">
        <x:v>JERU265 LLC</x:v>
      </x:c>
      <x:c r="K536" s="55" t="n">
        <x:v>43270</x:v>
      </x:c>
      <x:c r="L536" t="str">
        <x:v>Albany</x:v>
      </x:c>
      <x:c r="M536" t="str">
        <x:v>Illinois</x:v>
      </x:c>
      <x:c r="N536" t="str">
        <x:v>FOREIGN LIMITED LIABILITY COMPANY</x:v>
      </x:c>
      <x:c r="O536" t="str">
        <x:v>REGISTERED AGENTS INC.</x:v>
      </x:c>
      <x:c r="P536" t="str">
        <x:v>418 BROADWAY, STE R, ALBANY, NY, 12207</x:v>
      </x:c>
      <x:c r="Q536" t="str"/>
      <x:c r="R536" t="str"/>
      <x:c r="S536" t="str"/>
      <x:c r="T536" t="str"/>
      <x:c r="U536" t="str"/>
      <x:c r="V536" t="str"/>
      <x:c r="W536" t="str"/>
      <x:c r="X536" t="str"/>
      <x:c r="Y536" t="str">
        <x:v>https://data.ny.gov/Economic-Development/Active-Corporations-Beginning-1800/n9v6-gdp6</x:v>
      </x:c>
    </x:row>
    <x:row r="537">
      <x:c r="A537" t="str">
        <x:v>DOS-4-059</x:v>
      </x:c>
      <x:c r="B537" t="n">
        <x:v>4</x:v>
      </x:c>
      <x:c r="C537" t="str">
        <x:v>330 EAST 38TH STREET, NEW YORK, NY, 10016, US</x:v>
      </x:c>
      <x:c r="D537" t="str">
        <x:v>P A VENTURES LLC</x:v>
      </x:c>
      <x:c r="E537" t="str">
        <x:v>P.A. VENTURES, LLC</x:v>
      </x:c>
      <x:c r="F537" t="str">
        <x:v>Address-corroborated active match</x:v>
      </x:c>
      <x:c r="G537" t="n">
        <x:v>1</x:v>
      </x:c>
      <x:c r="H537" t="n">
        <x:v>2</x:v>
      </x:c>
      <x:c r="I537" t="str">
        <x:v>4258046</x:v>
      </x:c>
      <x:c r="J537" t="str">
        <x:v>P.A. VENTURES, LLC</x:v>
      </x:c>
      <x:c r="K537" s="55" t="n">
        <x:v>41073</x:v>
      </x:c>
      <x:c r="L537" t="str">
        <x:v>New York</x:v>
      </x:c>
      <x:c r="M537" t="str">
        <x:v>New York</x:v>
      </x:c>
      <x:c r="N537" t="str">
        <x:v>DOMESTIC LIMITED LIABILITY COMPANY</x:v>
      </x:c>
      <x:c r="O537" t="str">
        <x:v>P.A. VENTURES, LLC</x:v>
      </x:c>
      <x:c r="P537" t="str">
        <x:v>330 EAST 38TH STREET, APT 57A, NEW YORK, NY, 10016</x:v>
      </x:c>
      <x:c r="Q537" t="str"/>
      <x:c r="R537" t="str"/>
      <x:c r="S537" t="str"/>
      <x:c r="T537" t="str"/>
      <x:c r="U537" t="str"/>
      <x:c r="V537" t="str"/>
      <x:c r="W537" t="str"/>
      <x:c r="X537" t="str"/>
      <x:c r="Y537" t="str">
        <x:v>https://data.ny.gov/Economic-Development/Active-Corporations-Beginning-1800/n9v6-gdp6</x:v>
      </x:c>
    </x:row>
    <x:row r="538">
      <x:c r="A538" t="str">
        <x:v>DOS-4-060</x:v>
      </x:c>
      <x:c r="B538" t="n">
        <x:v>4</x:v>
      </x:c>
      <x:c r="C538" t="str">
        <x:v>3347 MICHELSON DRIVE, SUITE 200, IRVINE, CA, 92612, US</x:v>
      </x:c>
      <x:c r="D538" t="str">
        <x:v>659 COURT STREET LLC</x:v>
      </x:c>
      <x:c r="E538" t="str">
        <x:v>659 COURT STREET, LLC</x:v>
      </x:c>
      <x:c r="F538" t="str">
        <x:v>Active name match</x:v>
      </x:c>
      <x:c r="G538" t="n">
        <x:v>1</x:v>
      </x:c>
      <x:c r="H538" t="n">
        <x:v>0</x:v>
      </x:c>
      <x:c r="I538" t="str">
        <x:v>7550941</x:v>
      </x:c>
      <x:c r="J538" t="str">
        <x:v>659 COURT STREET, LLC</x:v>
      </x:c>
      <x:c r="K538" s="55" t="n">
        <x:v>45721</x:v>
      </x:c>
      <x:c r="L538" t="str">
        <x:v>Kings</x:v>
      </x:c>
      <x:c r="M538" t="str">
        <x:v>Delaware</x:v>
      </x:c>
      <x:c r="N538" t="str">
        <x:v>FOREIGN LIMITED LIABILITY COMPANY</x:v>
      </x:c>
      <x:c r="O538" t="str">
        <x:v>c/o NATIONAL REGISTERED AGENTS, INC.</x:v>
      </x:c>
      <x:c r="P538" t="str">
        <x:v>28 LIBERTY STREET, NEW YORK, NY, 10005</x:v>
      </x:c>
      <x:c r="Q538" t="str"/>
      <x:c r="R538" t="str"/>
      <x:c r="S538" t="str">
        <x:v>NATIONAL REGISTERED AGENTS, INC.</x:v>
      </x:c>
      <x:c r="T538" t="str">
        <x:v>28 LIBERTY STREET, NEW YORK, NEW YORK, 10005</x:v>
      </x:c>
      <x:c r="U538" t="str"/>
      <x:c r="V538" t="str"/>
      <x:c r="W538" t="str"/>
      <x:c r="X538" t="str"/>
      <x:c r="Y538" t="str">
        <x:v>https://data.ny.gov/Economic-Development/Active-Corporations-Beginning-1800/n9v6-gdp6</x:v>
      </x:c>
    </x:row>
    <x:row r="539">
      <x:c r="A539" t="str">
        <x:v>DOS-4-060</x:v>
      </x:c>
      <x:c r="B539" t="n">
        <x:v>4</x:v>
      </x:c>
      <x:c r="C539" t="str">
        <x:v>3347 MICHELSON DRIVE, SUITE 200, IRVINE, CA, 92612, US</x:v>
      </x:c>
      <x:c r="D539" t="str">
        <x:v>845 E 136TH ST LLC</x:v>
      </x:c>
      <x:c r="E539" t="str">
        <x:v>845 E 136TH ST, LLC</x:v>
      </x:c>
      <x:c r="F539" t="str">
        <x:v>Active name match</x:v>
      </x:c>
      <x:c r="G539" t="n">
        <x:v>1</x:v>
      </x:c>
      <x:c r="H539" t="n">
        <x:v>0</x:v>
      </x:c>
      <x:c r="I539" t="str">
        <x:v>7779889</x:v>
      </x:c>
      <x:c r="J539" t="str">
        <x:v>845 E 136TH ST, LLC</x:v>
      </x:c>
      <x:c r="K539" s="55" t="n">
        <x:v>46001</x:v>
      </x:c>
      <x:c r="L539" t="str">
        <x:v>Kings</x:v>
      </x:c>
      <x:c r="M539" t="str">
        <x:v>Delaware</x:v>
      </x:c>
      <x:c r="N539" t="str">
        <x:v>FOREIGN LIMITED LIABILITY COMPANY</x:v>
      </x:c>
      <x:c r="O539" t="str">
        <x:v>c/o NATIONAL REGISTERED AGENTS, INC.</x:v>
      </x:c>
      <x:c r="P539" t="str">
        <x:v>28 LIBERTY STreet, NEW YORK, NY, 10005</x:v>
      </x:c>
      <x:c r="Q539" t="str"/>
      <x:c r="R539" t="str"/>
      <x:c r="S539" t="str">
        <x:v>NATIONAL REGISTERED AGENTS INC.</x:v>
      </x:c>
      <x:c r="T539" t="str">
        <x:v>28 LIBERTY STREET, NEW YORK, NEW YORK, 10005</x:v>
      </x:c>
      <x:c r="U539" t="str"/>
      <x:c r="V539" t="str"/>
      <x:c r="W539" t="str"/>
      <x:c r="X539" t="str"/>
      <x:c r="Y539" t="str">
        <x:v>https://data.ny.gov/Economic-Development/Active-Corporations-Beginning-1800/n9v6-gdp6</x:v>
      </x:c>
    </x:row>
    <x:row r="540">
      <x:c r="A540" t="str">
        <x:v>DOS-4-060</x:v>
      </x:c>
      <x:c r="B540" t="n">
        <x:v>4</x:v>
      </x:c>
      <x:c r="C540" t="str">
        <x:v>3347 MICHELSON DRIVE, SUITE 200, IRVINE, CA, 92612, US</x:v>
      </x:c>
      <x:c r="D540" t="str">
        <x:v>RXR LBA RED HOOK COURT STREET OWNER LLC</x:v>
      </x:c>
      <x:c r="E540" t="str">
        <x:v>RXR-LBA RED HOOK COURT STREET OWNER LLC</x:v>
      </x:c>
      <x:c r="F540" t="str">
        <x:v>Active name match</x:v>
      </x:c>
      <x:c r="G540" t="n">
        <x:v>1</x:v>
      </x:c>
      <x:c r="H540" t="n">
        <x:v>0</x:v>
      </x:c>
      <x:c r="I540" t="str">
        <x:v>6340557</x:v>
      </x:c>
      <x:c r="J540" t="str">
        <x:v>RXR-LBA RED HOOK COURT STREET OWNER LLC</x:v>
      </x:c>
      <x:c r="K540" s="55" t="n">
        <x:v>44532</x:v>
      </x:c>
      <x:c r="L540" t="str">
        <x:v>Nassau</x:v>
      </x:c>
      <x:c r="M540" t="str">
        <x:v>Delaware</x:v>
      </x:c>
      <x:c r="N540" t="str">
        <x:v>FOREIGN LIMITED LIABILITY COMPANY</x:v>
      </x:c>
      <x:c r="O540" t="str">
        <x:v>C/O C T CORPORATION SYSTEM</x:v>
      </x:c>
      <x:c r="P540" t="str">
        <x:v>28 LIBERTY STREET, NEW YORK, NY, 10005</x:v>
      </x:c>
      <x:c r="Q540" t="str"/>
      <x:c r="R540" t="str"/>
      <x:c r="S540" t="str">
        <x:v>C T CORPORATION SYSTEM</x:v>
      </x:c>
      <x:c r="T540" t="str">
        <x:v>28 LIBERTY STREET, NEW YORK, NEW YORK, 10005</x:v>
      </x:c>
      <x:c r="U540" t="str"/>
      <x:c r="V540" t="str"/>
      <x:c r="W540" t="str"/>
      <x:c r="X540" t="str"/>
      <x:c r="Y540" t="str">
        <x:v>https://data.ny.gov/Economic-Development/Active-Corporations-Beginning-1800/n9v6-gdp6</x:v>
      </x:c>
    </x:row>
    <x:row r="541">
      <x:c r="A541" t="str">
        <x:v>DOS-4-060</x:v>
      </x:c>
      <x:c r="B541" t="n">
        <x:v>4</x:v>
      </x:c>
      <x:c r="C541" t="str">
        <x:v>3347 MICHELSON DRIVE, SUITE 200, IRVINE, CA, 92612, US</x:v>
      </x:c>
      <x:c r="D541" t="str">
        <x:v>RXR LBA RED HOOK OWNER LLC</x:v>
      </x:c>
      <x:c r="E541" t="str">
        <x:v>RXR-LBA RED HOOK OWNER LLC</x:v>
      </x:c>
      <x:c r="F541" t="str">
        <x:v>Active name match</x:v>
      </x:c>
      <x:c r="G541" t="n">
        <x:v>1</x:v>
      </x:c>
      <x:c r="H541" t="n">
        <x:v>0</x:v>
      </x:c>
      <x:c r="I541" t="str">
        <x:v>6294275</x:v>
      </x:c>
      <x:c r="J541" t="str">
        <x:v>RXR-LBA RED HOOK OWNER LLC</x:v>
      </x:c>
      <x:c r="K541" s="55" t="n">
        <x:v>44470</x:v>
      </x:c>
      <x:c r="L541" t="str">
        <x:v>Nassau</x:v>
      </x:c>
      <x:c r="M541" t="str">
        <x:v>Delaware</x:v>
      </x:c>
      <x:c r="N541" t="str">
        <x:v>FOREIGN LIMITED LIABILITY COMPANY</x:v>
      </x:c>
      <x:c r="O541" t="str">
        <x:v>C/O C T CORPORATION SYSTEM</x:v>
      </x:c>
      <x:c r="P541" t="str">
        <x:v>28 LIBERTY STREET, NEW YORK, NY, 10005</x:v>
      </x:c>
      <x:c r="Q541" t="str"/>
      <x:c r="R541" t="str"/>
      <x:c r="S541" t="str">
        <x:v>C T CORPORATION SYSTEM</x:v>
      </x:c>
      <x:c r="T541" t="str">
        <x:v>28 LIBERTY STREET, NEW YORK, NEW YORK, 10005</x:v>
      </x:c>
      <x:c r="U541" t="str"/>
      <x:c r="V541" t="str"/>
      <x:c r="W541" t="str"/>
      <x:c r="X541" t="str"/>
      <x:c r="Y541" t="str">
        <x:v>https://data.ny.gov/Economic-Development/Active-Corporations-Beginning-1800/n9v6-gdp6</x:v>
      </x:c>
    </x:row>
    <x:row r="542">
      <x:c r="A542" t="str">
        <x:v>DOS-4-061</x:v>
      </x:c>
      <x:c r="B542" t="n">
        <x:v>4</x:v>
      </x:c>
      <x:c r="C542" t="str">
        <x:v>378 AVENUE P, BROOKLYN, NY, 11204, US</x:v>
      </x:c>
      <x:c r="D542" t="str">
        <x:v>EXXIG REALTY LLC</x:v>
      </x:c>
      <x:c r="E542" t="str">
        <x:v>EXXIG REALTY, L.L.C.</x:v>
      </x:c>
      <x:c r="F542" t="str">
        <x:v>Address-corroborated active match</x:v>
      </x:c>
      <x:c r="G542" t="n">
        <x:v>1</x:v>
      </x:c>
      <x:c r="H542" t="n">
        <x:v>2</x:v>
      </x:c>
      <x:c r="I542" t="str">
        <x:v>3510008</x:v>
      </x:c>
      <x:c r="J542" t="str">
        <x:v>EXXIG REALTY, L.L.C.</x:v>
      </x:c>
      <x:c r="K542" s="55" t="n">
        <x:v>39202</x:v>
      </x:c>
      <x:c r="L542" t="str">
        <x:v>Kings</x:v>
      </x:c>
      <x:c r="M542" t="str">
        <x:v>New York</x:v>
      </x:c>
      <x:c r="N542" t="str">
        <x:v>DOMESTIC LIMITED LIABILITY COMPANY</x:v>
      </x:c>
      <x:c r="O542" t="str">
        <x:v>EXXIG REALTY LLC</x:v>
      </x:c>
      <x:c r="P542" t="str">
        <x:v>378 AVENUE P, BROOKLYN, NY, 11204</x:v>
      </x:c>
      <x:c r="Q542" t="str"/>
      <x:c r="R542" t="str"/>
      <x:c r="S542" t="str">
        <x:v>STEVE RAPTIS</x:v>
      </x:c>
      <x:c r="T542" t="str">
        <x:v>378 AVENUE P, BROOKLYN, NEW YORK, 11204</x:v>
      </x:c>
      <x:c r="U542" t="str"/>
      <x:c r="V542" t="str"/>
      <x:c r="W542" t="str"/>
      <x:c r="X542" t="str"/>
      <x:c r="Y542" t="str">
        <x:v>https://data.ny.gov/Economic-Development/Active-Corporations-Beginning-1800/n9v6-gdp6</x:v>
      </x:c>
    </x:row>
    <x:row r="543">
      <x:c r="A543" t="str">
        <x:v>DOS-4-061</x:v>
      </x:c>
      <x:c r="B543" t="n">
        <x:v>4</x:v>
      </x:c>
      <x:c r="C543" t="str">
        <x:v>378 AVENUE P, BROOKLYN, NY, 11204, US</x:v>
      </x:c>
      <x:c r="D543" t="str">
        <x:v>LEVENDIS REALTY LLC</x:v>
      </x:c>
      <x:c r="E543" t="str">
        <x:v>LEVENDIS REALTY, LLC</x:v>
      </x:c>
      <x:c r="F543" t="str">
        <x:v>No active DOS match</x:v>
      </x:c>
      <x:c r="G543" t="n">
        <x:v>0</x:v>
      </x:c>
      <x:c r="H543" t="n">
        <x:v>0</x:v>
      </x:c>
      <x:c r="I543" t="str"/>
      <x:c r="J543" t="str"/>
      <x:c r="K543" s="55" t="str"/>
      <x:c r="L543" t="str"/>
      <x:c r="M543" t="str"/>
      <x:c r="N543" t="str"/>
      <x:c r="O543" t="str"/>
      <x:c r="P543" t="str"/>
      <x:c r="Q543" t="str"/>
      <x:c r="R543" t="str"/>
      <x:c r="S543" t="str"/>
      <x:c r="T543" t="str"/>
      <x:c r="U543" t="str"/>
      <x:c r="V543" t="str"/>
      <x:c r="W543" t="str"/>
      <x:c r="X543" t="str"/>
      <x:c r="Y543" t="str">
        <x:v>https://data.ny.gov/Economic-Development/Active-Corporations-Beginning-1800/n9v6-gdp6</x:v>
      </x:c>
    </x:row>
    <x:row r="544">
      <x:c r="A544" t="str">
        <x:v>DOS-4-061</x:v>
      </x:c>
      <x:c r="B544" t="n">
        <x:v>4</x:v>
      </x:c>
      <x:c r="C544" t="str">
        <x:v>378 AVENUE P, BROOKLYN, NY, 11204, US</x:v>
      </x:c>
      <x:c r="D544" t="str">
        <x:v>SAXXESS REALTY LLC</x:v>
      </x:c>
      <x:c r="E544" t="str">
        <x:v>SAXXESS REALTY, LLC</x:v>
      </x:c>
      <x:c r="F544" t="str">
        <x:v>Address-corroborated active match</x:v>
      </x:c>
      <x:c r="G544" t="n">
        <x:v>1</x:v>
      </x:c>
      <x:c r="H544" t="n">
        <x:v>2</x:v>
      </x:c>
      <x:c r="I544" t="str">
        <x:v>3598151</x:v>
      </x:c>
      <x:c r="J544" t="str">
        <x:v>SAXXESS REALTY, L.L.C.</x:v>
      </x:c>
      <x:c r="K544" s="55" t="n">
        <x:v>39414</x:v>
      </x:c>
      <x:c r="L544" t="str">
        <x:v>Kings</x:v>
      </x:c>
      <x:c r="M544" t="str">
        <x:v>New York</x:v>
      </x:c>
      <x:c r="N544" t="str">
        <x:v>DOMESTIC LIMITED LIABILITY COMPANY</x:v>
      </x:c>
      <x:c r="O544" t="str">
        <x:v>SAXXESS REALTY LLC</x:v>
      </x:c>
      <x:c r="P544" t="str">
        <x:v>378 AVENUE P, 378 AVENUE P, BROOKLYN, NY, 11204</x:v>
      </x:c>
      <x:c r="Q544" t="str"/>
      <x:c r="R544" t="str"/>
      <x:c r="S544" t="str">
        <x:v>STEVE RAPTIS</x:v>
      </x:c>
      <x:c r="T544" t="str">
        <x:v>378 AVENUE P, BROOKLYN, NEW YORK, 11204</x:v>
      </x:c>
      <x:c r="U544" t="str"/>
      <x:c r="V544" t="str"/>
      <x:c r="W544" t="str"/>
      <x:c r="X544" t="str"/>
      <x:c r="Y544" t="str">
        <x:v>https://data.ny.gov/Economic-Development/Active-Corporations-Beginning-1800/n9v6-gdp6</x:v>
      </x:c>
    </x:row>
    <x:row r="545">
      <x:c r="A545" t="str">
        <x:v>DOS-4-061</x:v>
      </x:c>
      <x:c r="B545" t="n">
        <x:v>4</x:v>
      </x:c>
      <x:c r="C545" t="str">
        <x:v>378 AVENUE P, BROOKLYN, NY, 11204, US</x:v>
      </x:c>
      <x:c r="D545" t="str">
        <x:v>XESAG REALTY LLC</x:v>
      </x:c>
      <x:c r="E545" t="str">
        <x:v>XESAG REALTY, LLC</x:v>
      </x:c>
      <x:c r="F545" t="str">
        <x:v>Address-corroborated active match</x:v>
      </x:c>
      <x:c r="G545" t="n">
        <x:v>1</x:v>
      </x:c>
      <x:c r="H545" t="n">
        <x:v>2</x:v>
      </x:c>
      <x:c r="I545" t="str">
        <x:v>3510007</x:v>
      </x:c>
      <x:c r="J545" t="str">
        <x:v>XESAG REALTY, L.L.C.</x:v>
      </x:c>
      <x:c r="K545" s="55" t="n">
        <x:v>39202</x:v>
      </x:c>
      <x:c r="L545" t="str">
        <x:v>Kings</x:v>
      </x:c>
      <x:c r="M545" t="str">
        <x:v>New York</x:v>
      </x:c>
      <x:c r="N545" t="str">
        <x:v>DOMESTIC LIMITED LIABILITY COMPANY</x:v>
      </x:c>
      <x:c r="O545" t="str">
        <x:v>XESAG REALTY LLC</x:v>
      </x:c>
      <x:c r="P545" t="str">
        <x:v>378 AVENUE P, BROOKLYN, NY, 11204</x:v>
      </x:c>
      <x:c r="Q545" t="str"/>
      <x:c r="R545" t="str"/>
      <x:c r="S545" t="str">
        <x:v>STEVE RAPTIS</x:v>
      </x:c>
      <x:c r="T545" t="str">
        <x:v>378 AVENUE P, BROOKLYN, NEW YORK, 11204</x:v>
      </x:c>
      <x:c r="U545" t="str"/>
      <x:c r="V545" t="str"/>
      <x:c r="W545" t="str"/>
      <x:c r="X545" t="str"/>
      <x:c r="Y545" t="str">
        <x:v>https://data.ny.gov/Economic-Development/Active-Corporations-Beginning-1800/n9v6-gdp6</x:v>
      </x:c>
    </x:row>
    <x:row r="546">
      <x:c r="A546" t="str">
        <x:v>DOS-4-062</x:v>
      </x:c>
      <x:c r="B546" t="n">
        <x:v>4</x:v>
      </x:c>
      <x:c r="C546" t="str">
        <x:v>401 GREENWICH STREET, NEW YORK, NY, 10013, US</x:v>
      </x:c>
      <x:c r="D546" t="str">
        <x:v>INFINITY AND BEYOND LLC</x:v>
      </x:c>
      <x:c r="E546" t="str">
        <x:v>INFINITY AND BEYOND LLC</x:v>
      </x:c>
      <x:c r="F546" t="str">
        <x:v>Active name match</x:v>
      </x:c>
      <x:c r="G546" t="n">
        <x:v>1</x:v>
      </x:c>
      <x:c r="H546" t="n">
        <x:v>0</x:v>
      </x:c>
      <x:c r="I546" t="str">
        <x:v>4874821</x:v>
      </x:c>
      <x:c r="J546" t="str">
        <x:v>INFINITY AND BEYOND LLC</x:v>
      </x:c>
      <x:c r="K546" s="55" t="n">
        <x:v>42376</x:v>
      </x:c>
      <x:c r="L546" t="str">
        <x:v>Albany</x:v>
      </x:c>
      <x:c r="M546" t="str">
        <x:v>New York</x:v>
      </x:c>
      <x:c r="N546" t="str">
        <x:v>DOMESTIC LIMITED LIABILITY COMPANY</x:v>
      </x:c>
      <x:c r="O546" t="str">
        <x:v>ALLSTATE CORPORATE SERVICES CORP.</x:v>
      </x:c>
      <x:c r="P546" t="str">
        <x:v>99 WASHINGTON AVE, SUITE 1008, ALBANY, NY, 12260</x:v>
      </x:c>
      <x:c r="Q546" t="str"/>
      <x:c r="R546" t="str"/>
      <x:c r="S546" t="str"/>
      <x:c r="T546" t="str"/>
      <x:c r="U546" t="str"/>
      <x:c r="V546" t="str"/>
      <x:c r="W546" t="str"/>
      <x:c r="X546" t="str"/>
      <x:c r="Y546" t="str">
        <x:v>https://data.ny.gov/Economic-Development/Active-Corporations-Beginning-1800/n9v6-gdp6</x:v>
      </x:c>
    </x:row>
    <x:row r="547">
      <x:c r="A547" t="str">
        <x:v>DOS-4-062</x:v>
      </x:c>
      <x:c r="B547" t="n">
        <x:v>4</x:v>
      </x:c>
      <x:c r="C547" t="str">
        <x:v>401 GREENWICH STREET, NEW YORK, NY, 10013, US</x:v>
      </x:c>
      <x:c r="D547" t="str">
        <x:v>INTER DIMENSION LLC</x:v>
      </x:c>
      <x:c r="E547" t="str">
        <x:v>INTER DIMENSION LLC</x:v>
      </x:c>
      <x:c r="F547" t="str">
        <x:v>Address-corroborated active match</x:v>
      </x:c>
      <x:c r="G547" t="n">
        <x:v>1</x:v>
      </x:c>
      <x:c r="H547" t="n">
        <x:v>2</x:v>
      </x:c>
      <x:c r="I547" t="str">
        <x:v>4318946</x:v>
      </x:c>
      <x:c r="J547" t="str">
        <x:v>INTER DIMENSION LLC</x:v>
      </x:c>
      <x:c r="K547" s="55" t="n">
        <x:v>41226</x:v>
      </x:c>
      <x:c r="L547" t="str">
        <x:v>New York</x:v>
      </x:c>
      <x:c r="M547" t="str">
        <x:v>New York</x:v>
      </x:c>
      <x:c r="N547" t="str">
        <x:v>DOMESTIC LIMITED LIABILITY COMPANY</x:v>
      </x:c>
      <x:c r="O547" t="str">
        <x:v>INTER DIMENSION LLC</x:v>
      </x:c>
      <x:c r="P547" t="str">
        <x:v>401 GREENWICH STREET, NEW YORK, NY, 10013</x:v>
      </x:c>
      <x:c r="Q547" t="str"/>
      <x:c r="R547" t="str"/>
      <x:c r="S547" t="str"/>
      <x:c r="T547" t="str"/>
      <x:c r="U547" t="str"/>
      <x:c r="V547" t="str"/>
      <x:c r="W547" t="str"/>
      <x:c r="X547" t="str"/>
      <x:c r="Y547" t="str">
        <x:v>https://data.ny.gov/Economic-Development/Active-Corporations-Beginning-1800/n9v6-gdp6</x:v>
      </x:c>
    </x:row>
    <x:row r="548">
      <x:c r="A548" t="str">
        <x:v>DOS-4-062</x:v>
      </x:c>
      <x:c r="B548" t="n">
        <x:v>4</x:v>
      </x:c>
      <x:c r="C548" t="str">
        <x:v>401 GREENWICH STREET, NEW YORK, NY, 10013, US</x:v>
      </x:c>
      <x:c r="D548" t="str">
        <x:v>SOHO GROUP HOLDINGS LLC</x:v>
      </x:c>
      <x:c r="E548" t="str">
        <x:v>SOHO GROUP HOLDINGS LLC</x:v>
      </x:c>
      <x:c r="F548" t="str">
        <x:v>Address-corroborated active match</x:v>
      </x:c>
      <x:c r="G548" t="n">
        <x:v>1</x:v>
      </x:c>
      <x:c r="H548" t="n">
        <x:v>2</x:v>
      </x:c>
      <x:c r="I548" t="str">
        <x:v>4416941</x:v>
      </x:c>
      <x:c r="J548" t="str">
        <x:v>SOHO GROUP HOLDINGS, LLC</x:v>
      </x:c>
      <x:c r="K548" s="55" t="n">
        <x:v>41437</x:v>
      </x:c>
      <x:c r="L548" t="str">
        <x:v>New York</x:v>
      </x:c>
      <x:c r="M548" t="str">
        <x:v>New York</x:v>
      </x:c>
      <x:c r="N548" t="str">
        <x:v>DOMESTIC LIMITED LIABILITY COMPANY</x:v>
      </x:c>
      <x:c r="O548" t="str">
        <x:v>SOHO GROUP HOLDINGS, LLC</x:v>
      </x:c>
      <x:c r="P548" t="str">
        <x:v>401 GREENWICH STREET, NEW YORK, NY, 10013</x:v>
      </x:c>
      <x:c r="Q548" t="str"/>
      <x:c r="R548" t="str"/>
      <x:c r="S548" t="str"/>
      <x:c r="T548" t="str"/>
      <x:c r="U548" t="str"/>
      <x:c r="V548" t="str"/>
      <x:c r="W548" t="str"/>
      <x:c r="X548" t="str"/>
      <x:c r="Y548" t="str">
        <x:v>https://data.ny.gov/Economic-Development/Active-Corporations-Beginning-1800/n9v6-gdp6</x:v>
      </x:c>
    </x:row>
    <x:row r="549">
      <x:c r="A549" t="str">
        <x:v>DOS-4-062</x:v>
      </x:c>
      <x:c r="B549" t="n">
        <x:v>4</x:v>
      </x:c>
      <x:c r="C549" t="str">
        <x:v>401 GREENWICH STREET, NEW YORK, NY, 10013, US</x:v>
      </x:c>
      <x:c r="D549" t="str">
        <x:v>TRIBECA RE HOLDINGS LLC</x:v>
      </x:c>
      <x:c r="E549" t="str">
        <x:v>TRIBECA RE HOLDINGS LLC</x:v>
      </x:c>
      <x:c r="F549" t="str">
        <x:v>Active name match</x:v>
      </x:c>
      <x:c r="G549" t="n">
        <x:v>1</x:v>
      </x:c>
      <x:c r="H549" t="n">
        <x:v>1</x:v>
      </x:c>
      <x:c r="I549" t="str">
        <x:v>5802839</x:v>
      </x:c>
      <x:c r="J549" t="str">
        <x:v>TRIBECA RE HOLDINGS LLC</x:v>
      </x:c>
      <x:c r="K549" s="55" t="n">
        <x:v>44046</x:v>
      </x:c>
      <x:c r="L549" t="str">
        <x:v>New York</x:v>
      </x:c>
      <x:c r="M549" t="str">
        <x:v>New York</x:v>
      </x:c>
      <x:c r="N549" t="str">
        <x:v>DOMESTIC LIMITED LIABILITY COMPANY</x:v>
      </x:c>
      <x:c r="O549" t="str">
        <x:v>C /O OVED &amp; OVED LLP</x:v>
      </x:c>
      <x:c r="P549" t="str">
        <x:v>401 GREENWICH STREET, 4TH FLOOR, NEW YORK, NY, 10013</x:v>
      </x:c>
      <x:c r="Q549" t="str"/>
      <x:c r="R549" t="str"/>
      <x:c r="S549" t="str"/>
      <x:c r="T549" t="str"/>
      <x:c r="U549" t="str"/>
      <x:c r="V549" t="str"/>
      <x:c r="W549" t="str"/>
      <x:c r="X549" t="str"/>
      <x:c r="Y549" t="str">
        <x:v>https://data.ny.gov/Economic-Development/Active-Corporations-Beginning-1800/n9v6-gdp6</x:v>
      </x:c>
    </x:row>
    <x:row r="550">
      <x:c r="A550" t="str">
        <x:v>DOS-4-063</x:v>
      </x:c>
      <x:c r="B550" t="n">
        <x:v>4</x:v>
      </x:c>
      <x:c r="C550" t="str">
        <x:v>5309 NEW UTRECHT AVENUE, BROOKLYN, NY, 11219, US</x:v>
      </x:c>
      <x:c r="D550" t="str">
        <x:v>1543 56 ST LLC</x:v>
      </x:c>
      <x:c r="E550" t="str">
        <x:v>1543 56 ST LLC</x:v>
      </x:c>
      <x:c r="F550" t="str">
        <x:v>Address-corroborated active match</x:v>
      </x:c>
      <x:c r="G550" t="n">
        <x:v>1</x:v>
      </x:c>
      <x:c r="H550" t="n">
        <x:v>2</x:v>
      </x:c>
      <x:c r="I550" t="str">
        <x:v>5523177</x:v>
      </x:c>
      <x:c r="J550" t="str">
        <x:v>1543 56 ST LLC</x:v>
      </x:c>
      <x:c r="K550" s="55" t="n">
        <x:v>43552</x:v>
      </x:c>
      <x:c r="L550" t="str">
        <x:v>Kings</x:v>
      </x:c>
      <x:c r="M550" t="str">
        <x:v>New York</x:v>
      </x:c>
      <x:c r="N550" t="str">
        <x:v>DOMESTIC LIMITED LIABILITY COMPANY</x:v>
      </x:c>
      <x:c r="O550" t="str">
        <x:v>1543 56 ST LLC</x:v>
      </x:c>
      <x:c r="P550" t="str">
        <x:v>5309 NEW UTRECHT AVE, BROOKLYN, NY, 11219</x:v>
      </x:c>
      <x:c r="Q550" t="str"/>
      <x:c r="R550" t="str"/>
      <x:c r="S550" t="str"/>
      <x:c r="T550" t="str"/>
      <x:c r="U550" t="str"/>
      <x:c r="V550" t="str"/>
      <x:c r="W550" t="str"/>
      <x:c r="X550" t="str"/>
      <x:c r="Y550" t="str">
        <x:v>https://data.ny.gov/Economic-Development/Active-Corporations-Beginning-1800/n9v6-gdp6</x:v>
      </x:c>
    </x:row>
    <x:row r="551">
      <x:c r="A551" t="str">
        <x:v>DOS-4-063</x:v>
      </x:c>
      <x:c r="B551" t="n">
        <x:v>4</x:v>
      </x:c>
      <x:c r="C551" t="str">
        <x:v>5309 NEW UTRECHT AVENUE, BROOKLYN, NY, 11219, US</x:v>
      </x:c>
      <x:c r="D551" t="str">
        <x:v>BARKER PROJECT LLC</x:v>
      </x:c>
      <x:c r="E551" t="str">
        <x:v>BARKER PROJECT LLC</x:v>
      </x:c>
      <x:c r="F551" t="str">
        <x:v>Address-corroborated active match</x:v>
      </x:c>
      <x:c r="G551" t="n">
        <x:v>1</x:v>
      </x:c>
      <x:c r="H551" t="n">
        <x:v>2</x:v>
      </x:c>
      <x:c r="I551" t="str">
        <x:v>5312949</x:v>
      </x:c>
      <x:c r="J551" t="str">
        <x:v>BARKER PROJECT LLC</x:v>
      </x:c>
      <x:c r="K551" s="55" t="n">
        <x:v>43187</x:v>
      </x:c>
      <x:c r="L551" t="str">
        <x:v>Albany</x:v>
      </x:c>
      <x:c r="M551" t="str">
        <x:v>New York</x:v>
      </x:c>
      <x:c r="N551" t="str">
        <x:v>DOMESTIC LIMITED LIABILITY COMPANY</x:v>
      </x:c>
      <x:c r="O551" t="str">
        <x:v>BARKER PROJECT LLC</x:v>
      </x:c>
      <x:c r="P551" t="str">
        <x:v>5309 NEW UTRECHT AVENUE, BROOKLYN, NY, 11219</x:v>
      </x:c>
      <x:c r="Q551" t="str"/>
      <x:c r="R551" t="str"/>
      <x:c r="S551" t="str"/>
      <x:c r="T551" t="str"/>
      <x:c r="U551" t="str"/>
      <x:c r="V551" t="str"/>
      <x:c r="W551" t="str"/>
      <x:c r="X551" t="str"/>
      <x:c r="Y551" t="str">
        <x:v>https://data.ny.gov/Economic-Development/Active-Corporations-Beginning-1800/n9v6-gdp6</x:v>
      </x:c>
    </x:row>
    <x:row r="552">
      <x:c r="A552" t="str">
        <x:v>DOS-4-063</x:v>
      </x:c>
      <x:c r="B552" t="n">
        <x:v>4</x:v>
      </x:c>
      <x:c r="C552" t="str">
        <x:v>5309 NEW UTRECHT AVENUE, BROOKLYN, NY, 11219, US</x:v>
      </x:c>
      <x:c r="D552" t="str">
        <x:v>HEATHLAND LLC</x:v>
      </x:c>
      <x:c r="E552" t="str">
        <x:v>HEATHLAND LLC</x:v>
      </x:c>
      <x:c r="F552" t="str">
        <x:v>Address-corroborated active match</x:v>
      </x:c>
      <x:c r="G552" t="n">
        <x:v>1</x:v>
      </x:c>
      <x:c r="H552" t="n">
        <x:v>2</x:v>
      </x:c>
      <x:c r="I552" t="str">
        <x:v>7719823</x:v>
      </x:c>
      <x:c r="J552" t="str">
        <x:v>HEATHLAND LLC</x:v>
      </x:c>
      <x:c r="K552" s="55" t="n">
        <x:v>45925</x:v>
      </x:c>
      <x:c r="L552" t="str">
        <x:v>Kings</x:v>
      </x:c>
      <x:c r="M552" t="str">
        <x:v>New York</x:v>
      </x:c>
      <x:c r="N552" t="str">
        <x:v>DOMESTIC LIMITED LIABILITY COMPANY</x:v>
      </x:c>
      <x:c r="O552" t="str">
        <x:v>HEATHLAND LLC</x:v>
      </x:c>
      <x:c r="P552" t="str">
        <x:v>5309 New Utrecht Ave, Brooklyn, NY, 11219</x:v>
      </x:c>
      <x:c r="Q552" t="str"/>
      <x:c r="R552" t="str"/>
      <x:c r="S552" t="str"/>
      <x:c r="T552" t="str"/>
      <x:c r="U552" t="str"/>
      <x:c r="V552" t="str"/>
      <x:c r="W552" t="str"/>
      <x:c r="X552" t="str"/>
      <x:c r="Y552" t="str">
        <x:v>https://data.ny.gov/Economic-Development/Active-Corporations-Beginning-1800/n9v6-gdp6</x:v>
      </x:c>
    </x:row>
    <x:row r="553">
      <x:c r="A553" t="str">
        <x:v>DOS-4-063</x:v>
      </x:c>
      <x:c r="B553" t="n">
        <x:v>4</x:v>
      </x:c>
      <x:c r="C553" t="str">
        <x:v>5309 NEW UTRECHT AVENUE, BROOKLYN, NY, 11219, US</x:v>
      </x:c>
      <x:c r="D553" t="str">
        <x:v>PORTLAND ESTATE LLC</x:v>
      </x:c>
      <x:c r="E553" t="str">
        <x:v>PORTLAND ESTATE LLC</x:v>
      </x:c>
      <x:c r="F553" t="str">
        <x:v>Address-corroborated active match</x:v>
      </x:c>
      <x:c r="G553" t="n">
        <x:v>1</x:v>
      </x:c>
      <x:c r="H553" t="n">
        <x:v>2</x:v>
      </x:c>
      <x:c r="I553" t="str">
        <x:v>7555566</x:v>
      </x:c>
      <x:c r="J553" t="str">
        <x:v>PORTLAND ESTATE LLC</x:v>
      </x:c>
      <x:c r="K553" s="55" t="n">
        <x:v>45727</x:v>
      </x:c>
      <x:c r="L553" t="str">
        <x:v>Kings</x:v>
      </x:c>
      <x:c r="M553" t="str">
        <x:v>New York</x:v>
      </x:c>
      <x:c r="N553" t="str">
        <x:v>DOMESTIC LIMITED LIABILITY COMPANY</x:v>
      </x:c>
      <x:c r="O553" t="str">
        <x:v>The Limited Liability Company</x:v>
      </x:c>
      <x:c r="P553" t="str">
        <x:v>5309 New Utrecht Ave, Brooklyn, NY, 11219</x:v>
      </x:c>
      <x:c r="Q553" t="str"/>
      <x:c r="R553" t="str"/>
      <x:c r="S553" t="str"/>
      <x:c r="T553" t="str"/>
      <x:c r="U553" t="str"/>
      <x:c r="V553" t="str"/>
      <x:c r="W553" t="str"/>
      <x:c r="X553" t="str"/>
      <x:c r="Y553" t="str">
        <x:v>https://data.ny.gov/Economic-Development/Active-Corporations-Beginning-1800/n9v6-gdp6</x:v>
      </x:c>
    </x:row>
    <x:row r="554">
      <x:c r="A554" t="str">
        <x:v>DOS-4-064</x:v>
      </x:c>
      <x:c r="B554" t="n">
        <x:v>4</x:v>
      </x:c>
      <x:c r="C554" t="str">
        <x:v>543 BEDFORD AVENUE #267, BROOKLYN, NY, 11211, US | 543 BEDFORD AVENUE, #267, BROOKLYN, NY, 11211, US</x:v>
      </x:c>
      <x:c r="D554" t="str">
        <x:v>1689 STERLING LLC</x:v>
      </x:c>
      <x:c r="E554" t="str">
        <x:v>1689 STERLING LLC</x:v>
      </x:c>
      <x:c r="F554" t="str">
        <x:v>Address-corroborated active match</x:v>
      </x:c>
      <x:c r="G554" t="n">
        <x:v>1</x:v>
      </x:c>
      <x:c r="H554" t="n">
        <x:v>2</x:v>
      </x:c>
      <x:c r="I554" t="str">
        <x:v>5093724</x:v>
      </x:c>
      <x:c r="J554" t="str">
        <x:v>1689 STERLING LLC</x:v>
      </x:c>
      <x:c r="K554" s="55" t="n">
        <x:v>42795</x:v>
      </x:c>
      <x:c r="L554" t="str">
        <x:v>Kings</x:v>
      </x:c>
      <x:c r="M554" t="str">
        <x:v>New York</x:v>
      </x:c>
      <x:c r="N554" t="str">
        <x:v>DOMESTIC LIMITED LIABILITY COMPANY</x:v>
      </x:c>
      <x:c r="O554" t="str">
        <x:v>1689 STERLING LLC</x:v>
      </x:c>
      <x:c r="P554" t="str">
        <x:v>543 BEDFORD AVENUE, #267, BROOKLYN, NY, 11211</x:v>
      </x:c>
      <x:c r="Q554" t="str"/>
      <x:c r="R554" t="str"/>
      <x:c r="S554" t="str"/>
      <x:c r="T554" t="str"/>
      <x:c r="U554" t="str"/>
      <x:c r="V554" t="str"/>
      <x:c r="W554" t="str"/>
      <x:c r="X554" t="str"/>
      <x:c r="Y554" t="str">
        <x:v>https://data.ny.gov/Economic-Development/Active-Corporations-Beginning-1800/n9v6-gdp6</x:v>
      </x:c>
    </x:row>
    <x:row r="555">
      <x:c r="A555" t="str">
        <x:v>DOS-4-064</x:v>
      </x:c>
      <x:c r="B555" t="n">
        <x:v>4</x:v>
      </x:c>
      <x:c r="C555" t="str">
        <x:v>543 BEDFORD AVENUE #267, BROOKLYN, NY, 11211, US | 543 BEDFORD AVENUE, #267, BROOKLYN, NY, 11211, US</x:v>
      </x:c>
      <x:c r="D555" t="str">
        <x:v>E 53 STREET LLC</x:v>
      </x:c>
      <x:c r="E555" t="str">
        <x:v>E 53 STREET LLC</x:v>
      </x:c>
      <x:c r="F555" t="str">
        <x:v>Active name match</x:v>
      </x:c>
      <x:c r="G555" t="n">
        <x:v>1</x:v>
      </x:c>
      <x:c r="H555" t="n">
        <x:v>0</x:v>
      </x:c>
      <x:c r="I555" t="str">
        <x:v>7289782</x:v>
      </x:c>
      <x:c r="J555" t="str">
        <x:v>E 53 STREET LLC</x:v>
      </x:c>
      <x:c r="K555" s="55" t="n">
        <x:v>45377</x:v>
      </x:c>
      <x:c r="L555" t="str">
        <x:v>Kings</x:v>
      </x:c>
      <x:c r="M555" t="str">
        <x:v>New York</x:v>
      </x:c>
      <x:c r="N555" t="str">
        <x:v>DOMESTIC LIMITED LIABILITY COMPANY</x:v>
      </x:c>
      <x:c r="O555" t="str">
        <x:v>c/o Vcorp Agent Services, Inc.</x:v>
      </x:c>
      <x:c r="P555" t="str">
        <x:v>25 Robert Pitt Drive, Suite 204, Monsey, NY, 10952</x:v>
      </x:c>
      <x:c r="Q555" t="str"/>
      <x:c r="R555" t="str"/>
      <x:c r="S555" t="str">
        <x:v>Vcorp Agent Services, Inc.</x:v>
      </x:c>
      <x:c r="T555" t="str">
        <x:v>25 Robert Pitt Drive, Suite 204, Monsey, NEW YORK, 10952</x:v>
      </x:c>
      <x:c r="U555" t="str"/>
      <x:c r="V555" t="str"/>
      <x:c r="W555" t="str"/>
      <x:c r="X555" t="str"/>
      <x:c r="Y555" t="str">
        <x:v>https://data.ny.gov/Economic-Development/Active-Corporations-Beginning-1800/n9v6-gdp6</x:v>
      </x:c>
    </x:row>
    <x:row r="556">
      <x:c r="A556" t="str">
        <x:v>DOS-4-064</x:v>
      </x:c>
      <x:c r="B556" t="n">
        <x:v>4</x:v>
      </x:c>
      <x:c r="C556" t="str">
        <x:v>543 BEDFORD AVENUE #267, BROOKLYN, NY, 11211, US | 543 BEDFORD AVENUE, #267, BROOKLYN, NY, 11211, US</x:v>
      </x:c>
      <x:c r="D556" t="str">
        <x:v>LIC 38 REALTY LLC</x:v>
      </x:c>
      <x:c r="E556" t="str">
        <x:v>LIC 38 REALTY LLC</x:v>
      </x:c>
      <x:c r="F556" t="str">
        <x:v>Address-corroborated active match</x:v>
      </x:c>
      <x:c r="G556" t="n">
        <x:v>1</x:v>
      </x:c>
      <x:c r="H556" t="n">
        <x:v>2</x:v>
      </x:c>
      <x:c r="I556" t="str">
        <x:v>7981676</x:v>
      </x:c>
      <x:c r="J556" t="str">
        <x:v>LIC 38 REALTY LLC</x:v>
      </x:c>
      <x:c r="K556" s="55" t="n">
        <x:v>46234</x:v>
      </x:c>
      <x:c r="L556" t="str">
        <x:v>Kings</x:v>
      </x:c>
      <x:c r="M556" t="str">
        <x:v>Delaware</x:v>
      </x:c>
      <x:c r="N556" t="str">
        <x:v>FOREIGN LIMITED LIABILITY COMPANY</x:v>
      </x:c>
      <x:c r="O556" t="str">
        <x:v>LIC 38 REALTY LLC</x:v>
      </x:c>
      <x:c r="P556" t="str">
        <x:v>543 bedford ave,, #267, BROOKLYN, NY, 11211</x:v>
      </x:c>
      <x:c r="Q556" t="str"/>
      <x:c r="R556" t="str"/>
      <x:c r="S556" t="str"/>
      <x:c r="T556" t="str"/>
      <x:c r="U556" t="str"/>
      <x:c r="V556" t="str"/>
      <x:c r="W556" t="str"/>
      <x:c r="X556" t="str"/>
      <x:c r="Y556" t="str">
        <x:v>https://data.ny.gov/Economic-Development/Active-Corporations-Beginning-1800/n9v6-gdp6</x:v>
      </x:c>
    </x:row>
    <x:row r="557">
      <x:c r="A557" t="str">
        <x:v>DOS-4-064</x:v>
      </x:c>
      <x:c r="B557" t="n">
        <x:v>4</x:v>
      </x:c>
      <x:c r="C557" t="str">
        <x:v>543 BEDFORD AVENUE #267, BROOKLYN, NY, 11211, US | 543 BEDFORD AVENUE, #267, BROOKLYN, NY, 11211, US</x:v>
      </x:c>
      <x:c r="D557" t="str">
        <x:v>TAYLOR EQUITIES NY LLC</x:v>
      </x:c>
      <x:c r="E557" t="str">
        <x:v>TAYLOR EQUITIES NY LLC</x:v>
      </x:c>
      <x:c r="F557" t="str">
        <x:v>Address-corroborated active match</x:v>
      </x:c>
      <x:c r="G557" t="n">
        <x:v>1</x:v>
      </x:c>
      <x:c r="H557" t="n">
        <x:v>2</x:v>
      </x:c>
      <x:c r="I557" t="str">
        <x:v>4299794</x:v>
      </x:c>
      <x:c r="J557" t="str">
        <x:v>TAYLOR EQUITIES NY LLC</x:v>
      </x:c>
      <x:c r="K557" s="55" t="n">
        <x:v>41176</x:v>
      </x:c>
      <x:c r="L557" t="str">
        <x:v>Kings</x:v>
      </x:c>
      <x:c r="M557" t="str">
        <x:v>New York</x:v>
      </x:c>
      <x:c r="N557" t="str">
        <x:v>DOMESTIC LIMITED LIABILITY COMPANY</x:v>
      </x:c>
      <x:c r="O557" t="str">
        <x:v>TAYLOR EQUITIES NY LLC</x:v>
      </x:c>
      <x:c r="P557" t="str">
        <x:v>543 BEDFORD AVENUE, SUITE 267, BROOKLYN, NY, 11211</x:v>
      </x:c>
      <x:c r="Q557" t="str"/>
      <x:c r="R557" t="str"/>
      <x:c r="S557" t="str"/>
      <x:c r="T557" t="str"/>
      <x:c r="U557" t="str"/>
      <x:c r="V557" t="str"/>
      <x:c r="W557" t="str"/>
      <x:c r="X557" t="str"/>
      <x:c r="Y557" t="str">
        <x:v>https://data.ny.gov/Economic-Development/Active-Corporations-Beginning-1800/n9v6-gdp6</x:v>
      </x:c>
    </x:row>
    <x:row r="558">
      <x:c r="A558" t="str">
        <x:v>DOS-4-065</x:v>
      </x:c>
      <x:c r="B558" t="n">
        <x:v>4</x:v>
      </x:c>
      <x:c r="C558" t="str">
        <x:v>60 COLUMBUS CIRCLE 20TH FLOOR, NEW YORK, NY, 10023, US | 60 COLUMBUS CIRCLE, 20TH FLOOR, NEW YORK, NY, 10023, US</x:v>
      </x:c>
      <x:c r="D558" t="str">
        <x:v>23 INDIA RU OWNER LLC</x:v>
      </x:c>
      <x:c r="E558" t="str">
        <x:v>23 INDIA RU OWNER LLC</x:v>
      </x:c>
      <x:c r="F558" t="str">
        <x:v>Active name match</x:v>
      </x:c>
      <x:c r="G558" t="n">
        <x:v>1</x:v>
      </x:c>
      <x:c r="H558" t="n">
        <x:v>0</x:v>
      </x:c>
      <x:c r="I558" t="str">
        <x:v>5705374</x:v>
      </x:c>
      <x:c r="J558" t="str">
        <x:v>23 INDIA RU OWNER LLC</x:v>
      </x:c>
      <x:c r="K558" s="55" t="n">
        <x:v>43871</x:v>
      </x:c>
      <x:c r="L558" t="str">
        <x:v>New York</x:v>
      </x:c>
      <x:c r="M558" t="str">
        <x:v>Delaware</x:v>
      </x:c>
      <x:c r="N558" t="str">
        <x:v>FOREIGN LIMITED LIABILITY COMPANY</x:v>
      </x:c>
      <x:c r="O558" t="str">
        <x:v>C/O CORPORATION SERVICE COMPANY</x:v>
      </x:c>
      <x:c r="P558" t="str">
        <x:v>80 STATE STREET, ALBANY, NY, 12207</x:v>
      </x:c>
      <x:c r="Q558" t="str"/>
      <x:c r="R558" t="str"/>
      <x:c r="S558" t="str"/>
      <x:c r="T558" t="str"/>
      <x:c r="U558" t="str"/>
      <x:c r="V558" t="str"/>
      <x:c r="W558" t="str"/>
      <x:c r="X558" t="str"/>
      <x:c r="Y558" t="str">
        <x:v>https://data.ny.gov/Economic-Development/Active-Corporations-Beginning-1800/n9v6-gdp6</x:v>
      </x:c>
    </x:row>
    <x:row r="559">
      <x:c r="A559" t="str">
        <x:v>DOS-4-065</x:v>
      </x:c>
      <x:c r="B559" t="n">
        <x:v>4</x:v>
      </x:c>
      <x:c r="C559" t="str">
        <x:v>60 COLUMBUS CIRCLE 20TH FLOOR, NEW YORK, NY, 10023, US | 60 COLUMBUS CIRCLE, 20TH FLOOR, NEW YORK, NY, 10023, US</x:v>
      </x:c>
      <x:c r="D559" t="str">
        <x:v>BOUTIQUE 35TH STREET ACQUISITION LLC</x:v>
      </x:c>
      <x:c r="E559" t="str">
        <x:v>BOUTIQUE 35TH STREET ACQUISITION LLC</x:v>
      </x:c>
      <x:c r="F559" t="str">
        <x:v>Address-corroborated active match</x:v>
      </x:c>
      <x:c r="G559" t="n">
        <x:v>1</x:v>
      </x:c>
      <x:c r="H559" t="n">
        <x:v>2</x:v>
      </x:c>
      <x:c r="I559" t="str">
        <x:v>7723123</x:v>
      </x:c>
      <x:c r="J559" t="str">
        <x:v>BOUTIQUE 35TH STREET ACQUISITION LLC</x:v>
      </x:c>
      <x:c r="K559" s="55" t="n">
        <x:v>45930</x:v>
      </x:c>
      <x:c r="L559" t="str">
        <x:v>New York</x:v>
      </x:c>
      <x:c r="M559" t="str">
        <x:v>Delaware</x:v>
      </x:c>
      <x:c r="N559" t="str">
        <x:v>FOREIGN LIMITED LIABILITY COMPANY</x:v>
      </x:c>
      <x:c r="O559" t="str">
        <x:v>c/o infinite global real estate partners</x:v>
      </x:c>
      <x:c r="P559" t="str">
        <x:v>60 columbus circle, 20th floor, NEW YORK, NY, 10023</x:v>
      </x:c>
      <x:c r="Q559" t="str"/>
      <x:c r="R559" t="str"/>
      <x:c r="S559" t="str"/>
      <x:c r="T559" t="str"/>
      <x:c r="U559" t="str"/>
      <x:c r="V559" t="str"/>
      <x:c r="W559" t="str"/>
      <x:c r="X559" t="str"/>
      <x:c r="Y559" t="str">
        <x:v>https://data.ny.gov/Economic-Development/Active-Corporations-Beginning-1800/n9v6-gdp6</x:v>
      </x:c>
    </x:row>
    <x:row r="560">
      <x:c r="A560" t="str">
        <x:v>DOS-4-065</x:v>
      </x:c>
      <x:c r="B560" t="n">
        <x:v>4</x:v>
      </x:c>
      <x:c r="C560" t="str">
        <x:v>60 COLUMBUS CIRCLE 20TH FLOOR, NEW YORK, NY, 10023, US | 60 COLUMBUS CIRCLE, 20TH FLOOR, NEW YORK, NY, 10023, US</x:v>
      </x:c>
      <x:c r="D560" t="str">
        <x:v>RSG SHEF 130 CORNELIA LLC</x:v>
      </x:c>
      <x:c r="E560" t="str">
        <x:v>RSG-SHEF 130 CORNELIA LLC</x:v>
      </x:c>
      <x:c r="F560" t="str">
        <x:v>Active name match</x:v>
      </x:c>
      <x:c r="G560" t="n">
        <x:v>1</x:v>
      </x:c>
      <x:c r="H560" t="n">
        <x:v>1</x:v>
      </x:c>
      <x:c r="I560" t="str">
        <x:v>4491205</x:v>
      </x:c>
      <x:c r="J560" t="str">
        <x:v>RSG-SHEF 130 CORNELIA LLC</x:v>
      </x:c>
      <x:c r="K560" s="55" t="n">
        <x:v>41600</x:v>
      </x:c>
      <x:c r="L560" t="str">
        <x:v>Kings</x:v>
      </x:c>
      <x:c r="M560" t="str">
        <x:v>New York</x:v>
      </x:c>
      <x:c r="N560" t="str">
        <x:v>DOMESTIC LIMITED LIABILITY COMPANY</x:v>
      </x:c>
      <x:c r="O560" t="str">
        <x:v>RSG-SHEF 130 CORNELIA LLC</x:v>
      </x:c>
      <x:c r="P560" t="str">
        <x:v>60 Columbus Circle, Floor 20, NEW YORK, NY, 10023</x:v>
      </x:c>
      <x:c r="Q560" t="str"/>
      <x:c r="R560" t="str"/>
      <x:c r="S560" t="str"/>
      <x:c r="T560" t="str"/>
      <x:c r="U560" t="str"/>
      <x:c r="V560" t="str"/>
      <x:c r="W560" t="str"/>
      <x:c r="X560" t="str"/>
      <x:c r="Y560" t="str">
        <x:v>https://data.ny.gov/Economic-Development/Active-Corporations-Beginning-1800/n9v6-gdp6</x:v>
      </x:c>
    </x:row>
    <x:row r="561">
      <x:c r="A561" t="str">
        <x:v>DOS-4-065</x:v>
      </x:c>
      <x:c r="B561" t="n">
        <x:v>4</x:v>
      </x:c>
      <x:c r="C561" t="str">
        <x:v>60 COLUMBUS CIRCLE 20TH FLOOR, NEW YORK, NY, 10023, US | 60 COLUMBUS CIRCLE, 20TH FLOOR, NEW YORK, NY, 10023, US</x:v>
      </x:c>
      <x:c r="D561" t="str">
        <x:v>SM COURT LOFTS LLC</x:v>
      </x:c>
      <x:c r="E561" t="str">
        <x:v>SM COURT LOFTS LLC</x:v>
      </x:c>
      <x:c r="F561" t="str">
        <x:v>Address-corroborated active match</x:v>
      </x:c>
      <x:c r="G561" t="n">
        <x:v>1</x:v>
      </x:c>
      <x:c r="H561" t="n">
        <x:v>2</x:v>
      </x:c>
      <x:c r="I561" t="str">
        <x:v>5426622</x:v>
      </x:c>
      <x:c r="J561" t="str">
        <x:v>SM COURT LOFTS LLC</x:v>
      </x:c>
      <x:c r="K561" s="55" t="n">
        <x:v>43389</x:v>
      </x:c>
      <x:c r="L561" t="str">
        <x:v>New York</x:v>
      </x:c>
      <x:c r="M561" t="str">
        <x:v>Delaware</x:v>
      </x:c>
      <x:c r="N561" t="str">
        <x:v>FOREIGN LIMITED LIABILITY COMPANY</x:v>
      </x:c>
      <x:c r="O561" t="str">
        <x:v>SM COURT LOFTS LLC</x:v>
      </x:c>
      <x:c r="P561" t="str">
        <x:v>60 COLUMBUS CIRCLE, 20TH FLOOR, NEW YORK, NY, 10023</x:v>
      </x:c>
      <x:c r="Q561" t="str"/>
      <x:c r="R561" t="str"/>
      <x:c r="S561" t="str"/>
      <x:c r="T561" t="str"/>
      <x:c r="U561" t="str"/>
      <x:c r="V561" t="str"/>
      <x:c r="W561" t="str"/>
      <x:c r="X561" t="str"/>
      <x:c r="Y561" t="str">
        <x:v>https://data.ny.gov/Economic-Development/Active-Corporations-Beginning-1800/n9v6-gdp6</x:v>
      </x:c>
    </x:row>
    <x:row r="562">
      <x:c r="A562" t="str">
        <x:v>DOS-4-066</x:v>
      </x:c>
      <x:c r="B562" t="n">
        <x:v>4</x:v>
      </x:c>
      <x:c r="C562" t="str">
        <x:v>7248 MORGAN ROAD, LIVERPOOL, NY, 13088, US</x:v>
      </x:c>
      <x:c r="D562" t="str">
        <x:v>3035 CROPSEY AVENUE LLC</x:v>
      </x:c>
      <x:c r="E562" t="str">
        <x:v>3035 CROPSEY AVENUE, LLC</x:v>
      </x:c>
      <x:c r="F562" t="str">
        <x:v>Active name match</x:v>
      </x:c>
      <x:c r="G562" t="n">
        <x:v>1</x:v>
      </x:c>
      <x:c r="H562" t="n">
        <x:v>1</x:v>
      </x:c>
      <x:c r="I562" t="str">
        <x:v>5757838</x:v>
      </x:c>
      <x:c r="J562" t="str">
        <x:v>3035 CROPSEY AVENUE, LLC</x:v>
      </x:c>
      <x:c r="K562" s="55" t="n">
        <x:v>43979</x:v>
      </x:c>
      <x:c r="L562" t="str">
        <x:v>Onondaga</x:v>
      </x:c>
      <x:c r="M562" t="str">
        <x:v>New York</x:v>
      </x:c>
      <x:c r="N562" t="str">
        <x:v>DOMESTIC LIMITED LIABILITY COMPANY</x:v>
      </x:c>
      <x:c r="O562" t="str">
        <x:v>C/O RAYMOUR &amp; FLANIGAN</x:v>
      </x:c>
      <x:c r="P562" t="str">
        <x:v>ATTN: GENERAL COUNSEL, 7248 MORGAN ROAD, LIVERPOOL, NY, 13088</x:v>
      </x:c>
      <x:c r="Q562" t="str"/>
      <x:c r="R562" t="str"/>
      <x:c r="S562" t="str"/>
      <x:c r="T562" t="str"/>
      <x:c r="U562" t="str"/>
      <x:c r="V562" t="str"/>
      <x:c r="W562" t="str"/>
      <x:c r="X562" t="str"/>
      <x:c r="Y562" t="str">
        <x:v>https://data.ny.gov/Economic-Development/Active-Corporations-Beginning-1800/n9v6-gdp6</x:v>
      </x:c>
    </x:row>
    <x:row r="563">
      <x:c r="A563" t="str">
        <x:v>DOS-4-066</x:v>
      </x:c>
      <x:c r="B563" t="n">
        <x:v>4</x:v>
      </x:c>
      <x:c r="C563" t="str">
        <x:v>7248 MORGAN ROAD, LIVERPOOL, NY, 13088, US</x:v>
      </x:c>
      <x:c r="D563" t="str">
        <x:v>BROOKLYN FLATBUSH AVENUE LLC</x:v>
      </x:c>
      <x:c r="E563" t="str">
        <x:v>BROOKLYN FLATBUSH AVENUE, LLC</x:v>
      </x:c>
      <x:c r="F563" t="str">
        <x:v>Address-corroborated active match</x:v>
      </x:c>
      <x:c r="G563" t="n">
        <x:v>1</x:v>
      </x:c>
      <x:c r="H563" t="n">
        <x:v>2</x:v>
      </x:c>
      <x:c r="I563" t="str">
        <x:v>4896719</x:v>
      </x:c>
      <x:c r="J563" t="str">
        <x:v>BROOKLYN FLATBUSH AVENUE, LLC</x:v>
      </x:c>
      <x:c r="K563" s="55" t="n">
        <x:v>42416</x:v>
      </x:c>
      <x:c r="L563" t="str">
        <x:v>Onondaga</x:v>
      </x:c>
      <x:c r="M563" t="str">
        <x:v>New York</x:v>
      </x:c>
      <x:c r="N563" t="str">
        <x:v>DOMESTIC LIMITED LIABILITY COMPANY</x:v>
      </x:c>
      <x:c r="O563" t="str">
        <x:v>BROOKLYN FLATBUSH AVENUE, LLC</x:v>
      </x:c>
      <x:c r="P563" t="str">
        <x:v>7248 MORGAN ROAD, LIVERPOOL, NY, 13088</x:v>
      </x:c>
      <x:c r="Q563" t="str"/>
      <x:c r="R563" t="str"/>
      <x:c r="S563" t="str"/>
      <x:c r="T563" t="str"/>
      <x:c r="U563" t="str"/>
      <x:c r="V563" t="str"/>
      <x:c r="W563" t="str"/>
      <x:c r="X563" t="str"/>
      <x:c r="Y563" t="str">
        <x:v>https://data.ny.gov/Economic-Development/Active-Corporations-Beginning-1800/n9v6-gdp6</x:v>
      </x:c>
    </x:row>
    <x:row r="564">
      <x:c r="A564" t="str">
        <x:v>DOS-4-066</x:v>
      </x:c>
      <x:c r="B564" t="n">
        <x:v>4</x:v>
      </x:c>
      <x:c r="C564" t="str">
        <x:v>7248 MORGAN ROAD, LIVERPOOL, NY, 13088, US</x:v>
      </x:c>
      <x:c r="D564" t="str">
        <x:v>CITYLAKE PROPERTIES LLC</x:v>
      </x:c>
      <x:c r="E564" t="str">
        <x:v>CITYLAKE PROPERTIES, LLC</x:v>
      </x:c>
      <x:c r="F564" t="str">
        <x:v>Address-corroborated active match</x:v>
      </x:c>
      <x:c r="G564" t="n">
        <x:v>1</x:v>
      </x:c>
      <x:c r="H564" t="n">
        <x:v>2</x:v>
      </x:c>
      <x:c r="I564" t="str">
        <x:v>4453780</x:v>
      </x:c>
      <x:c r="J564" t="str">
        <x:v>CITYLAKE PROPERTIES, LLC</x:v>
      </x:c>
      <x:c r="K564" s="55" t="n">
        <x:v>41520</x:v>
      </x:c>
      <x:c r="L564" t="str">
        <x:v>Onondaga</x:v>
      </x:c>
      <x:c r="M564" t="str">
        <x:v>New York</x:v>
      </x:c>
      <x:c r="N564" t="str">
        <x:v>DOMESTIC LIMITED LIABILITY COMPANY</x:v>
      </x:c>
      <x:c r="O564" t="str">
        <x:v>CITYLAKE PROPERTIES, LLC</x:v>
      </x:c>
      <x:c r="P564" t="str">
        <x:v>7248 MORGAN ROAD, LIVERPOOL, NY, 13088</x:v>
      </x:c>
      <x:c r="Q564" t="str"/>
      <x:c r="R564" t="str"/>
      <x:c r="S564" t="str"/>
      <x:c r="T564" t="str"/>
      <x:c r="U564" t="str"/>
      <x:c r="V564" t="str"/>
      <x:c r="W564" t="str"/>
      <x:c r="X564" t="str"/>
      <x:c r="Y564" t="str">
        <x:v>https://data.ny.gov/Economic-Development/Active-Corporations-Beginning-1800/n9v6-gdp6</x:v>
      </x:c>
    </x:row>
    <x:row r="565">
      <x:c r="A565" t="str">
        <x:v>DOS-4-066</x:v>
      </x:c>
      <x:c r="B565" t="n">
        <x:v>4</x:v>
      </x:c>
      <x:c r="C565" t="str">
        <x:v>7248 MORGAN ROAD, LIVERPOOL, NY, 13088, US</x:v>
      </x:c>
      <x:c r="D565" t="str">
        <x:v>ELMHURST 86 08 QUEENS BOULEVARD LLC</x:v>
      </x:c>
      <x:c r="E565" t="str">
        <x:v>ELMHURST 86-08 QUEENS BOULEVARD, LLC</x:v>
      </x:c>
      <x:c r="F565" t="str">
        <x:v>Active name match</x:v>
      </x:c>
      <x:c r="G565" t="n">
        <x:v>1</x:v>
      </x:c>
      <x:c r="H565" t="n">
        <x:v>1</x:v>
      </x:c>
      <x:c r="I565" t="str">
        <x:v>5619424</x:v>
      </x:c>
      <x:c r="J565" t="str">
        <x:v>ELMHURST 86-08 QUEENS BOULEVARD, LLC</x:v>
      </x:c>
      <x:c r="K565" s="55" t="n">
        <x:v>43719</x:v>
      </x:c>
      <x:c r="L565" t="str">
        <x:v>Onondaga</x:v>
      </x:c>
      <x:c r="M565" t="str">
        <x:v>New York</x:v>
      </x:c>
      <x:c r="N565" t="str">
        <x:v>DOMESTIC LIMITED LIABILITY COMPANY</x:v>
      </x:c>
      <x:c r="O565" t="str">
        <x:v>C/O RAYMOUR &amp; FLANIGAN</x:v>
      </x:c>
      <x:c r="P565" t="str">
        <x:v>ATTN: GENERAL COUNSEL, 7248 MORGAN ROAD, LIVERPOOL, NY, 13088</x:v>
      </x:c>
      <x:c r="Q565" t="str"/>
      <x:c r="R565" t="str"/>
      <x:c r="S565" t="str"/>
      <x:c r="T565" t="str"/>
      <x:c r="U565" t="str"/>
      <x:c r="V565" t="str"/>
      <x:c r="W565" t="str"/>
      <x:c r="X565" t="str"/>
      <x:c r="Y565" t="str">
        <x:v>https://data.ny.gov/Economic-Development/Active-Corporations-Beginning-1800/n9v6-gdp6</x:v>
      </x:c>
    </x:row>
    <x:row r="566">
      <x:c r="A566" t="str">
        <x:v>DOS-4-067</x:v>
      </x:c>
      <x:c r="B566" t="n">
        <x:v>4</x:v>
      </x:c>
      <x:c r="C566" t="str">
        <x:v>83 ACORN STREET, STATEN ISLAND, NY, 10306, US</x:v>
      </x:c>
      <x:c r="D566" t="str">
        <x:v>275 GREENWICH 10A HOLDINGS LLC</x:v>
      </x:c>
      <x:c r="E566" t="str">
        <x:v>275 GREENWICH 10A HOLDINGS LLC</x:v>
      </x:c>
      <x:c r="F566" t="str">
        <x:v>Address-corroborated active match</x:v>
      </x:c>
      <x:c r="G566" t="n">
        <x:v>1</x:v>
      </x:c>
      <x:c r="H566" t="n">
        <x:v>2</x:v>
      </x:c>
      <x:c r="I566" t="str">
        <x:v>5236509</x:v>
      </x:c>
      <x:c r="J566" t="str">
        <x:v>275 GREENWICH 10A HOLDINGS LLC</x:v>
      </x:c>
      <x:c r="K566" s="55" t="n">
        <x:v>43055</x:v>
      </x:c>
      <x:c r="L566" t="str">
        <x:v>New York</x:v>
      </x:c>
      <x:c r="M566" t="str">
        <x:v>New York</x:v>
      </x:c>
      <x:c r="N566" t="str">
        <x:v>DOMESTIC LIMITED LIABILITY COMPANY</x:v>
      </x:c>
      <x:c r="O566" t="str">
        <x:v>275 GREENWICH 10A HOLDINGS LLC</x:v>
      </x:c>
      <x:c r="P566" t="str">
        <x:v>83 ACORN STREET, STATEN ISLAND, NY, 10306</x:v>
      </x:c>
      <x:c r="Q566" t="str"/>
      <x:c r="R566" t="str"/>
      <x:c r="S566" t="str"/>
      <x:c r="T566" t="str"/>
      <x:c r="U566" t="str"/>
      <x:c r="V566" t="str"/>
      <x:c r="W566" t="str"/>
      <x:c r="X566" t="str"/>
      <x:c r="Y566" t="str">
        <x:v>https://data.ny.gov/Economic-Development/Active-Corporations-Beginning-1800/n9v6-gdp6</x:v>
      </x:c>
    </x:row>
    <x:row r="567">
      <x:c r="A567" t="str">
        <x:v>DOS-4-067</x:v>
      </x:c>
      <x:c r="B567" t="n">
        <x:v>4</x:v>
      </x:c>
      <x:c r="C567" t="str">
        <x:v>83 ACORN STREET, STATEN ISLAND, NY, 10306, US</x:v>
      </x:c>
      <x:c r="D567" t="str">
        <x:v>282 21ST STREET REAL ESTATE HOLDINGS LLC</x:v>
      </x:c>
      <x:c r="E567" t="str">
        <x:v>282 21ST STREET REAL ESTATE HOLDINGS LLC</x:v>
      </x:c>
      <x:c r="F567" t="str">
        <x:v>Address-corroborated active match</x:v>
      </x:c>
      <x:c r="G567" t="n">
        <x:v>1</x:v>
      </x:c>
      <x:c r="H567" t="n">
        <x:v>2</x:v>
      </x:c>
      <x:c r="I567" t="str">
        <x:v>5241433</x:v>
      </x:c>
      <x:c r="J567" t="str">
        <x:v>282 21ST STREET REAL ESTATE HOLDINGS LLC</x:v>
      </x:c>
      <x:c r="K567" s="55" t="n">
        <x:v>43067</x:v>
      </x:c>
      <x:c r="L567" t="str">
        <x:v>New York</x:v>
      </x:c>
      <x:c r="M567" t="str">
        <x:v>New York</x:v>
      </x:c>
      <x:c r="N567" t="str">
        <x:v>DOMESTIC LIMITED LIABILITY COMPANY</x:v>
      </x:c>
      <x:c r="O567" t="str">
        <x:v>282 21ST STREET REAL ESTATE HOLDINGS LLC</x:v>
      </x:c>
      <x:c r="P567" t="str">
        <x:v>83 ACORN STREET, STATEN ISLAND, NY, 10306</x:v>
      </x:c>
      <x:c r="Q567" t="str"/>
      <x:c r="R567" t="str"/>
      <x:c r="S567" t="str"/>
      <x:c r="T567" t="str"/>
      <x:c r="U567" t="str"/>
      <x:c r="V567" t="str"/>
      <x:c r="W567" t="str"/>
      <x:c r="X567" t="str"/>
      <x:c r="Y567" t="str">
        <x:v>https://data.ny.gov/Economic-Development/Active-Corporations-Beginning-1800/n9v6-gdp6</x:v>
      </x:c>
    </x:row>
    <x:row r="568">
      <x:c r="A568" t="str">
        <x:v>DOS-4-067</x:v>
      </x:c>
      <x:c r="B568" t="n">
        <x:v>4</x:v>
      </x:c>
      <x:c r="C568" t="str">
        <x:v>83 ACORN STREET, STATEN ISLAND, NY, 10306, US</x:v>
      </x:c>
      <x:c r="D568" t="str">
        <x:v>3455 GUIDER AVENUE REAL ESTATE HOLDINGS LLC</x:v>
      </x:c>
      <x:c r="E568" t="str">
        <x:v>3455 GUIDER AVENUE REAL ESTATE HOLDINGS  LLC</x:v>
      </x:c>
      <x:c r="F568" t="str">
        <x:v>No active DOS match</x:v>
      </x:c>
      <x:c r="G568" t="n">
        <x:v>0</x:v>
      </x:c>
      <x:c r="H568" t="n">
        <x:v>0</x:v>
      </x:c>
      <x:c r="I568" t="str"/>
      <x:c r="J568" t="str"/>
      <x:c r="K568" s="55" t="str"/>
      <x:c r="L568" t="str"/>
      <x:c r="M568" t="str"/>
      <x:c r="N568" t="str"/>
      <x:c r="O568" t="str"/>
      <x:c r="P568" t="str"/>
      <x:c r="Q568" t="str"/>
      <x:c r="R568" t="str"/>
      <x:c r="S568" t="str"/>
      <x:c r="T568" t="str"/>
      <x:c r="U568" t="str"/>
      <x:c r="V568" t="str"/>
      <x:c r="W568" t="str"/>
      <x:c r="X568" t="str"/>
      <x:c r="Y568" t="str">
        <x:v>https://data.ny.gov/Economic-Development/Active-Corporations-Beginning-1800/n9v6-gdp6</x:v>
      </x:c>
    </x:row>
    <x:row r="569">
      <x:c r="A569" t="str">
        <x:v>DOS-4-067</x:v>
      </x:c>
      <x:c r="B569" t="n">
        <x:v>4</x:v>
      </x:c>
      <x:c r="C569" t="str">
        <x:v>83 ACORN STREET, STATEN ISLAND, NY, 10306, US</x:v>
      </x:c>
      <x:c r="D569" t="str">
        <x:v>35 MCDONALD AVENUE REAL ESTATE HOLDINGS LLC</x:v>
      </x:c>
      <x:c r="E569" t="str">
        <x:v>35 MCDONALD AVENUE REAL ESTATE HOLDINGS  LLC</x:v>
      </x:c>
      <x:c r="F569" t="str">
        <x:v>Address-corroborated active match</x:v>
      </x:c>
      <x:c r="G569" t="n">
        <x:v>1</x:v>
      </x:c>
      <x:c r="H569" t="n">
        <x:v>2</x:v>
      </x:c>
      <x:c r="I569" t="str">
        <x:v>5259866</x:v>
      </x:c>
      <x:c r="J569" t="str">
        <x:v>35 MCDONALD AVENUE REAL ESTATE HOLDINGS LLC</x:v>
      </x:c>
      <x:c r="K569" s="55" t="n">
        <x:v>43103</x:v>
      </x:c>
      <x:c r="L569" t="str">
        <x:v>Kings</x:v>
      </x:c>
      <x:c r="M569" t="str">
        <x:v>New York</x:v>
      </x:c>
      <x:c r="N569" t="str">
        <x:v>DOMESTIC LIMITED LIABILITY COMPANY</x:v>
      </x:c>
      <x:c r="O569" t="str">
        <x:v>35 MCDONALD AVENUE REAL ESTATE HOLDINGS LLC</x:v>
      </x:c>
      <x:c r="P569" t="str">
        <x:v>83 ACORN STREET, STATEN ISLAND, NY, 10306</x:v>
      </x:c>
      <x:c r="Q569" t="str"/>
      <x:c r="R569" t="str"/>
      <x:c r="S569" t="str"/>
      <x:c r="T569" t="str"/>
      <x:c r="U569" t="str"/>
      <x:c r="V569" t="str"/>
      <x:c r="W569" t="str"/>
      <x:c r="X569" t="str"/>
      <x:c r="Y569" t="str">
        <x:v>https://data.ny.gov/Economic-Development/Active-Corporations-Beginning-1800/n9v6-gdp6</x:v>
      </x:c>
    </x:row>
    <x:row r="570">
      <x:c r="A570" t="str">
        <x:v>DOS-4-068</x:v>
      </x:c>
      <x:c r="B570" t="n">
        <x:v>4</x:v>
      </x:c>
      <x:c r="C570" t="str">
        <x:v>P.O. BOX 99, MERRICK, NY, 11566, US</x:v>
      </x:c>
      <x:c r="D570" t="str">
        <x:v>62 07 DECOSTA LLC</x:v>
      </x:c>
      <x:c r="E570" t="str">
        <x:v>62-07 DECOSTA LLC</x:v>
      </x:c>
      <x:c r="F570" t="str">
        <x:v>Address-corroborated active match</x:v>
      </x:c>
      <x:c r="G570" t="n">
        <x:v>1</x:v>
      </x:c>
      <x:c r="H570" t="n">
        <x:v>2</x:v>
      </x:c>
      <x:c r="I570" t="str">
        <x:v>5420037</x:v>
      </x:c>
      <x:c r="J570" t="str">
        <x:v>62-07 DECOSTA LLC</x:v>
      </x:c>
      <x:c r="K570" s="55" t="n">
        <x:v>43376</x:v>
      </x:c>
      <x:c r="L570" t="str">
        <x:v>Nassau</x:v>
      </x:c>
      <x:c r="M570" t="str">
        <x:v>New York</x:v>
      </x:c>
      <x:c r="N570" t="str">
        <x:v>DOMESTIC LIMITED LIABILITY COMPANY</x:v>
      </x:c>
      <x:c r="O570" t="str">
        <x:v>DAVID CHAIT</x:v>
      </x:c>
      <x:c r="P570" t="str">
        <x:v>P.O. BOX 99, MERRICK, NY, 11566</x:v>
      </x:c>
      <x:c r="Q570" t="str"/>
      <x:c r="R570" t="str"/>
      <x:c r="S570" t="str"/>
      <x:c r="T570" t="str"/>
      <x:c r="U570" t="str"/>
      <x:c r="V570" t="str"/>
      <x:c r="W570" t="str"/>
      <x:c r="X570" t="str"/>
      <x:c r="Y570" t="str">
        <x:v>https://data.ny.gov/Economic-Development/Active-Corporations-Beginning-1800/n9v6-gdp6</x:v>
      </x:c>
    </x:row>
    <x:row r="571">
      <x:c r="A571" t="str">
        <x:v>DOS-4-068</x:v>
      </x:c>
      <x:c r="B571" t="n">
        <x:v>4</x:v>
      </x:c>
      <x:c r="C571" t="str">
        <x:v>P.O. BOX 99, MERRICK, NY, 11566, US</x:v>
      </x:c>
      <x:c r="D571" t="str">
        <x:v>ALMEDA AVENUE LLC</x:v>
      </x:c>
      <x:c r="E571" t="str">
        <x:v>ALMEDA AVENUE LLC</x:v>
      </x:c>
      <x:c r="F571" t="str">
        <x:v>Active name match</x:v>
      </x:c>
      <x:c r="G571" t="n">
        <x:v>1</x:v>
      </x:c>
      <x:c r="H571" t="n">
        <x:v>1</x:v>
      </x:c>
      <x:c r="I571" t="str">
        <x:v>4891651</x:v>
      </x:c>
      <x:c r="J571" t="str">
        <x:v>ALMEDA AVENUE LLC</x:v>
      </x:c>
      <x:c r="K571" s="55" t="n">
        <x:v>42405</x:v>
      </x:c>
      <x:c r="L571" t="str">
        <x:v>Nassau</x:v>
      </x:c>
      <x:c r="M571" t="str">
        <x:v>New York</x:v>
      </x:c>
      <x:c r="N571" t="str">
        <x:v>DOMESTIC LIMITED LIABILITY COMPANY</x:v>
      </x:c>
      <x:c r="O571" t="str">
        <x:v>DAVID CHAIT</x:v>
      </x:c>
      <x:c r="P571" t="str">
        <x:v>PO BOX 99, MERRICK, NY, 11566</x:v>
      </x:c>
      <x:c r="Q571" t="str"/>
      <x:c r="R571" t="str"/>
      <x:c r="S571" t="str"/>
      <x:c r="T571" t="str"/>
      <x:c r="U571" t="str"/>
      <x:c r="V571" t="str"/>
      <x:c r="W571" t="str"/>
      <x:c r="X571" t="str"/>
      <x:c r="Y571" t="str">
        <x:v>https://data.ny.gov/Economic-Development/Active-Corporations-Beginning-1800/n9v6-gdp6</x:v>
      </x:c>
    </x:row>
    <x:row r="572">
      <x:c r="A572" t="str">
        <x:v>DOS-4-068</x:v>
      </x:c>
      <x:c r="B572" t="n">
        <x:v>4</x:v>
      </x:c>
      <x:c r="C572" t="str">
        <x:v>P.O. BOX 99, MERRICK, NY, 11566, US</x:v>
      </x:c>
      <x:c r="D572" t="str">
        <x:v>DAVID CHAIT LLC</x:v>
      </x:c>
      <x:c r="E572" t="str">
        <x:v>DAVID CHAIT LLC</x:v>
      </x:c>
      <x:c r="F572" t="str">
        <x:v>Active name match</x:v>
      </x:c>
      <x:c r="G572" t="n">
        <x:v>1</x:v>
      </x:c>
      <x:c r="H572" t="n">
        <x:v>1</x:v>
      </x:c>
      <x:c r="I572" t="str">
        <x:v>2402108</x:v>
      </x:c>
      <x:c r="J572" t="str">
        <x:v>DAVID CHAIT LLC</x:v>
      </x:c>
      <x:c r="K572" s="55" t="n">
        <x:v>36367</x:v>
      </x:c>
      <x:c r="L572" t="str">
        <x:v>Nassau</x:v>
      </x:c>
      <x:c r="M572" t="str">
        <x:v>New York</x:v>
      </x:c>
      <x:c r="N572" t="str">
        <x:v>DOMESTIC LIMITED LIABILITY COMPANY</x:v>
      </x:c>
      <x:c r="O572" t="str">
        <x:v>DAVID CHAIT</x:v>
      </x:c>
      <x:c r="P572" t="str">
        <x:v>PO BOX 99, MERRICK, NY, 115660099</x:v>
      </x:c>
      <x:c r="Q572" t="str"/>
      <x:c r="R572" t="str"/>
      <x:c r="S572" t="str"/>
      <x:c r="T572" t="str"/>
      <x:c r="U572" t="str"/>
      <x:c r="V572" t="str"/>
      <x:c r="W572" t="str"/>
      <x:c r="X572" t="str"/>
      <x:c r="Y572" t="str">
        <x:v>https://data.ny.gov/Economic-Development/Active-Corporations-Beginning-1800/n9v6-gdp6</x:v>
      </x:c>
    </x:row>
    <x:row r="573">
      <x:c r="A573" t="str">
        <x:v>DOS-4-068</x:v>
      </x:c>
      <x:c r="B573" t="n">
        <x:v>4</x:v>
      </x:c>
      <x:c r="C573" t="str">
        <x:v>P.O. BOX 99, MERRICK, NY, 11566, US</x:v>
      </x:c>
      <x:c r="D573" t="str">
        <x:v>DUNTON COURT HB LLC</x:v>
      </x:c>
      <x:c r="E573" t="str">
        <x:v>DUNTON COURT HB LLC</x:v>
      </x:c>
      <x:c r="F573" t="str">
        <x:v>Active name match</x:v>
      </x:c>
      <x:c r="G573" t="n">
        <x:v>1</x:v>
      </x:c>
      <x:c r="H573" t="n">
        <x:v>1</x:v>
      </x:c>
      <x:c r="I573" t="str">
        <x:v>7291472</x:v>
      </x:c>
      <x:c r="J573" t="str">
        <x:v>DUNTON COURT HB LLC</x:v>
      </x:c>
      <x:c r="K573" s="55" t="n">
        <x:v>45379</x:v>
      </x:c>
      <x:c r="L573" t="str">
        <x:v>Nassau</x:v>
      </x:c>
      <x:c r="M573" t="str">
        <x:v>New York</x:v>
      </x:c>
      <x:c r="N573" t="str">
        <x:v>DOMESTIC LIMITED LIABILITY COMPANY</x:v>
      </x:c>
      <x:c r="O573" t="str">
        <x:v>DUNTON COURT HB LLC</x:v>
      </x:c>
      <x:c r="P573" t="str">
        <x:v>2856 LINDENMERE DRIVE, MERRICK, NY, 11566</x:v>
      </x:c>
      <x:c r="Q573" t="str"/>
      <x:c r="R573" t="str"/>
      <x:c r="S573" t="str">
        <x:v>DAVID CHAIT</x:v>
      </x:c>
      <x:c r="T573" t="str">
        <x:v>2856 LINDENMERE DRIVE, MERRICK, NEW YORK, 11566</x:v>
      </x:c>
      <x:c r="U573" t="str"/>
      <x:c r="V573" t="str"/>
      <x:c r="W573" t="str"/>
      <x:c r="X573" t="str"/>
      <x:c r="Y573" t="str">
        <x:v>https://data.ny.gov/Economic-Development/Active-Corporations-Beginning-1800/n9v6-gdp6</x:v>
      </x:c>
    </x:row>
    <x:row r="574">
      <x:c r="A574" t="str">
        <x:v>DOS-4-069</x:v>
      </x:c>
      <x:c r="B574" t="n">
        <x:v>4</x:v>
      </x:c>
      <x:c r="C574" t="str">
        <x:v>114 ROBBY LANE, NEW HYDE PARK, NY, 11040, US</x:v>
      </x:c>
      <x:c r="D574" t="str">
        <x:v>146 LIBERTY AVENUE LLC</x:v>
      </x:c>
      <x:c r="E574" t="str">
        <x:v>146 LIBERTY AVENUE LLC</x:v>
      </x:c>
      <x:c r="F574" t="str">
        <x:v>Address-corroborated active match</x:v>
      </x:c>
      <x:c r="G574" t="n">
        <x:v>1</x:v>
      </x:c>
      <x:c r="H574" t="n">
        <x:v>2</x:v>
      </x:c>
      <x:c r="I574" t="str">
        <x:v>5557636</x:v>
      </x:c>
      <x:c r="J574" t="str">
        <x:v>146 LIBERTY AVENUE LLC</x:v>
      </x:c>
      <x:c r="K574" s="55" t="n">
        <x:v>43607</x:v>
      </x:c>
      <x:c r="L574" t="str">
        <x:v>Nassau</x:v>
      </x:c>
      <x:c r="M574" t="str">
        <x:v>New York</x:v>
      </x:c>
      <x:c r="N574" t="str">
        <x:v>DOMESTIC LIMITED LIABILITY COMPANY</x:v>
      </x:c>
      <x:c r="O574" t="str">
        <x:v>MAYANK PATEL</x:v>
      </x:c>
      <x:c r="P574" t="str">
        <x:v>114 ROBBY LANE, NEW HYDE PARK, NY, 110401106</x:v>
      </x:c>
      <x:c r="Q574" t="str"/>
      <x:c r="R574" t="str"/>
      <x:c r="S574" t="str"/>
      <x:c r="T574" t="str"/>
      <x:c r="U574" t="str"/>
      <x:c r="V574" t="str"/>
      <x:c r="W574" t="str"/>
      <x:c r="X574" t="str"/>
      <x:c r="Y574" t="str">
        <x:v>https://data.ny.gov/Economic-Development/Active-Corporations-Beginning-1800/n9v6-gdp6</x:v>
      </x:c>
    </x:row>
    <x:row r="575">
      <x:c r="A575" t="str">
        <x:v>DOS-4-069</x:v>
      </x:c>
      <x:c r="B575" t="n">
        <x:v>4</x:v>
      </x:c>
      <x:c r="C575" t="str">
        <x:v>114 ROBBY LANE, NEW HYDE PARK, NY, 11040, US</x:v>
      </x:c>
      <x:c r="D575" t="str">
        <x:v>719 SNEDIKER AVE LLC</x:v>
      </x:c>
      <x:c r="E575" t="str">
        <x:v>719 SNEDIKER AVE LLC</x:v>
      </x:c>
      <x:c r="F575" t="str">
        <x:v>Address-corroborated active match</x:v>
      </x:c>
      <x:c r="G575" t="n">
        <x:v>1</x:v>
      </x:c>
      <x:c r="H575" t="n">
        <x:v>2</x:v>
      </x:c>
      <x:c r="I575" t="str">
        <x:v>5713383</x:v>
      </x:c>
      <x:c r="J575" t="str">
        <x:v>719 SNEDIKER AVE LLC</x:v>
      </x:c>
      <x:c r="K575" s="55" t="n">
        <x:v>43882</x:v>
      </x:c>
      <x:c r="L575" t="str">
        <x:v>Nassau</x:v>
      </x:c>
      <x:c r="M575" t="str">
        <x:v>New York</x:v>
      </x:c>
      <x:c r="N575" t="str">
        <x:v>DOMESTIC LIMITED LIABILITY COMPANY</x:v>
      </x:c>
      <x:c r="O575" t="str">
        <x:v>MAYANK PATEL</x:v>
      </x:c>
      <x:c r="P575" t="str">
        <x:v>114 ROBBY LANE, NEW HYDE PARK, NY, 11040</x:v>
      </x:c>
      <x:c r="Q575" t="str"/>
      <x:c r="R575" t="str"/>
      <x:c r="S575" t="str"/>
      <x:c r="T575" t="str"/>
      <x:c r="U575" t="str"/>
      <x:c r="V575" t="str"/>
      <x:c r="W575" t="str"/>
      <x:c r="X575" t="str"/>
      <x:c r="Y575" t="str">
        <x:v>https://data.ny.gov/Economic-Development/Active-Corporations-Beginning-1800/n9v6-gdp6</x:v>
      </x:c>
    </x:row>
    <x:row r="576">
      <x:c r="A576" t="str">
        <x:v>DOS-4-069</x:v>
      </x:c>
      <x:c r="B576" t="n">
        <x:v>4</x:v>
      </x:c>
      <x:c r="C576" t="str">
        <x:v>114 ROBBY LANE, NEW HYDE PARK, NY, 11040, US</x:v>
      </x:c>
      <x:c r="D576" t="str">
        <x:v>97 LEFFERTS LLC</x:v>
      </x:c>
      <x:c r="E576" t="str">
        <x:v>97 LEFFERTS LLC</x:v>
      </x:c>
      <x:c r="F576" t="str">
        <x:v>Address-corroborated active match</x:v>
      </x:c>
      <x:c r="G576" t="n">
        <x:v>1</x:v>
      </x:c>
      <x:c r="H576" t="n">
        <x:v>2</x:v>
      </x:c>
      <x:c r="I576" t="str">
        <x:v>5364271</x:v>
      </x:c>
      <x:c r="J576" t="str">
        <x:v>97 LEFFERTS LLC</x:v>
      </x:c>
      <x:c r="K576" s="55" t="n">
        <x:v>43273</x:v>
      </x:c>
      <x:c r="L576" t="str">
        <x:v>Nassau</x:v>
      </x:c>
      <x:c r="M576" t="str">
        <x:v>New York</x:v>
      </x:c>
      <x:c r="N576" t="str">
        <x:v>DOMESTIC LIMITED LIABILITY COMPANY</x:v>
      </x:c>
      <x:c r="O576" t="str">
        <x:v>MAYANK PATEL</x:v>
      </x:c>
      <x:c r="P576" t="str">
        <x:v>114 ROBBY LANE, NEW HYDE PARK, NY, 11040</x:v>
      </x:c>
      <x:c r="Q576" t="str"/>
      <x:c r="R576" t="str"/>
      <x:c r="S576" t="str"/>
      <x:c r="T576" t="str"/>
      <x:c r="U576" t="str"/>
      <x:c r="V576" t="str"/>
      <x:c r="W576" t="str"/>
      <x:c r="X576" t="str"/>
      <x:c r="Y576" t="str">
        <x:v>https://data.ny.gov/Economic-Development/Active-Corporations-Beginning-1800/n9v6-gdp6</x:v>
      </x:c>
    </x:row>
    <x:row r="577">
      <x:c r="A577" t="str">
        <x:v>DOS-4-069</x:v>
      </x:c>
      <x:c r="B577" t="n">
        <x:v>4</x:v>
      </x:c>
      <x:c r="C577" t="str">
        <x:v>114 ROBBY LANE, NEW HYDE PARK, NY, 11040, US</x:v>
      </x:c>
      <x:c r="D577" t="str">
        <x:v>R3S LLC</x:v>
      </x:c>
      <x:c r="E577" t="str">
        <x:v>R3S LLC</x:v>
      </x:c>
      <x:c r="F577" t="str">
        <x:v>Active name match</x:v>
      </x:c>
      <x:c r="G577" t="n">
        <x:v>1</x:v>
      </x:c>
      <x:c r="H577" t="n">
        <x:v>0</x:v>
      </x:c>
      <x:c r="I577" t="str">
        <x:v>4781831</x:v>
      </x:c>
      <x:c r="J577" t="str">
        <x:v>R3S LLC</x:v>
      </x:c>
      <x:c r="K577" s="55" t="n">
        <x:v>42184</x:v>
      </x:c>
      <x:c r="L577" t="str">
        <x:v>Queens</x:v>
      </x:c>
      <x:c r="M577" t="str">
        <x:v>New York</x:v>
      </x:c>
      <x:c r="N577" t="str">
        <x:v>DOMESTIC LIMITED LIABILITY COMPANY</x:v>
      </x:c>
      <x:c r="O577" t="str">
        <x:v>R3S LLC</x:v>
      </x:c>
      <x:c r="P577" t="str">
        <x:v>236-03 BRADDOCK AVE, BELLEROSE, NY, 11426</x:v>
      </x:c>
      <x:c r="Q577" t="str"/>
      <x:c r="R577" t="str"/>
      <x:c r="S577" t="str"/>
      <x:c r="T577" t="str"/>
      <x:c r="U577" t="str"/>
      <x:c r="V577" t="str"/>
      <x:c r="W577" t="str"/>
      <x:c r="X577" t="str"/>
      <x:c r="Y577" t="str">
        <x:v>https://data.ny.gov/Economic-Development/Active-Corporations-Beginning-1800/n9v6-gdp6</x:v>
      </x:c>
    </x:row>
    <x:row r="578">
      <x:c r="A578" t="str">
        <x:v>DOS-4-070</x:v>
      </x:c>
      <x:c r="B578" t="n">
        <x:v>4</x:v>
      </x:c>
      <x:c r="C578" t="str">
        <x:v>14 WEST 23RD STREET, NEW YORK, NY, 10010, US</x:v>
      </x:c>
      <x:c r="D578" t="str">
        <x:v>ENOSIS REALTY LLC</x:v>
      </x:c>
      <x:c r="E578" t="str">
        <x:v>ENOSIS REALTY LLC</x:v>
      </x:c>
      <x:c r="F578" t="str">
        <x:v>Active name match</x:v>
      </x:c>
      <x:c r="G578" t="n">
        <x:v>1</x:v>
      </x:c>
      <x:c r="H578" t="n">
        <x:v>1</x:v>
      </x:c>
      <x:c r="I578" t="str">
        <x:v>3902056</x:v>
      </x:c>
      <x:c r="J578" t="str">
        <x:v>ENOSIS REALTY LLC</x:v>
      </x:c>
      <x:c r="K578" s="55" t="n">
        <x:v>40198</x:v>
      </x:c>
      <x:c r="L578" t="str">
        <x:v>New York</x:v>
      </x:c>
      <x:c r="M578" t="str">
        <x:v>New York</x:v>
      </x:c>
      <x:c r="N578" t="str">
        <x:v>DOMESTIC LIMITED LIABILITY COMPANY</x:v>
      </x:c>
      <x:c r="O578" t="str">
        <x:v>PAN BROS ASSOC INC.</x:v>
      </x:c>
      <x:c r="P578" t="str">
        <x:v>14 W. 23RD ST., 5TH FL., NEW YORK, NY, 10010</x:v>
      </x:c>
      <x:c r="Q578" t="str"/>
      <x:c r="R578" t="str"/>
      <x:c r="S578" t="str"/>
      <x:c r="T578" t="str"/>
      <x:c r="U578" t="str"/>
      <x:c r="V578" t="str"/>
      <x:c r="W578" t="str"/>
      <x:c r="X578" t="str"/>
      <x:c r="Y578" t="str">
        <x:v>https://data.ny.gov/Economic-Development/Active-Corporations-Beginning-1800/n9v6-gdp6</x:v>
      </x:c>
    </x:row>
    <x:row r="579">
      <x:c r="A579" t="str">
        <x:v>DOS-4-070</x:v>
      </x:c>
      <x:c r="B579" t="n">
        <x:v>4</x:v>
      </x:c>
      <x:c r="C579" t="str">
        <x:v>14 WEST 23RD STREET, NEW YORK, NY, 10010, US</x:v>
      </x:c>
      <x:c r="D579" t="str">
        <x:v>NEO MADISON LLC</x:v>
      </x:c>
      <x:c r="E579" t="str">
        <x:v>NEO MADISON LLC</x:v>
      </x:c>
      <x:c r="F579" t="str">
        <x:v>Active name match</x:v>
      </x:c>
      <x:c r="G579" t="n">
        <x:v>1</x:v>
      </x:c>
      <x:c r="H579" t="n">
        <x:v>1</x:v>
      </x:c>
      <x:c r="I579" t="str">
        <x:v>3767867</x:v>
      </x:c>
      <x:c r="J579" t="str">
        <x:v>NEO MADISON LLC</x:v>
      </x:c>
      <x:c r="K579" s="55" t="n">
        <x:v>39840</x:v>
      </x:c>
      <x:c r="L579" t="str">
        <x:v>New York</x:v>
      </x:c>
      <x:c r="M579" t="str">
        <x:v>New York</x:v>
      </x:c>
      <x:c r="N579" t="str">
        <x:v>DOMESTIC LIMITED LIABILITY COMPANY</x:v>
      </x:c>
      <x:c r="O579" t="str">
        <x:v>PAN BROTHERS ASSOCIATES INC</x:v>
      </x:c>
      <x:c r="P579" t="str">
        <x:v>C/O JAMES PANTELIDIS, 14 WEST 23RD STREET, NEW YORK, NY, 10010</x:v>
      </x:c>
      <x:c r="Q579" t="str"/>
      <x:c r="R579" t="str"/>
      <x:c r="S579" t="str"/>
      <x:c r="T579" t="str"/>
      <x:c r="U579" t="str"/>
      <x:c r="V579" t="str"/>
      <x:c r="W579" t="str"/>
      <x:c r="X579" t="str"/>
      <x:c r="Y579" t="str">
        <x:v>https://data.ny.gov/Economic-Development/Active-Corporations-Beginning-1800/n9v6-gdp6</x:v>
      </x:c>
    </x:row>
    <x:row r="580">
      <x:c r="A580" t="str">
        <x:v>DOS-4-070</x:v>
      </x:c>
      <x:c r="B580" t="n">
        <x:v>4</x:v>
      </x:c>
      <x:c r="C580" t="str">
        <x:v>14 WEST 23RD STREET, NEW YORK, NY, 10010, US</x:v>
      </x:c>
      <x:c r="D580" t="str">
        <x:v>PARK SLOPE PLAZA ASSOC LLC</x:v>
      </x:c>
      <x:c r="E580" t="str">
        <x:v>PARK SLOPE PLAZA ASSOC., LLC</x:v>
      </x:c>
      <x:c r="F580" t="str">
        <x:v>Active name match</x:v>
      </x:c>
      <x:c r="G580" t="n">
        <x:v>1</x:v>
      </x:c>
      <x:c r="H580" t="n">
        <x:v>1</x:v>
      </x:c>
      <x:c r="I580" t="str">
        <x:v>4131356</x:v>
      </x:c>
      <x:c r="J580" t="str">
        <x:v>PARK SLOPE PLAZA ASSOC., LLC</x:v>
      </x:c>
      <x:c r="K580" s="55" t="n">
        <x:v>40771</x:v>
      </x:c>
      <x:c r="L580" t="str">
        <x:v>New York</x:v>
      </x:c>
      <x:c r="M580" t="str">
        <x:v>New York</x:v>
      </x:c>
      <x:c r="N580" t="str">
        <x:v>DOMESTIC LIMITED LIABILITY COMPANY</x:v>
      </x:c>
      <x:c r="O580" t="str">
        <x:v>PARK SLOPE PLAZA ASSOC., LLC</x:v>
      </x:c>
      <x:c r="P580" t="str">
        <x:v>14 WEST 23RD ST., 5TH FLR., NEW YORK, NY, 10010</x:v>
      </x:c>
      <x:c r="Q580" t="str"/>
      <x:c r="R580" t="str"/>
      <x:c r="S580" t="str"/>
      <x:c r="T580" t="str"/>
      <x:c r="U580" t="str"/>
      <x:c r="V580" t="str"/>
      <x:c r="W580" t="str"/>
      <x:c r="X580" t="str"/>
      <x:c r="Y580" t="str">
        <x:v>https://data.ny.gov/Economic-Development/Active-Corporations-Beginning-1800/n9v6-gdp6</x:v>
      </x:c>
    </x:row>
    <x:row r="581">
      <x:c r="A581" t="str">
        <x:v>DOS-4-070</x:v>
      </x:c>
      <x:c r="B581" t="n">
        <x:v>4</x:v>
      </x:c>
      <x:c r="C581" t="str">
        <x:v>14 WEST 23RD STREET, NEW YORK, NY, 10010, US</x:v>
      </x:c>
      <x:c r="D581" t="str">
        <x:v>STUDIO PARK LLC</x:v>
      </x:c>
      <x:c r="E581" t="str">
        <x:v>STUDIO PARK L.L.C.</x:v>
      </x:c>
      <x:c r="F581" t="str">
        <x:v>Active name match</x:v>
      </x:c>
      <x:c r="G581" t="n">
        <x:v>1</x:v>
      </x:c>
      <x:c r="H581" t="n">
        <x:v>1</x:v>
      </x:c>
      <x:c r="I581" t="str">
        <x:v>2301900</x:v>
      </x:c>
      <x:c r="J581" t="str">
        <x:v>STUDIO PARK L.L.C.</x:v>
      </x:c>
      <x:c r="K581" s="55" t="n">
        <x:v>36067</x:v>
      </x:c>
      <x:c r="L581" t="str">
        <x:v>Kings</x:v>
      </x:c>
      <x:c r="M581" t="str">
        <x:v>New York</x:v>
      </x:c>
      <x:c r="N581" t="str">
        <x:v>DOMESTIC LIMITED LIABILITY COMPANY</x:v>
      </x:c>
      <x:c r="O581" t="str">
        <x:v>STUDIO PARK, LLC</x:v>
      </x:c>
      <x:c r="P581" t="str">
        <x:v>14 W 23RD ST, 5TH FL, NEW YORK, NY, 10010</x:v>
      </x:c>
      <x:c r="Q581" t="str"/>
      <x:c r="R581" t="str"/>
      <x:c r="S581" t="str"/>
      <x:c r="T581" t="str"/>
      <x:c r="U581" t="str"/>
      <x:c r="V581" t="str"/>
      <x:c r="W581" t="str"/>
      <x:c r="X581" t="str"/>
      <x:c r="Y581" t="str">
        <x:v>https://data.ny.gov/Economic-Development/Active-Corporations-Beginning-1800/n9v6-gdp6</x:v>
      </x:c>
    </x:row>
    <x:row r="582">
      <x:c r="A582" t="str">
        <x:v>DOS-4-071</x:v>
      </x:c>
      <x:c r="B582" t="n">
        <x:v>4</x:v>
      </x:c>
      <x:c r="C582" t="str">
        <x:v>140 CHARLES STREET, UNIT 15B, NEW YORK, NY, 10014, US</x:v>
      </x:c>
      <x:c r="D582" t="str">
        <x:v>140 CHARLES STREET 14B LLC</x:v>
      </x:c>
      <x:c r="E582" t="str">
        <x:v>140 CHARLES STREET 14B LLC</x:v>
      </x:c>
      <x:c r="F582" t="str">
        <x:v>Active name match</x:v>
      </x:c>
      <x:c r="G582" t="n">
        <x:v>1</x:v>
      </x:c>
      <x:c r="H582" t="n">
        <x:v>1</x:v>
      </x:c>
      <x:c r="I582" t="str">
        <x:v>5041508</x:v>
      </x:c>
      <x:c r="J582" t="str">
        <x:v>140 CHARLES STREET 14B LLC</x:v>
      </x:c>
      <x:c r="K582" s="55" t="n">
        <x:v>42695</x:v>
      </x:c>
      <x:c r="L582" t="str">
        <x:v>New York</x:v>
      </x:c>
      <x:c r="M582" t="str">
        <x:v>New York</x:v>
      </x:c>
      <x:c r="N582" t="str">
        <x:v>DOMESTIC LIMITED LIABILITY COMPANY</x:v>
      </x:c>
      <x:c r="O582" t="str">
        <x:v>140 CHARLES STREET 14B LLC</x:v>
      </x:c>
      <x:c r="P582" t="str">
        <x:v>140 CHARLES STREET, APT 15B, c/o Vanessa Morris-Burke, NEW YORK, NY, 10014</x:v>
      </x:c>
      <x:c r="Q582" t="str"/>
      <x:c r="R582" t="str"/>
      <x:c r="S582" t="str"/>
      <x:c r="T582" t="str"/>
      <x:c r="U582" t="str"/>
      <x:c r="V582" t="str"/>
      <x:c r="W582" t="str"/>
      <x:c r="X582" t="str"/>
      <x:c r="Y582" t="str">
        <x:v>https://data.ny.gov/Economic-Development/Active-Corporations-Beginning-1800/n9v6-gdp6</x:v>
      </x:c>
    </x:row>
    <x:row r="583">
      <x:c r="A583" t="str">
        <x:v>DOS-4-071</x:v>
      </x:c>
      <x:c r="B583" t="n">
        <x:v>4</x:v>
      </x:c>
      <x:c r="C583" t="str">
        <x:v>140 CHARLES STREET, UNIT 15B, NEW YORK, NY, 10014, US</x:v>
      </x:c>
      <x:c r="D583" t="str">
        <x:v>140 CHARLES STREET 14C LLC</x:v>
      </x:c>
      <x:c r="E583" t="str">
        <x:v>140 CHARLES STREET 14C LLC</x:v>
      </x:c>
      <x:c r="F583" t="str">
        <x:v>Active name match</x:v>
      </x:c>
      <x:c r="G583" t="n">
        <x:v>1</x:v>
      </x:c>
      <x:c r="H583" t="n">
        <x:v>1</x:v>
      </x:c>
      <x:c r="I583" t="str">
        <x:v>5041515</x:v>
      </x:c>
      <x:c r="J583" t="str">
        <x:v>140 CHARLES STREET 14C LLC</x:v>
      </x:c>
      <x:c r="K583" s="55" t="n">
        <x:v>42695</x:v>
      </x:c>
      <x:c r="L583" t="str">
        <x:v>New York</x:v>
      </x:c>
      <x:c r="M583" t="str">
        <x:v>New York</x:v>
      </x:c>
      <x:c r="N583" t="str">
        <x:v>DOMESTIC LIMITED LIABILITY COMPANY</x:v>
      </x:c>
      <x:c r="O583" t="str">
        <x:v>140 CHARLES STREET 14C LLC</x:v>
      </x:c>
      <x:c r="P583" t="str">
        <x:v>140 CHARLES STREET, APT 15B, c/o Vanessa Morris-Burke, NEW YORK, NY, 10014</x:v>
      </x:c>
      <x:c r="Q583" t="str"/>
      <x:c r="R583" t="str"/>
      <x:c r="S583" t="str"/>
      <x:c r="T583" t="str"/>
      <x:c r="U583" t="str"/>
      <x:c r="V583" t="str"/>
      <x:c r="W583" t="str"/>
      <x:c r="X583" t="str"/>
      <x:c r="Y583" t="str">
        <x:v>https://data.ny.gov/Economic-Development/Active-Corporations-Beginning-1800/n9v6-gdp6</x:v>
      </x:c>
    </x:row>
    <x:row r="584">
      <x:c r="A584" t="str">
        <x:v>DOS-4-071</x:v>
      </x:c>
      <x:c r="B584" t="n">
        <x:v>4</x:v>
      </x:c>
      <x:c r="C584" t="str">
        <x:v>140 CHARLES STREET, UNIT 15B, NEW YORK, NY, 10014, US</x:v>
      </x:c>
      <x:c r="D584" t="str">
        <x:v>140 CHARLES STREET 14D LLC</x:v>
      </x:c>
      <x:c r="E584" t="str">
        <x:v>140 CHARLES STREET 14D LLC</x:v>
      </x:c>
      <x:c r="F584" t="str">
        <x:v>Active name match</x:v>
      </x:c>
      <x:c r="G584" t="n">
        <x:v>1</x:v>
      </x:c>
      <x:c r="H584" t="n">
        <x:v>1</x:v>
      </x:c>
      <x:c r="I584" t="str">
        <x:v>5041520</x:v>
      </x:c>
      <x:c r="J584" t="str">
        <x:v>140 CHARLES STREET 14D LLC</x:v>
      </x:c>
      <x:c r="K584" s="55" t="n">
        <x:v>42695</x:v>
      </x:c>
      <x:c r="L584" t="str">
        <x:v>New York</x:v>
      </x:c>
      <x:c r="M584" t="str">
        <x:v>New York</x:v>
      </x:c>
      <x:c r="N584" t="str">
        <x:v>DOMESTIC LIMITED LIABILITY COMPANY</x:v>
      </x:c>
      <x:c r="O584" t="str">
        <x:v>140 CHARLES STREET 14D LLC</x:v>
      </x:c>
      <x:c r="P584" t="str">
        <x:v>140 CHARLES STREET, APT 15B, c/o Vanessa Morris-Burke, NEW YORK, NY, 10014</x:v>
      </x:c>
      <x:c r="Q584" t="str"/>
      <x:c r="R584" t="str"/>
      <x:c r="S584" t="str"/>
      <x:c r="T584" t="str"/>
      <x:c r="U584" t="str"/>
      <x:c r="V584" t="str"/>
      <x:c r="W584" t="str"/>
      <x:c r="X584" t="str"/>
      <x:c r="Y584" t="str">
        <x:v>https://data.ny.gov/Economic-Development/Active-Corporations-Beginning-1800/n9v6-gdp6</x:v>
      </x:c>
    </x:row>
    <x:row r="585">
      <x:c r="A585" t="str">
        <x:v>DOS-4-071</x:v>
      </x:c>
      <x:c r="B585" t="n">
        <x:v>4</x:v>
      </x:c>
      <x:c r="C585" t="str">
        <x:v>140 CHARLES STREET, UNIT 15B, NEW YORK, NY, 10014, US</x:v>
      </x:c>
      <x:c r="D585" t="str">
        <x:v>140 CHARLES STREET 15 LLC</x:v>
      </x:c>
      <x:c r="E585" t="str">
        <x:v>140 CHARLES STREET 15 LLC</x:v>
      </x:c>
      <x:c r="F585" t="str">
        <x:v>Active name match</x:v>
      </x:c>
      <x:c r="G585" t="n">
        <x:v>1</x:v>
      </x:c>
      <x:c r="H585" t="n">
        <x:v>1</x:v>
      </x:c>
      <x:c r="I585" t="str">
        <x:v>5041529</x:v>
      </x:c>
      <x:c r="J585" t="str">
        <x:v>140 CHARLES STREET 15 LLC</x:v>
      </x:c>
      <x:c r="K585" s="55" t="n">
        <x:v>42695</x:v>
      </x:c>
      <x:c r="L585" t="str">
        <x:v>New York</x:v>
      </x:c>
      <x:c r="M585" t="str">
        <x:v>New York</x:v>
      </x:c>
      <x:c r="N585" t="str">
        <x:v>DOMESTIC LIMITED LIABILITY COMPANY</x:v>
      </x:c>
      <x:c r="O585" t="str">
        <x:v>140 CHARLES STREET 15 LLC</x:v>
      </x:c>
      <x:c r="P585" t="str">
        <x:v>140 CHARLES STREET, APT 15B, c/o Vanessa Morris-Burke, NEW YORK, NY, 10014</x:v>
      </x:c>
      <x:c r="Q585" t="str"/>
      <x:c r="R585" t="str"/>
      <x:c r="S585" t="str"/>
      <x:c r="T585" t="str"/>
      <x:c r="U585" t="str"/>
      <x:c r="V585" t="str"/>
      <x:c r="W585" t="str"/>
      <x:c r="X585" t="str"/>
      <x:c r="Y585" t="str">
        <x:v>https://data.ny.gov/Economic-Development/Active-Corporations-Beginning-1800/n9v6-gdp6</x:v>
      </x:c>
    </x:row>
    <x:row r="586">
      <x:c r="A586" t="str">
        <x:v>DOS-4-072</x:v>
      </x:c>
      <x:c r="B586" t="n">
        <x:v>4</x:v>
      </x:c>
      <x:c r="C586" t="str">
        <x:v>147-18 HILLSIDE AVENUE, BRIARWOOD, NY, 11435, US</x:v>
      </x:c>
      <x:c r="D586" t="str">
        <x:v>532 BEACH 72ND LLC</x:v>
      </x:c>
      <x:c r="E586" t="str">
        <x:v>532 BEACH 72ND LLC</x:v>
      </x:c>
      <x:c r="F586" t="str">
        <x:v>Address-corroborated active match</x:v>
      </x:c>
      <x:c r="G586" t="n">
        <x:v>1</x:v>
      </x:c>
      <x:c r="H586" t="n">
        <x:v>2</x:v>
      </x:c>
      <x:c r="I586" t="str">
        <x:v>7445568</x:v>
      </x:c>
      <x:c r="J586" t="str">
        <x:v>532 BEACH 72ND LLC</x:v>
      </x:c>
      <x:c r="K586" s="55" t="n">
        <x:v>45584</x:v>
      </x:c>
      <x:c r="L586" t="str">
        <x:v>Queens</x:v>
      </x:c>
      <x:c r="M586" t="str">
        <x:v>New York</x:v>
      </x:c>
      <x:c r="N586" t="str">
        <x:v>DOMESTIC LIMITED LIABILITY COMPANY</x:v>
      </x:c>
      <x:c r="O586" t="str">
        <x:v>532 BEACH 72ND LLC</x:v>
      </x:c>
      <x:c r="P586" t="str">
        <x:v>147-18 HILLSIDE AVE, JAMAICA, NY, 11435</x:v>
      </x:c>
      <x:c r="Q586" t="str"/>
      <x:c r="R586" t="str"/>
      <x:c r="S586" t="str"/>
      <x:c r="T586" t="str"/>
      <x:c r="U586" t="str"/>
      <x:c r="V586" t="str"/>
      <x:c r="W586" t="str"/>
      <x:c r="X586" t="str"/>
      <x:c r="Y586" t="str">
        <x:v>https://data.ny.gov/Economic-Development/Active-Corporations-Beginning-1800/n9v6-gdp6</x:v>
      </x:c>
    </x:row>
    <x:row r="587">
      <x:c r="A587" t="str">
        <x:v>DOS-4-072</x:v>
      </x:c>
      <x:c r="B587" t="n">
        <x:v>4</x:v>
      </x:c>
      <x:c r="C587" t="str">
        <x:v>147-18 HILLSIDE AVENUE, BRIARWOOD, NY, 11435, US</x:v>
      </x:c>
      <x:c r="D587" t="str">
        <x:v>BEACH 29 GROUP LLC</x:v>
      </x:c>
      <x:c r="E587" t="str">
        <x:v>BEACH 29 GROUP LLC</x:v>
      </x:c>
      <x:c r="F587" t="str">
        <x:v>Address-corroborated active match</x:v>
      </x:c>
      <x:c r="G587" t="n">
        <x:v>1</x:v>
      </x:c>
      <x:c r="H587" t="n">
        <x:v>2</x:v>
      </x:c>
      <x:c r="I587" t="str">
        <x:v>7491603</x:v>
      </x:c>
      <x:c r="J587" t="str">
        <x:v>BEACH 29 GROUP LLC</x:v>
      </x:c>
      <x:c r="K587" s="55" t="n">
        <x:v>45649</x:v>
      </x:c>
      <x:c r="L587" t="str">
        <x:v>Queens</x:v>
      </x:c>
      <x:c r="M587" t="str">
        <x:v>New York</x:v>
      </x:c>
      <x:c r="N587" t="str">
        <x:v>DOMESTIC LIMITED LIABILITY COMPANY</x:v>
      </x:c>
      <x:c r="O587" t="str">
        <x:v>Beach 29 Group LLC</x:v>
      </x:c>
      <x:c r="P587" t="str">
        <x:v>147-18 Hillside Ave, Jamaica, NY, 11435</x:v>
      </x:c>
      <x:c r="Q587" t="str"/>
      <x:c r="R587" t="str"/>
      <x:c r="S587" t="str"/>
      <x:c r="T587" t="str"/>
      <x:c r="U587" t="str"/>
      <x:c r="V587" t="str"/>
      <x:c r="W587" t="str"/>
      <x:c r="X587" t="str"/>
      <x:c r="Y587" t="str">
        <x:v>https://data.ny.gov/Economic-Development/Active-Corporations-Beginning-1800/n9v6-gdp6</x:v>
      </x:c>
    </x:row>
    <x:row r="588">
      <x:c r="A588" t="str">
        <x:v>DOS-4-072</x:v>
      </x:c>
      <x:c r="B588" t="n">
        <x:v>4</x:v>
      </x:c>
      <x:c r="C588" t="str">
        <x:v>147-18 HILLSIDE AVENUE, BRIARWOOD, NY, 11435, US</x:v>
      </x:c>
      <x:c r="D588" t="str">
        <x:v>BEACH 29 MULTIFAMILY LLC</x:v>
      </x:c>
      <x:c r="E588" t="str">
        <x:v>BEACH 29 MULTIFAMILY LLC</x:v>
      </x:c>
      <x:c r="F588" t="str">
        <x:v>Address-corroborated active match</x:v>
      </x:c>
      <x:c r="G588" t="n">
        <x:v>1</x:v>
      </x:c>
      <x:c r="H588" t="n">
        <x:v>2</x:v>
      </x:c>
      <x:c r="I588" t="str">
        <x:v>7489286</x:v>
      </x:c>
      <x:c r="J588" t="str">
        <x:v>BEACH 29 MULTIFAMILY LLC</x:v>
      </x:c>
      <x:c r="K588" s="55" t="n">
        <x:v>45644</x:v>
      </x:c>
      <x:c r="L588" t="str">
        <x:v>Nassau</x:v>
      </x:c>
      <x:c r="M588" t="str">
        <x:v>New York</x:v>
      </x:c>
      <x:c r="N588" t="str">
        <x:v>DOMESTIC LIMITED LIABILITY COMPANY</x:v>
      </x:c>
      <x:c r="O588" t="str">
        <x:v>Beach 29 Multifamily LLC</x:v>
      </x:c>
      <x:c r="P588" t="str">
        <x:v>147-18 Hillside Ave, Jamaica, NY, 11435</x:v>
      </x:c>
      <x:c r="Q588" t="str"/>
      <x:c r="R588" t="str"/>
      <x:c r="S588" t="str"/>
      <x:c r="T588" t="str"/>
      <x:c r="U588" t="str"/>
      <x:c r="V588" t="str"/>
      <x:c r="W588" t="str"/>
      <x:c r="X588" t="str"/>
      <x:c r="Y588" t="str">
        <x:v>https://data.ny.gov/Economic-Development/Active-Corporations-Beginning-1800/n9v6-gdp6</x:v>
      </x:c>
    </x:row>
    <x:row r="589">
      <x:c r="A589" t="str">
        <x:v>DOS-4-072</x:v>
      </x:c>
      <x:c r="B589" t="n">
        <x:v>4</x:v>
      </x:c>
      <x:c r="C589" t="str">
        <x:v>147-18 HILLSIDE AVENUE, BRIARWOOD, NY, 11435, US</x:v>
      </x:c>
      <x:c r="D589" t="str">
        <x:v>BEACH 31 BUYER LLC</x:v>
      </x:c>
      <x:c r="E589" t="str">
        <x:v>BEACH 31 BUYER LLC</x:v>
      </x:c>
      <x:c r="F589" t="str">
        <x:v>Address-corroborated active match</x:v>
      </x:c>
      <x:c r="G589" t="n">
        <x:v>1</x:v>
      </x:c>
      <x:c r="H589" t="n">
        <x:v>2</x:v>
      </x:c>
      <x:c r="I589" t="str">
        <x:v>7492739</x:v>
      </x:c>
      <x:c r="J589" t="str">
        <x:v>BEACH 31 BUYER LLC</x:v>
      </x:c>
      <x:c r="K589" s="55" t="n">
        <x:v>45650</x:v>
      </x:c>
      <x:c r="L589" t="str">
        <x:v>Queens</x:v>
      </x:c>
      <x:c r="M589" t="str">
        <x:v>New York</x:v>
      </x:c>
      <x:c r="N589" t="str">
        <x:v>DOMESTIC LIMITED LIABILITY COMPANY</x:v>
      </x:c>
      <x:c r="O589" t="str">
        <x:v>BEACH 31 BUYER LLC</x:v>
      </x:c>
      <x:c r="P589" t="str">
        <x:v>147-18 Hillside Ave, Jamaica, NY, 11435</x:v>
      </x:c>
      <x:c r="Q589" t="str"/>
      <x:c r="R589" t="str"/>
      <x:c r="S589" t="str"/>
      <x:c r="T589" t="str"/>
      <x:c r="U589" t="str"/>
      <x:c r="V589" t="str"/>
      <x:c r="W589" t="str"/>
      <x:c r="X589" t="str"/>
      <x:c r="Y589" t="str">
        <x:v>https://data.ny.gov/Economic-Development/Active-Corporations-Beginning-1800/n9v6-gdp6</x:v>
      </x:c>
    </x:row>
    <x:row r="590">
      <x:c r="A590" t="str">
        <x:v>DOS-4-073</x:v>
      </x:c>
      <x:c r="B590" t="n">
        <x:v>4</x:v>
      </x:c>
      <x:c r="C590" t="str">
        <x:v>1517 VOORHIES AVENUE, BROOKLYN, NY, 11235, US</x:v>
      </x:c>
      <x:c r="D590" t="str">
        <x:v>1517 VOORHIES AVE LLC</x:v>
      </x:c>
      <x:c r="E590" t="str">
        <x:v>1517 VOORHIES AVE LLC</x:v>
      </x:c>
      <x:c r="F590" t="str">
        <x:v>Address-corroborated active match</x:v>
      </x:c>
      <x:c r="G590" t="n">
        <x:v>1</x:v>
      </x:c>
      <x:c r="H590" t="n">
        <x:v>2</x:v>
      </x:c>
      <x:c r="I590" t="str">
        <x:v>4353962</x:v>
      </x:c>
      <x:c r="J590" t="str">
        <x:v>1517 VOORHIES AVE LLC</x:v>
      </x:c>
      <x:c r="K590" s="55" t="n">
        <x:v>41305</x:v>
      </x:c>
      <x:c r="L590" t="str">
        <x:v>Kings</x:v>
      </x:c>
      <x:c r="M590" t="str">
        <x:v>New York</x:v>
      </x:c>
      <x:c r="N590" t="str">
        <x:v>DOMESTIC LIMITED LIABILITY COMPANY</x:v>
      </x:c>
      <x:c r="O590" t="str">
        <x:v>SEMYON VALLER</x:v>
      </x:c>
      <x:c r="P590" t="str">
        <x:v>1517 VOORHIES AVE, BROOKLYN, NY, 11235</x:v>
      </x:c>
      <x:c r="Q590" t="str"/>
      <x:c r="R590" t="str"/>
      <x:c r="S590" t="str"/>
      <x:c r="T590" t="str"/>
      <x:c r="U590" t="str"/>
      <x:c r="V590" t="str"/>
      <x:c r="W590" t="str"/>
      <x:c r="X590" t="str"/>
      <x:c r="Y590" t="str">
        <x:v>https://data.ny.gov/Economic-Development/Active-Corporations-Beginning-1800/n9v6-gdp6</x:v>
      </x:c>
    </x:row>
    <x:row r="591">
      <x:c r="A591" t="str">
        <x:v>DOS-4-073</x:v>
      </x:c>
      <x:c r="B591" t="n">
        <x:v>4</x:v>
      </x:c>
      <x:c r="C591" t="str">
        <x:v>1517 VOORHIES AVENUE, BROOKLYN, NY, 11235, US</x:v>
      </x:c>
      <x:c r="D591" t="str">
        <x:v>1605 VOORHIES AVE LLC</x:v>
      </x:c>
      <x:c r="E591" t="str">
        <x:v>1605 VOORHIES AVE LLC</x:v>
      </x:c>
      <x:c r="F591" t="str">
        <x:v>Address-corroborated active match</x:v>
      </x:c>
      <x:c r="G591" t="n">
        <x:v>1</x:v>
      </x:c>
      <x:c r="H591" t="n">
        <x:v>2</x:v>
      </x:c>
      <x:c r="I591" t="str">
        <x:v>4353953</x:v>
      </x:c>
      <x:c r="J591" t="str">
        <x:v>1605 VOORHIES AVE LLC</x:v>
      </x:c>
      <x:c r="K591" s="55" t="n">
        <x:v>41305</x:v>
      </x:c>
      <x:c r="L591" t="str">
        <x:v>Kings</x:v>
      </x:c>
      <x:c r="M591" t="str">
        <x:v>New York</x:v>
      </x:c>
      <x:c r="N591" t="str">
        <x:v>DOMESTIC LIMITED LIABILITY COMPANY</x:v>
      </x:c>
      <x:c r="O591" t="str">
        <x:v>SEMYON VALLER</x:v>
      </x:c>
      <x:c r="P591" t="str">
        <x:v>1517 VOORHIES AVE, BROOKLYN, NY, 11235</x:v>
      </x:c>
      <x:c r="Q591" t="str"/>
      <x:c r="R591" t="str"/>
      <x:c r="S591" t="str"/>
      <x:c r="T591" t="str"/>
      <x:c r="U591" t="str"/>
      <x:c r="V591" t="str"/>
      <x:c r="W591" t="str"/>
      <x:c r="X591" t="str"/>
      <x:c r="Y591" t="str">
        <x:v>https://data.ny.gov/Economic-Development/Active-Corporations-Beginning-1800/n9v6-gdp6</x:v>
      </x:c>
    </x:row>
    <x:row r="592">
      <x:c r="A592" t="str">
        <x:v>DOS-4-073</x:v>
      </x:c>
      <x:c r="B592" t="n">
        <x:v>4</x:v>
      </x:c>
      <x:c r="C592" t="str">
        <x:v>1517 VOORHIES AVENUE, BROOKLYN, NY, 11235, US</x:v>
      </x:c>
      <x:c r="D592" t="str">
        <x:v>2736 2738 OCEAN AVENUE LLC</x:v>
      </x:c>
      <x:c r="E592" t="str">
        <x:v>2736-2738 OCEAN AVENUE LLC</x:v>
      </x:c>
      <x:c r="F592" t="str">
        <x:v>No active DOS match</x:v>
      </x:c>
      <x:c r="G592" t="n">
        <x:v>0</x:v>
      </x:c>
      <x:c r="H592" t="n">
        <x:v>0</x:v>
      </x:c>
      <x:c r="I592" t="str"/>
      <x:c r="J592" t="str"/>
      <x:c r="K592" s="55" t="str"/>
      <x:c r="L592" t="str"/>
      <x:c r="M592" t="str"/>
      <x:c r="N592" t="str"/>
      <x:c r="O592" t="str"/>
      <x:c r="P592" t="str"/>
      <x:c r="Q592" t="str"/>
      <x:c r="R592" t="str"/>
      <x:c r="S592" t="str"/>
      <x:c r="T592" t="str"/>
      <x:c r="U592" t="str"/>
      <x:c r="V592" t="str"/>
      <x:c r="W592" t="str"/>
      <x:c r="X592" t="str"/>
      <x:c r="Y592" t="str">
        <x:v>https://data.ny.gov/Economic-Development/Active-Corporations-Beginning-1800/n9v6-gdp6</x:v>
      </x:c>
    </x:row>
    <x:row r="593">
      <x:c r="A593" t="str">
        <x:v>DOS-4-073</x:v>
      </x:c>
      <x:c r="B593" t="n">
        <x:v>4</x:v>
      </x:c>
      <x:c r="C593" t="str">
        <x:v>1517 VOORHIES AVENUE, BROOKLYN, NY, 11235, US</x:v>
      </x:c>
      <x:c r="D593" t="str">
        <x:v>TRIBOROUGH GI REALTY LLC</x:v>
      </x:c>
      <x:c r="E593" t="str">
        <x:v>TRIBOROUGH GI REALTY, LLC</x:v>
      </x:c>
      <x:c r="F593" t="str">
        <x:v>Active name match</x:v>
      </x:c>
      <x:c r="G593" t="n">
        <x:v>1</x:v>
      </x:c>
      <x:c r="H593" t="n">
        <x:v>1</x:v>
      </x:c>
      <x:c r="I593" t="str">
        <x:v>5387534</x:v>
      </x:c>
      <x:c r="J593" t="str">
        <x:v>TRIBOROUGH GI REALTY LLC</x:v>
      </x:c>
      <x:c r="K593" s="55" t="n">
        <x:v>43315</x:v>
      </x:c>
      <x:c r="L593" t="str">
        <x:v>Kings</x:v>
      </x:c>
      <x:c r="M593" t="str">
        <x:v>New York</x:v>
      </x:c>
      <x:c r="N593" t="str">
        <x:v>DOMESTIC LIMITED LIABILITY COMPANY</x:v>
      </x:c>
      <x:c r="O593" t="str">
        <x:v>TRIBOROUGH GI REALTY LLC</x:v>
      </x:c>
      <x:c r="P593" t="str">
        <x:v>1672-1674 Sheepshead Bay Road, BROOKLYN, NY, 11235</x:v>
      </x:c>
      <x:c r="Q593" t="str"/>
      <x:c r="R593" t="str"/>
      <x:c r="S593" t="str"/>
      <x:c r="T593" t="str"/>
      <x:c r="U593" t="str"/>
      <x:c r="V593" t="str"/>
      <x:c r="W593" t="str"/>
      <x:c r="X593" t="str"/>
      <x:c r="Y593" t="str">
        <x:v>https://data.ny.gov/Economic-Development/Active-Corporations-Beginning-1800/n9v6-gdp6</x:v>
      </x:c>
    </x:row>
    <x:row r="594">
      <x:c r="A594" t="str">
        <x:v>DOS-4-074</x:v>
      </x:c>
      <x:c r="B594" t="n">
        <x:v>4</x:v>
      </x:c>
      <x:c r="C594" t="str">
        <x:v>160-23   24 AVENUE`, WHITESTONE, NY, 11357, US | 160-23  24  AVENUE, WHITESTONE, NY, 11357, US | 160-23  24 AVENUE, WHITESTONE, NY, 11357, US</x:v>
      </x:c>
      <x:c r="D594" t="str">
        <x:v>1704 WOODBINE REALTY LLC</x:v>
      </x:c>
      <x:c r="E594" t="str">
        <x:v>1704  WOODBINE REALTY LLC</x:v>
      </x:c>
      <x:c r="F594" t="str">
        <x:v>Active name match</x:v>
      </x:c>
      <x:c r="G594" t="n">
        <x:v>1</x:v>
      </x:c>
      <x:c r="H594" t="n">
        <x:v>0</x:v>
      </x:c>
      <x:c r="I594" t="str">
        <x:v>3295026</x:v>
      </x:c>
      <x:c r="J594" t="str">
        <x:v>1704 WOODBINE REALTY LLC</x:v>
      </x:c>
      <x:c r="K594" s="55" t="n">
        <x:v>38706</x:v>
      </x:c>
      <x:c r="L594" t="str">
        <x:v>Queens</x:v>
      </x:c>
      <x:c r="M594" t="str">
        <x:v>New York</x:v>
      </x:c>
      <x:c r="N594" t="str">
        <x:v>DOMESTIC LIMITED LIABILITY COMPANY</x:v>
      </x:c>
      <x:c r="O594" t="str">
        <x:v>1704 WOODBINE REALTY LLC</x:v>
      </x:c>
      <x:c r="P594" t="str">
        <x:v>9 EDSON LANE, OLD BROOKVILLE, NY, 11545</x:v>
      </x:c>
      <x:c r="Q594" t="str"/>
      <x:c r="R594" t="str"/>
      <x:c r="S594" t="str"/>
      <x:c r="T594" t="str"/>
      <x:c r="U594" t="str"/>
      <x:c r="V594" t="str"/>
      <x:c r="W594" t="str"/>
      <x:c r="X594" t="str"/>
      <x:c r="Y594" t="str">
        <x:v>https://data.ny.gov/Economic-Development/Active-Corporations-Beginning-1800/n9v6-gdp6</x:v>
      </x:c>
    </x:row>
    <x:row r="595">
      <x:c r="A595" t="str">
        <x:v>DOS-4-074</x:v>
      </x:c>
      <x:c r="B595" t="n">
        <x:v>4</x:v>
      </x:c>
      <x:c r="C595" t="str">
        <x:v>160-23   24 AVENUE`, WHITESTONE, NY, 11357, US | 160-23  24  AVENUE, WHITESTONE, NY, 11357, US | 160-23  24 AVENUE, WHITESTONE, NY, 11357, US</x:v>
      </x:c>
      <x:c r="D595" t="str">
        <x:v>1710 PALMETTO REALTY LLC</x:v>
      </x:c>
      <x:c r="E595" t="str">
        <x:v>1710 PALMETTO  REALTY   LLC</x:v>
      </x:c>
      <x:c r="F595" t="str">
        <x:v>Active name match</x:v>
      </x:c>
      <x:c r="G595" t="n">
        <x:v>1</x:v>
      </x:c>
      <x:c r="H595" t="n">
        <x:v>1</x:v>
      </x:c>
      <x:c r="I595" t="str">
        <x:v>3295029</x:v>
      </x:c>
      <x:c r="J595" t="str">
        <x:v>1710 PALMETTO REALTY LLC</x:v>
      </x:c>
      <x:c r="K595" s="55" t="n">
        <x:v>38706</x:v>
      </x:c>
      <x:c r="L595" t="str">
        <x:v>Queens</x:v>
      </x:c>
      <x:c r="M595" t="str">
        <x:v>New York</x:v>
      </x:c>
      <x:c r="N595" t="str">
        <x:v>DOMESTIC LIMITED LIABILITY COMPANY</x:v>
      </x:c>
      <x:c r="O595" t="str">
        <x:v>1710 PALMETTO REALTY LLC</x:v>
      </x:c>
      <x:c r="P595" t="str">
        <x:v>38 CENTER DRIVE, WHITESTONE, NY, 11357</x:v>
      </x:c>
      <x:c r="Q595" t="str"/>
      <x:c r="R595" t="str"/>
      <x:c r="S595" t="str"/>
      <x:c r="T595" t="str"/>
      <x:c r="U595" t="str"/>
      <x:c r="V595" t="str"/>
      <x:c r="W595" t="str"/>
      <x:c r="X595" t="str"/>
      <x:c r="Y595" t="str">
        <x:v>https://data.ny.gov/Economic-Development/Active-Corporations-Beginning-1800/n9v6-gdp6</x:v>
      </x:c>
    </x:row>
    <x:row r="596">
      <x:c r="A596" t="str">
        <x:v>DOS-4-074</x:v>
      </x:c>
      <x:c r="B596" t="n">
        <x:v>4</x:v>
      </x:c>
      <x:c r="C596" t="str">
        <x:v>160-23   24 AVENUE`, WHITESTONE, NY, 11357, US | 160-23  24  AVENUE, WHITESTONE, NY, 11357, US | 160-23  24 AVENUE, WHITESTONE, NY, 11357, US</x:v>
      </x:c>
      <x:c r="D596" t="str">
        <x:v>5934 LINDEN REALTY LLC</x:v>
      </x:c>
      <x:c r="E596" t="str">
        <x:v>5934 LINDEN REALTY LLC</x:v>
      </x:c>
      <x:c r="F596" t="str">
        <x:v>Active name match</x:v>
      </x:c>
      <x:c r="G596" t="n">
        <x:v>1</x:v>
      </x:c>
      <x:c r="H596" t="n">
        <x:v>1</x:v>
      </x:c>
      <x:c r="I596" t="str">
        <x:v>3295032</x:v>
      </x:c>
      <x:c r="J596" t="str">
        <x:v>5934 LINDEN REALTY LLC</x:v>
      </x:c>
      <x:c r="K596" s="55" t="n">
        <x:v>38706</x:v>
      </x:c>
      <x:c r="L596" t="str">
        <x:v>Queens</x:v>
      </x:c>
      <x:c r="M596" t="str">
        <x:v>New York</x:v>
      </x:c>
      <x:c r="N596" t="str">
        <x:v>DOMESTIC LIMITED LIABILITY COMPANY</x:v>
      </x:c>
      <x:c r="O596" t="str">
        <x:v>5934 LINDEN REALTY LLC</x:v>
      </x:c>
      <x:c r="P596" t="str">
        <x:v>38 CENTER DRIVE, WHITESTONE, NY, 11357</x:v>
      </x:c>
      <x:c r="Q596" t="str"/>
      <x:c r="R596" t="str"/>
      <x:c r="S596" t="str"/>
      <x:c r="T596" t="str"/>
      <x:c r="U596" t="str"/>
      <x:c r="V596" t="str"/>
      <x:c r="W596" t="str"/>
      <x:c r="X596" t="str"/>
      <x:c r="Y596" t="str">
        <x:v>https://data.ny.gov/Economic-Development/Active-Corporations-Beginning-1800/n9v6-gdp6</x:v>
      </x:c>
    </x:row>
    <x:row r="597">
      <x:c r="A597" t="str">
        <x:v>DOS-4-074</x:v>
      </x:c>
      <x:c r="B597" t="n">
        <x:v>4</x:v>
      </x:c>
      <x:c r="C597" t="str">
        <x:v>160-23   24 AVENUE`, WHITESTONE, NY, 11357, US | 160-23  24  AVENUE, WHITESTONE, NY, 11357, US | 160-23  24 AVENUE, WHITESTONE, NY, 11357, US</x:v>
      </x:c>
      <x:c r="D597" t="str">
        <x:v>6331 FOREST REALTY LLC</x:v>
      </x:c>
      <x:c r="E597" t="str">
        <x:v>6331  FOREST REALTY LLC</x:v>
      </x:c>
      <x:c r="F597" t="str">
        <x:v>Active name match</x:v>
      </x:c>
      <x:c r="G597" t="n">
        <x:v>1</x:v>
      </x:c>
      <x:c r="H597" t="n">
        <x:v>0</x:v>
      </x:c>
      <x:c r="I597" t="str">
        <x:v>3295035</x:v>
      </x:c>
      <x:c r="J597" t="str">
        <x:v>6331 FOREST REALTY LLC</x:v>
      </x:c>
      <x:c r="K597" s="55" t="n">
        <x:v>38706</x:v>
      </x:c>
      <x:c r="L597" t="str">
        <x:v>Queens</x:v>
      </x:c>
      <x:c r="M597" t="str">
        <x:v>New York</x:v>
      </x:c>
      <x:c r="N597" t="str">
        <x:v>DOMESTIC LIMITED LIABILITY COMPANY</x:v>
      </x:c>
      <x:c r="O597" t="str">
        <x:v>6331 FOREST REALTY LLC</x:v>
      </x:c>
      <x:c r="P597" t="str">
        <x:v>9 EDSON LANE, Glen Head, NY, 11545</x:v>
      </x:c>
      <x:c r="Q597" t="str"/>
      <x:c r="R597" t="str"/>
      <x:c r="S597" t="str"/>
      <x:c r="T597" t="str"/>
      <x:c r="U597" t="str"/>
      <x:c r="V597" t="str"/>
      <x:c r="W597" t="str"/>
      <x:c r="X597" t="str"/>
      <x:c r="Y597" t="str">
        <x:v>https://data.ny.gov/Economic-Development/Active-Corporations-Beginning-1800/n9v6-gdp6</x:v>
      </x:c>
    </x:row>
    <x:row r="598">
      <x:c r="A598" t="str">
        <x:v>DOS-4-075</x:v>
      </x:c>
      <x:c r="B598" t="n">
        <x:v>4</x:v>
      </x:c>
      <x:c r="C598" t="str">
        <x:v>175 VAN DYKE STREET, SUITE 322A, BROOKLYN, NY, 11231, US</x:v>
      </x:c>
      <x:c r="D598" t="str">
        <x:v>146 CONOVER STREET LLC</x:v>
      </x:c>
      <x:c r="E598" t="str">
        <x:v>146 CONOVER STREET LLC</x:v>
      </x:c>
      <x:c r="F598" t="str">
        <x:v>Address-corroborated active match</x:v>
      </x:c>
      <x:c r="G598" t="n">
        <x:v>1</x:v>
      </x:c>
      <x:c r="H598" t="n">
        <x:v>2</x:v>
      </x:c>
      <x:c r="I598" t="str">
        <x:v>4281395</x:v>
      </x:c>
      <x:c r="J598" t="str">
        <x:v>146 CONOVER STREET LLC</x:v>
      </x:c>
      <x:c r="K598" s="55" t="n">
        <x:v>41130</x:v>
      </x:c>
      <x:c r="L598" t="str">
        <x:v>Kings</x:v>
      </x:c>
      <x:c r="M598" t="str">
        <x:v>New York</x:v>
      </x:c>
      <x:c r="N598" t="str">
        <x:v>DOMESTIC LIMITED LIABILITY COMPANY</x:v>
      </x:c>
      <x:c r="O598" t="str">
        <x:v>146 CONOVER STREET LLC</x:v>
      </x:c>
      <x:c r="P598" t="str">
        <x:v>175 VAN DYKE STREET, BROOKLYN, NY, 11231</x:v>
      </x:c>
      <x:c r="Q598" t="str"/>
      <x:c r="R598" t="str"/>
      <x:c r="S598" t="str"/>
      <x:c r="T598" t="str"/>
      <x:c r="U598" t="str"/>
      <x:c r="V598" t="str"/>
      <x:c r="W598" t="str"/>
      <x:c r="X598" t="str"/>
      <x:c r="Y598" t="str">
        <x:v>https://data.ny.gov/Economic-Development/Active-Corporations-Beginning-1800/n9v6-gdp6</x:v>
      </x:c>
    </x:row>
    <x:row r="599">
      <x:c r="A599" t="str">
        <x:v>DOS-4-075</x:v>
      </x:c>
      <x:c r="B599" t="n">
        <x:v>4</x:v>
      </x:c>
      <x:c r="C599" t="str">
        <x:v>175 VAN DYKE STREET, SUITE 322A, BROOKLYN, NY, 11231, US</x:v>
      </x:c>
      <x:c r="D599" t="str">
        <x:v>16 TIFFANY PL LLC</x:v>
      </x:c>
      <x:c r="E599" t="str">
        <x:v>16 TIFFANY PL., LLC</x:v>
      </x:c>
      <x:c r="F599" t="str">
        <x:v>Active name match</x:v>
      </x:c>
      <x:c r="G599" t="n">
        <x:v>1</x:v>
      </x:c>
      <x:c r="H599" t="n">
        <x:v>1</x:v>
      </x:c>
      <x:c r="I599" t="str">
        <x:v>7505958</x:v>
      </x:c>
      <x:c r="J599" t="str">
        <x:v>16 TIFFANY PL., LLC</x:v>
      </x:c>
      <x:c r="K599" s="55" t="n">
        <x:v>45669</x:v>
      </x:c>
      <x:c r="L599" t="str">
        <x:v>Kings</x:v>
      </x:c>
      <x:c r="M599" t="str">
        <x:v>New York</x:v>
      </x:c>
      <x:c r="N599" t="str">
        <x:v>DOMESTIC LIMITED LIABILITY COMPANY</x:v>
      </x:c>
      <x:c r="O599" t="str">
        <x:v>O'Connell Organization LLC</x:v>
      </x:c>
      <x:c r="P599" t="str">
        <x:v>Attn Gregory T. O'Connell, 175 Van Dyke Street, Unit 322A, Brooklyn, NY, 11231</x:v>
      </x:c>
      <x:c r="Q599" t="str"/>
      <x:c r="R599" t="str"/>
      <x:c r="S599" t="str"/>
      <x:c r="T599" t="str"/>
      <x:c r="U599" t="str"/>
      <x:c r="V599" t="str"/>
      <x:c r="W599" t="str"/>
      <x:c r="X599" t="str"/>
      <x:c r="Y599" t="str">
        <x:v>https://data.ny.gov/Economic-Development/Active-Corporations-Beginning-1800/n9v6-gdp6</x:v>
      </x:c>
    </x:row>
    <x:row r="600">
      <x:c r="A600" t="str">
        <x:v>DOS-4-075</x:v>
      </x:c>
      <x:c r="B600" t="n">
        <x:v>4</x:v>
      </x:c>
      <x:c r="C600" t="str">
        <x:v>175 VAN DYKE STREET, SUITE 322A, BROOKLYN, NY, 11231, US</x:v>
      </x:c>
      <x:c r="D600" t="str">
        <x:v>238 CONOVER STREET LLC</x:v>
      </x:c>
      <x:c r="E600" t="str">
        <x:v>238 CONOVER STREET, LLC</x:v>
      </x:c>
      <x:c r="F600" t="str">
        <x:v>Active name match</x:v>
      </x:c>
      <x:c r="G600" t="n">
        <x:v>1</x:v>
      </x:c>
      <x:c r="H600" t="n">
        <x:v>1</x:v>
      </x:c>
      <x:c r="I600" t="str">
        <x:v>6518367</x:v>
      </x:c>
      <x:c r="J600" t="str">
        <x:v>238 CONOVER STREET, LLC</x:v>
      </x:c>
      <x:c r="K600" s="55" t="n">
        <x:v>44734</x:v>
      </x:c>
      <x:c r="L600" t="str">
        <x:v>Kings</x:v>
      </x:c>
      <x:c r="M600" t="str">
        <x:v>New York</x:v>
      </x:c>
      <x:c r="N600" t="str">
        <x:v>DOMESTIC LIMITED LIABILITY COMPANY</x:v>
      </x:c>
      <x:c r="O600" t="str">
        <x:v>Gregory T. O'Connell</x:v>
      </x:c>
      <x:c r="P600" t="str">
        <x:v>O'Connell Organization, LLC, 175 Van Dyke Street Suite 322A, Brooklyn, NY, 11231</x:v>
      </x:c>
      <x:c r="Q600" t="str"/>
      <x:c r="R600" t="str"/>
      <x:c r="S600" t="str"/>
      <x:c r="T600" t="str"/>
      <x:c r="U600" t="str"/>
      <x:c r="V600" t="str"/>
      <x:c r="W600" t="str"/>
      <x:c r="X600" t="str"/>
      <x:c r="Y600" t="str">
        <x:v>https://data.ny.gov/Economic-Development/Active-Corporations-Beginning-1800/n9v6-gdp6</x:v>
      </x:c>
    </x:row>
    <x:row r="601">
      <x:c r="A601" t="str">
        <x:v>DOS-4-075</x:v>
      </x:c>
      <x:c r="B601" t="n">
        <x:v>4</x:v>
      </x:c>
      <x:c r="C601" t="str">
        <x:v>175 VAN DYKE STREET, SUITE 322A, BROOKLYN, NY, 11231, US</x:v>
      </x:c>
      <x:c r="D601" t="str">
        <x:v>9 4TH PLACE LLC</x:v>
      </x:c>
      <x:c r="E601" t="str">
        <x:v>9 4TH PLACE, LLC</x:v>
      </x:c>
      <x:c r="F601" t="str">
        <x:v>Active name match</x:v>
      </x:c>
      <x:c r="G601" t="n">
        <x:v>1</x:v>
      </x:c>
      <x:c r="H601" t="n">
        <x:v>1</x:v>
      </x:c>
      <x:c r="I601" t="str">
        <x:v>4846246</x:v>
      </x:c>
      <x:c r="J601" t="str">
        <x:v>9 4TH PLACE, LLC</x:v>
      </x:c>
      <x:c r="K601" s="55" t="n">
        <x:v>42314</x:v>
      </x:c>
      <x:c r="L601" t="str">
        <x:v>Kings</x:v>
      </x:c>
      <x:c r="M601" t="str">
        <x:v>New York</x:v>
      </x:c>
      <x:c r="N601" t="str">
        <x:v>DOMESTIC LIMITED LIABILITY COMPANY</x:v>
      </x:c>
      <x:c r="O601" t="str">
        <x:v>9 4TH PLACE, LLC</x:v>
      </x:c>
      <x:c r="P601" t="str">
        <x:v>175 VAN DYKE STREET, STE. 322A, BROOKLYN, NY, 11231</x:v>
      </x:c>
      <x:c r="Q601" t="str"/>
      <x:c r="R601" t="str"/>
      <x:c r="S601" t="str"/>
      <x:c r="T601" t="str"/>
      <x:c r="U601" t="str"/>
      <x:c r="V601" t="str"/>
      <x:c r="W601" t="str"/>
      <x:c r="X601" t="str"/>
      <x:c r="Y601" t="str">
        <x:v>https://data.ny.gov/Economic-Development/Active-Corporations-Beginning-1800/n9v6-gdp6</x:v>
      </x:c>
    </x:row>
    <x:row r="602">
      <x:c r="A602" t="str">
        <x:v>DOS-4-076</x:v>
      </x:c>
      <x:c r="B602" t="n">
        <x:v>4</x:v>
      </x:c>
      <x:c r="C602" t="str">
        <x:v>1901 AMETHYST STREET, BRONX, NY, 10462, US</x:v>
      </x:c>
      <x:c r="D602" t="str">
        <x:v>1857 BARNES AVE LLC</x:v>
      </x:c>
      <x:c r="E602" t="str">
        <x:v>1857 BARNES AVE LLC</x:v>
      </x:c>
      <x:c r="F602" t="str">
        <x:v>Address-corroborated active match</x:v>
      </x:c>
      <x:c r="G602" t="n">
        <x:v>1</x:v>
      </x:c>
      <x:c r="H602" t="n">
        <x:v>2</x:v>
      </x:c>
      <x:c r="I602" t="str">
        <x:v>6027154</x:v>
      </x:c>
      <x:c r="J602" t="str">
        <x:v>1857 BARNES AVE. LLC</x:v>
      </x:c>
      <x:c r="K602" s="55" t="n">
        <x:v>44349</x:v>
      </x:c>
      <x:c r="L602" t="str">
        <x:v>Bronx</x:v>
      </x:c>
      <x:c r="M602" t="str">
        <x:v>New York</x:v>
      </x:c>
      <x:c r="N602" t="str">
        <x:v>DOMESTIC LIMITED LIABILITY COMPANY</x:v>
      </x:c>
      <x:c r="O602" t="str">
        <x:v>1857 BARNES AVE LLC</x:v>
      </x:c>
      <x:c r="P602" t="str">
        <x:v>1901 AMETHYST STREET, BRONX, NY, 10462</x:v>
      </x:c>
      <x:c r="Q602" t="str"/>
      <x:c r="R602" t="str"/>
      <x:c r="S602" t="str"/>
      <x:c r="T602" t="str"/>
      <x:c r="U602" t="str"/>
      <x:c r="V602" t="str"/>
      <x:c r="W602" t="str"/>
      <x:c r="X602" t="str"/>
      <x:c r="Y602" t="str">
        <x:v>https://data.ny.gov/Economic-Development/Active-Corporations-Beginning-1800/n9v6-gdp6</x:v>
      </x:c>
    </x:row>
    <x:row r="603">
      <x:c r="A603" t="str">
        <x:v>DOS-4-076</x:v>
      </x:c>
      <x:c r="B603" t="n">
        <x:v>4</x:v>
      </x:c>
      <x:c r="C603" t="str">
        <x:v>1901 AMETHYST STREET, BRONX, NY, 10462, US</x:v>
      </x:c>
      <x:c r="D603" t="str">
        <x:v>1901 AMETHYST STREET LLC</x:v>
      </x:c>
      <x:c r="E603" t="str">
        <x:v>1901 AMETHYST STREET LLC</x:v>
      </x:c>
      <x:c r="F603" t="str">
        <x:v>No active DOS match</x:v>
      </x:c>
      <x:c r="G603" t="n">
        <x:v>0</x:v>
      </x:c>
      <x:c r="H603" t="n">
        <x:v>0</x:v>
      </x:c>
      <x:c r="I603" t="str"/>
      <x:c r="J603" t="str"/>
      <x:c r="K603" s="55" t="str"/>
      <x:c r="L603" t="str"/>
      <x:c r="M603" t="str"/>
      <x:c r="N603" t="str"/>
      <x:c r="O603" t="str"/>
      <x:c r="P603" t="str"/>
      <x:c r="Q603" t="str"/>
      <x:c r="R603" t="str"/>
      <x:c r="S603" t="str"/>
      <x:c r="T603" t="str"/>
      <x:c r="U603" t="str"/>
      <x:c r="V603" t="str"/>
      <x:c r="W603" t="str"/>
      <x:c r="X603" t="str"/>
      <x:c r="Y603" t="str">
        <x:v>https://data.ny.gov/Economic-Development/Active-Corporations-Beginning-1800/n9v6-gdp6</x:v>
      </x:c>
    </x:row>
    <x:row r="604">
      <x:c r="A604" t="str">
        <x:v>DOS-4-076</x:v>
      </x:c>
      <x:c r="B604" t="n">
        <x:v>4</x:v>
      </x:c>
      <x:c r="C604" t="str">
        <x:v>1901 AMETHYST STREET, BRONX, NY, 10462, US</x:v>
      </x:c>
      <x:c r="D604" t="str">
        <x:v>1953 WALLACE AVE LLC</x:v>
      </x:c>
      <x:c r="E604" t="str">
        <x:v>1953 WALLACE AVE LLC</x:v>
      </x:c>
      <x:c r="F604" t="str">
        <x:v>Address-corroborated active match</x:v>
      </x:c>
      <x:c r="G604" t="n">
        <x:v>1</x:v>
      </x:c>
      <x:c r="H604" t="n">
        <x:v>2</x:v>
      </x:c>
      <x:c r="I604" t="str">
        <x:v>6027160</x:v>
      </x:c>
      <x:c r="J604" t="str">
        <x:v>1953 WALLACE AVE. LLC</x:v>
      </x:c>
      <x:c r="K604" s="55" t="n">
        <x:v>44349</x:v>
      </x:c>
      <x:c r="L604" t="str">
        <x:v>Bronx</x:v>
      </x:c>
      <x:c r="M604" t="str">
        <x:v>New York</x:v>
      </x:c>
      <x:c r="N604" t="str">
        <x:v>DOMESTIC LIMITED LIABILITY COMPANY</x:v>
      </x:c>
      <x:c r="O604" t="str">
        <x:v>1953 WALLACE AVE. LLC</x:v>
      </x:c>
      <x:c r="P604" t="str">
        <x:v>1901 AMETHYST STREET, BRONX, NY, 10462</x:v>
      </x:c>
      <x:c r="Q604" t="str"/>
      <x:c r="R604" t="str"/>
      <x:c r="S604" t="str"/>
      <x:c r="T604" t="str"/>
      <x:c r="U604" t="str"/>
      <x:c r="V604" t="str"/>
      <x:c r="W604" t="str"/>
      <x:c r="X604" t="str"/>
      <x:c r="Y604" t="str">
        <x:v>https://data.ny.gov/Economic-Development/Active-Corporations-Beginning-1800/n9v6-gdp6</x:v>
      </x:c>
    </x:row>
    <x:row r="605">
      <x:c r="A605" t="str">
        <x:v>DOS-4-076</x:v>
      </x:c>
      <x:c r="B605" t="n">
        <x:v>4</x:v>
      </x:c>
      <x:c r="C605" t="str">
        <x:v>1901 AMETHYST STREET, BRONX, NY, 10462, US</x:v>
      </x:c>
      <x:c r="D605" t="str">
        <x:v>TRACKSIDE HOMES LLC</x:v>
      </x:c>
      <x:c r="E605" t="str">
        <x:v>TRACKSIDE HOMES LLC</x:v>
      </x:c>
      <x:c r="F605" t="str">
        <x:v>No active DOS match</x:v>
      </x:c>
      <x:c r="G605" t="n">
        <x:v>0</x:v>
      </x:c>
      <x:c r="H605" t="n">
        <x:v>0</x:v>
      </x:c>
      <x:c r="I605" t="str"/>
      <x:c r="J605" t="str"/>
      <x:c r="K605" s="5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/>
      <x:c r="U605" t="str"/>
      <x:c r="V605" t="str"/>
      <x:c r="W605" t="str"/>
      <x:c r="X605" t="str"/>
      <x:c r="Y605" t="str">
        <x:v>https://data.ny.gov/Economic-Development/Active-Corporations-Beginning-1800/n9v6-gdp6</x:v>
      </x:c>
    </x:row>
    <x:row r="606">
      <x:c r="A606" t="str">
        <x:v>DOS-4-077</x:v>
      </x:c>
      <x:c r="B606" t="n">
        <x:v>4</x:v>
      </x:c>
      <x:c r="C606" t="str">
        <x:v>199 LEE AVENUE SUITE 1050, BROOKLYN, NY, 11211, US | 199 LEE AVENUE, SUITE 1050, BROOKLYN, NY, 11211, US</x:v>
      </x:c>
      <x:c r="D606" t="str">
        <x:v>2709 CLARENDON LLC</x:v>
      </x:c>
      <x:c r="E606" t="str">
        <x:v>2709 CLARENDON LLC</x:v>
      </x:c>
      <x:c r="F606" t="str">
        <x:v>Address-corroborated active match</x:v>
      </x:c>
      <x:c r="G606" t="n">
        <x:v>1</x:v>
      </x:c>
      <x:c r="H606" t="n">
        <x:v>2</x:v>
      </x:c>
      <x:c r="I606" t="str">
        <x:v>4772252</x:v>
      </x:c>
      <x:c r="J606" t="str">
        <x:v>2709 CLARENDON LLC</x:v>
      </x:c>
      <x:c r="K606" s="55" t="n">
        <x:v>42165</x:v>
      </x:c>
      <x:c r="L606" t="str">
        <x:v>Greene</x:v>
      </x:c>
      <x:c r="M606" t="str">
        <x:v>New York</x:v>
      </x:c>
      <x:c r="N606" t="str">
        <x:v>DOMESTIC LIMITED LIABILITY COMPANY</x:v>
      </x:c>
      <x:c r="O606" t="str">
        <x:v>2709 CLARENDON LLC</x:v>
      </x:c>
      <x:c r="P606" t="str">
        <x:v>199 LEE AVE, SUITE 1050, BROOKLYN, NY, 11211</x:v>
      </x:c>
      <x:c r="Q606" t="str"/>
      <x:c r="R606" t="str"/>
      <x:c r="S606" t="str"/>
      <x:c r="T606" t="str"/>
      <x:c r="U606" t="str"/>
      <x:c r="V606" t="str"/>
      <x:c r="W606" t="str"/>
      <x:c r="X606" t="str"/>
      <x:c r="Y606" t="str">
        <x:v>https://data.ny.gov/Economic-Development/Active-Corporations-Beginning-1800/n9v6-gdp6</x:v>
      </x:c>
    </x:row>
    <x:row r="607">
      <x:c r="A607" t="str">
        <x:v>DOS-4-077</x:v>
      </x:c>
      <x:c r="B607" t="n">
        <x:v>4</x:v>
      </x:c>
      <x:c r="C607" t="str">
        <x:v>199 LEE AVENUE SUITE 1050, BROOKLYN, NY, 11211, US | 199 LEE AVENUE, SUITE 1050, BROOKLYN, NY, 11211, US</x:v>
      </x:c>
      <x:c r="D607" t="str">
        <x:v>845 SCHENECTADY LLC</x:v>
      </x:c>
      <x:c r="E607" t="str">
        <x:v>845 SCHENECTADY LLC</x:v>
      </x:c>
      <x:c r="F607" t="str">
        <x:v>Address-corroborated active match</x:v>
      </x:c>
      <x:c r="G607" t="n">
        <x:v>1</x:v>
      </x:c>
      <x:c r="H607" t="n">
        <x:v>2</x:v>
      </x:c>
      <x:c r="I607" t="str">
        <x:v>5154288</x:v>
      </x:c>
      <x:c r="J607" t="str">
        <x:v>845 SCHENECTADY LLC</x:v>
      </x:c>
      <x:c r="K607" s="55" t="n">
        <x:v>42900</x:v>
      </x:c>
      <x:c r="L607" t="str">
        <x:v>Albany</x:v>
      </x:c>
      <x:c r="M607" t="str">
        <x:v>New York</x:v>
      </x:c>
      <x:c r="N607" t="str">
        <x:v>DOMESTIC LIMITED LIABILITY COMPANY</x:v>
      </x:c>
      <x:c r="O607" t="str">
        <x:v>845 SCHENECTADY LLC</x:v>
      </x:c>
      <x:c r="P607" t="str">
        <x:v>199 LEE AVENUE, SUITE 1050, BROOKLYN, NY, 11211</x:v>
      </x:c>
      <x:c r="Q607" t="str"/>
      <x:c r="R607" t="str"/>
      <x:c r="S607" t="str"/>
      <x:c r="T607" t="str"/>
      <x:c r="U607" t="str"/>
      <x:c r="V607" t="str"/>
      <x:c r="W607" t="str"/>
      <x:c r="X607" t="str"/>
      <x:c r="Y607" t="str">
        <x:v>https://data.ny.gov/Economic-Development/Active-Corporations-Beginning-1800/n9v6-gdp6</x:v>
      </x:c>
    </x:row>
    <x:row r="608">
      <x:c r="A608" t="str">
        <x:v>DOS-4-077</x:v>
      </x:c>
      <x:c r="B608" t="n">
        <x:v>4</x:v>
      </x:c>
      <x:c r="C608" t="str">
        <x:v>199 LEE AVENUE SUITE 1050, BROOKLYN, NY, 11211, US | 199 LEE AVENUE, SUITE 1050, BROOKLYN, NY, 11211, US</x:v>
      </x:c>
      <x:c r="D608" t="str">
        <x:v>879 LENOX LLC</x:v>
      </x:c>
      <x:c r="E608" t="str">
        <x:v>879 LENOX LLC</x:v>
      </x:c>
      <x:c r="F608" t="str">
        <x:v>Address-corroborated active match</x:v>
      </x:c>
      <x:c r="G608" t="n">
        <x:v>1</x:v>
      </x:c>
      <x:c r="H608" t="n">
        <x:v>2</x:v>
      </x:c>
      <x:c r="I608" t="str">
        <x:v>4888761</x:v>
      </x:c>
      <x:c r="J608" t="str">
        <x:v>879 LENOX LLC</x:v>
      </x:c>
      <x:c r="K608" s="55" t="n">
        <x:v>42401</x:v>
      </x:c>
      <x:c r="L608" t="str">
        <x:v>Greene</x:v>
      </x:c>
      <x:c r="M608" t="str">
        <x:v>New York</x:v>
      </x:c>
      <x:c r="N608" t="str">
        <x:v>DOMESTIC LIMITED LIABILITY COMPANY</x:v>
      </x:c>
      <x:c r="O608" t="str">
        <x:v>879 LENOX LLC</x:v>
      </x:c>
      <x:c r="P608" t="str">
        <x:v>199 LEE AVENUE, SUITE 1050, BROOKLYN, NY, 11211</x:v>
      </x:c>
      <x:c r="Q608" t="str"/>
      <x:c r="R608" t="str"/>
      <x:c r="S608" t="str"/>
      <x:c r="T608" t="str"/>
      <x:c r="U608" t="str"/>
      <x:c r="V608" t="str"/>
      <x:c r="W608" t="str"/>
      <x:c r="X608" t="str"/>
      <x:c r="Y608" t="str">
        <x:v>https://data.ny.gov/Economic-Development/Active-Corporations-Beginning-1800/n9v6-gdp6</x:v>
      </x:c>
    </x:row>
    <x:row r="609">
      <x:c r="A609" t="str">
        <x:v>DOS-4-077</x:v>
      </x:c>
      <x:c r="B609" t="n">
        <x:v>4</x:v>
      </x:c>
      <x:c r="C609" t="str">
        <x:v>199 LEE AVENUE SUITE 1050, BROOKLYN, NY, 11211, US | 199 LEE AVENUE, SUITE 1050, BROOKLYN, NY, 11211, US</x:v>
      </x:c>
      <x:c r="D609" t="str">
        <x:v>BEDFORD TOWERS DE LLC</x:v>
      </x:c>
      <x:c r="E609" t="str">
        <x:v>BEDFORD TOWERS DE LLC</x:v>
      </x:c>
      <x:c r="F609" t="str">
        <x:v>Active name match</x:v>
      </x:c>
      <x:c r="G609" t="n">
        <x:v>1</x:v>
      </x:c>
      <x:c r="H609" t="n">
        <x:v>0</x:v>
      </x:c>
      <x:c r="I609" t="str">
        <x:v>5692712</x:v>
      </x:c>
      <x:c r="J609" t="str">
        <x:v>BEDFORD TOWERS DE LLC</x:v>
      </x:c>
      <x:c r="K609" s="55" t="n">
        <x:v>43851</x:v>
      </x:c>
      <x:c r="L609" t="str">
        <x:v>Orange</x:v>
      </x:c>
      <x:c r="M609" t="str">
        <x:v>Delaware</x:v>
      </x:c>
      <x:c r="N609" t="str">
        <x:v>FOREIGN LIMITED LIABILITY COMPANY</x:v>
      </x:c>
      <x:c r="O609" t="str">
        <x:v>BEDFORD TOWERS DE LLC</x:v>
      </x:c>
      <x:c r="P609" t="str">
        <x:v>9 HAYES CT., #201, MONROE, NY, 10950</x:v>
      </x:c>
      <x:c r="Q609" t="str"/>
      <x:c r="R609" t="str"/>
      <x:c r="S609" t="str"/>
      <x:c r="T609" t="str"/>
      <x:c r="U609" t="str"/>
      <x:c r="V609" t="str"/>
      <x:c r="W609" t="str"/>
      <x:c r="X609" t="str"/>
      <x:c r="Y609" t="str">
        <x:v>https://data.ny.gov/Economic-Development/Active-Corporations-Beginning-1800/n9v6-gdp6</x:v>
      </x:c>
    </x:row>
    <x:row r="610">
      <x:c r="A610" t="str">
        <x:v>DOS-4-078</x:v>
      </x:c>
      <x:c r="B610" t="n">
        <x:v>4</x:v>
      </x:c>
      <x:c r="C610" t="str">
        <x:v>199 WINDING BROOK ROAD, NEW ROCHELLE, NY, 10804, US</x:v>
      </x:c>
      <x:c r="D610" t="str">
        <x:v>3013 OLINVILLE AVE LLC</x:v>
      </x:c>
      <x:c r="E610" t="str">
        <x:v>3013 OLINVILLE AVE LLC</x:v>
      </x:c>
      <x:c r="F610" t="str">
        <x:v>No active DOS match</x:v>
      </x:c>
      <x:c r="G610" t="n">
        <x:v>0</x:v>
      </x:c>
      <x:c r="H610" t="n">
        <x:v>0</x:v>
      </x:c>
      <x:c r="I610" t="str"/>
      <x:c r="J610" t="str"/>
      <x:c r="K610" s="55" t="str"/>
      <x:c r="L610" t="str"/>
      <x:c r="M610" t="str"/>
      <x:c r="N610" t="str"/>
      <x:c r="O610" t="str"/>
      <x:c r="P610" t="str"/>
      <x:c r="Q610" t="str"/>
      <x:c r="R610" t="str"/>
      <x:c r="S610" t="str"/>
      <x:c r="T610" t="str"/>
      <x:c r="U610" t="str"/>
      <x:c r="V610" t="str"/>
      <x:c r="W610" t="str"/>
      <x:c r="X610" t="str"/>
      <x:c r="Y610" t="str">
        <x:v>https://data.ny.gov/Economic-Development/Active-Corporations-Beginning-1800/n9v6-gdp6</x:v>
      </x:c>
    </x:row>
    <x:row r="611">
      <x:c r="A611" t="str">
        <x:v>DOS-4-078</x:v>
      </x:c>
      <x:c r="B611" t="n">
        <x:v>4</x:v>
      </x:c>
      <x:c r="C611" t="str">
        <x:v>199 WINDING BROOK ROAD, NEW ROCHELLE, NY, 10804, US</x:v>
      </x:c>
      <x:c r="D611" t="str">
        <x:v>BAAS NY REALTY LLC</x:v>
      </x:c>
      <x:c r="E611" t="str">
        <x:v>BAAS NY REALTY LLC</x:v>
      </x:c>
      <x:c r="F611" t="str">
        <x:v>Active name match</x:v>
      </x:c>
      <x:c r="G611" t="n">
        <x:v>1</x:v>
      </x:c>
      <x:c r="H611" t="n">
        <x:v>1</x:v>
      </x:c>
      <x:c r="I611" t="str">
        <x:v>7084798</x:v>
      </x:c>
      <x:c r="J611" t="str">
        <x:v>BAAS NY REALTY LLC</x:v>
      </x:c>
      <x:c r="K611" s="55" t="n">
        <x:v>45189</x:v>
      </x:c>
      <x:c r="L611" t="str">
        <x:v>Westchester</x:v>
      </x:c>
      <x:c r="M611" t="str">
        <x:v>New York</x:v>
      </x:c>
      <x:c r="N611" t="str">
        <x:v>DOMESTIC LIMITED LIABILITY COMPANY</x:v>
      </x:c>
      <x:c r="O611" t="str">
        <x:v>BAAS NY REALTY LLC</x:v>
      </x:c>
      <x:c r="P611" t="str">
        <x:v>199 Winding Brook Rd., New Rochelle, NY, 10804</x:v>
      </x:c>
      <x:c r="Q611" t="str"/>
      <x:c r="R611" t="str"/>
      <x:c r="S611" t="str">
        <x:v>UNITED STATES CORPORATION AGENTS, INC.</x:v>
      </x:c>
      <x:c r="T611" t="str">
        <x:v>7014 13TH AVENUE, SUITE 202, BROOKLYN, NEW YORK, 11228</x:v>
      </x:c>
      <x:c r="U611" t="str"/>
      <x:c r="V611" t="str"/>
      <x:c r="W611" t="str"/>
      <x:c r="X611" t="str"/>
      <x:c r="Y611" t="str">
        <x:v>https://data.ny.gov/Economic-Development/Active-Corporations-Beginning-1800/n9v6-gdp6</x:v>
      </x:c>
    </x:row>
    <x:row r="612">
      <x:c r="A612" t="str">
        <x:v>DOS-4-078</x:v>
      </x:c>
      <x:c r="B612" t="n">
        <x:v>4</x:v>
      </x:c>
      <x:c r="C612" t="str">
        <x:v>199 WINDING BROOK ROAD, NEW ROCHELLE, NY, 10804, US</x:v>
      </x:c>
      <x:c r="D612" t="str">
        <x:v>PINE BROOK REALTY LLC</x:v>
      </x:c>
      <x:c r="E612" t="str">
        <x:v>PINE BROOK REALTY LLC</x:v>
      </x:c>
      <x:c r="F612" t="str">
        <x:v>No active DOS match</x:v>
      </x:c>
      <x:c r="G612" t="n">
        <x:v>0</x:v>
      </x:c>
      <x:c r="H612" t="n">
        <x:v>0</x:v>
      </x:c>
      <x:c r="I612" t="str"/>
      <x:c r="J612" t="str"/>
      <x:c r="K612" s="55" t="str"/>
      <x:c r="L612" t="str"/>
      <x:c r="M612" t="str"/>
      <x:c r="N612" t="str"/>
      <x:c r="O612" t="str"/>
      <x:c r="P612" t="str"/>
      <x:c r="Q612" t="str"/>
      <x:c r="R612" t="str"/>
      <x:c r="S612" t="str"/>
      <x:c r="T612" t="str"/>
      <x:c r="U612" t="str"/>
      <x:c r="V612" t="str"/>
      <x:c r="W612" t="str"/>
      <x:c r="X612" t="str"/>
      <x:c r="Y612" t="str">
        <x:v>https://data.ny.gov/Economic-Development/Active-Corporations-Beginning-1800/n9v6-gdp6</x:v>
      </x:c>
    </x:row>
    <x:row r="613">
      <x:c r="A613" t="str">
        <x:v>DOS-4-078</x:v>
      </x:c>
      <x:c r="B613" t="n">
        <x:v>4</x:v>
      </x:c>
      <x:c r="C613" t="str">
        <x:v>199 WINDING BROOK ROAD, NEW ROCHELLE, NY, 10804, US</x:v>
      </x:c>
      <x:c r="D613" t="str">
        <x:v>SHAH INVESTMENT LLC</x:v>
      </x:c>
      <x:c r="E613" t="str">
        <x:v>SHAH INVESTMENT LLC</x:v>
      </x:c>
      <x:c r="F613" t="str">
        <x:v>No active DOS match</x:v>
      </x:c>
      <x:c r="G613" t="n">
        <x:v>0</x:v>
      </x:c>
      <x:c r="H613" t="n">
        <x:v>0</x:v>
      </x:c>
      <x:c r="I613" t="str"/>
      <x:c r="J613" t="str"/>
      <x:c r="K613" s="55" t="str"/>
      <x:c r="L613" t="str"/>
      <x:c r="M613" t="str"/>
      <x:c r="N613" t="str"/>
      <x:c r="O613" t="str"/>
      <x:c r="P613" t="str"/>
      <x:c r="Q613" t="str"/>
      <x:c r="R613" t="str"/>
      <x:c r="S613" t="str"/>
      <x:c r="T613" t="str"/>
      <x:c r="U613" t="str"/>
      <x:c r="V613" t="str"/>
      <x:c r="W613" t="str"/>
      <x:c r="X613" t="str"/>
      <x:c r="Y613" t="str">
        <x:v>https://data.ny.gov/Economic-Development/Active-Corporations-Beginning-1800/n9v6-gdp6</x:v>
      </x:c>
    </x:row>
    <x:row r="614">
      <x:c r="A614" t="str">
        <x:v>DOS-4-079</x:v>
      </x:c>
      <x:c r="B614" t="n">
        <x:v>4</x:v>
      </x:c>
      <x:c r="C614" t="str">
        <x:v>20 WEST 20TH STREET - SUITE 703, NEW YORK, NY, 10011, US | 20 WEST 20TH STREET, SUITE 703, NEW YORK, NY, 10011, US | 20 WEST 20TH STREET- SUITE 703, NEW YORK, NY, 10011, US</x:v>
      </x:c>
      <x:c r="D614" t="str">
        <x:v>85 82 ELLIOT LLC</x:v>
      </x:c>
      <x:c r="E614" t="str">
        <x:v>85-82 ELLIOT LLC</x:v>
      </x:c>
      <x:c r="F614" t="str">
        <x:v>Active name match</x:v>
      </x:c>
      <x:c r="G614" t="n">
        <x:v>1</x:v>
      </x:c>
      <x:c r="H614" t="n">
        <x:v>0</x:v>
      </x:c>
      <x:c r="I614" t="str">
        <x:v>4001251</x:v>
      </x:c>
      <x:c r="J614" t="str">
        <x:v>85-82 ELLIOT LLC</x:v>
      </x:c>
      <x:c r="K614" s="55" t="n">
        <x:v>40450</x:v>
      </x:c>
      <x:c r="L614" t="str">
        <x:v>New York</x:v>
      </x:c>
      <x:c r="M614" t="str">
        <x:v>New York</x:v>
      </x:c>
      <x:c r="N614" t="str">
        <x:v>DOMESTIC LIMITED LIABILITY COMPANY</x:v>
      </x:c>
      <x:c r="O614" t="str">
        <x:v>85-82 ELLIOT LLC</x:v>
      </x:c>
      <x:c r="P614" t="str">
        <x:v>255 GLEN COVE ROAD, 2nd FL, CARLE PLACE, NY, 11514</x:v>
      </x:c>
      <x:c r="Q614" t="str"/>
      <x:c r="R614" t="str"/>
      <x:c r="S614" t="str"/>
      <x:c r="T614" t="str"/>
      <x:c r="U614" t="str"/>
      <x:c r="V614" t="str"/>
      <x:c r="W614" t="str"/>
      <x:c r="X614" t="str"/>
      <x:c r="Y614" t="str">
        <x:v>https://data.ny.gov/Economic-Development/Active-Corporations-Beginning-1800/n9v6-gdp6</x:v>
      </x:c>
    </x:row>
    <x:row r="615">
      <x:c r="A615" t="str">
        <x:v>DOS-4-079</x:v>
      </x:c>
      <x:c r="B615" t="n">
        <x:v>4</x:v>
      </x:c>
      <x:c r="C615" t="str">
        <x:v>20 WEST 20TH STREET - SUITE 703, NEW YORK, NY, 10011, US | 20 WEST 20TH STREET, SUITE 703, NEW YORK, NY, 10011, US | 20 WEST 20TH STREET- SUITE 703, NEW YORK, NY, 10011, US</x:v>
      </x:c>
      <x:c r="D615" t="str">
        <x:v>963 967 EAST 165TH STREET LLC</x:v>
      </x:c>
      <x:c r="E615" t="str">
        <x:v>963-967 EAST 165TH STREET LLC</x:v>
      </x:c>
      <x:c r="F615" t="str">
        <x:v>Active name match</x:v>
      </x:c>
      <x:c r="G615" t="n">
        <x:v>1</x:v>
      </x:c>
      <x:c r="H615" t="n">
        <x:v>0</x:v>
      </x:c>
      <x:c r="I615" t="str">
        <x:v>4553202</x:v>
      </x:c>
      <x:c r="J615" t="str">
        <x:v>963-967 EAST 165TH STREET LLC</x:v>
      </x:c>
      <x:c r="K615" s="55" t="n">
        <x:v>41726</x:v>
      </x:c>
      <x:c r="L615" t="str">
        <x:v>New York</x:v>
      </x:c>
      <x:c r="M615" t="str">
        <x:v>New York</x:v>
      </x:c>
      <x:c r="N615" t="str">
        <x:v>DOMESTIC LIMITED LIABILITY COMPANY</x:v>
      </x:c>
      <x:c r="O615" t="str">
        <x:v>963-967 EAST 165TH STREET LLC</x:v>
      </x:c>
      <x:c r="P615" t="str">
        <x:v>255 GLEN COVE ROAD, 2nd Fl, CARLE PLACE, NY, 11514</x:v>
      </x:c>
      <x:c r="Q615" t="str"/>
      <x:c r="R615" t="str"/>
      <x:c r="S615" t="str"/>
      <x:c r="T615" t="str"/>
      <x:c r="U615" t="str"/>
      <x:c r="V615" t="str"/>
      <x:c r="W615" t="str"/>
      <x:c r="X615" t="str"/>
      <x:c r="Y615" t="str">
        <x:v>https://data.ny.gov/Economic-Development/Active-Corporations-Beginning-1800/n9v6-gdp6</x:v>
      </x:c>
    </x:row>
    <x:row r="616">
      <x:c r="A616" t="str">
        <x:v>DOS-4-079</x:v>
      </x:c>
      <x:c r="B616" t="n">
        <x:v>4</x:v>
      </x:c>
      <x:c r="C616" t="str">
        <x:v>20 WEST 20TH STREET - SUITE 703, NEW YORK, NY, 10011, US | 20 WEST 20TH STREET, SUITE 703, NEW YORK, NY, 10011, US | 20 WEST 20TH STREET- SUITE 703, NEW YORK, NY, 10011, US</x:v>
      </x:c>
      <x:c r="D616" t="str">
        <x:v>DOUGLASTON 235 LLC</x:v>
      </x:c>
      <x:c r="E616" t="str">
        <x:v>DOUGLASTON 235 LLC</x:v>
      </x:c>
      <x:c r="F616" t="str">
        <x:v>Active name match</x:v>
      </x:c>
      <x:c r="G616" t="n">
        <x:v>1</x:v>
      </x:c>
      <x:c r="H616" t="n">
        <x:v>0</x:v>
      </x:c>
      <x:c r="I616" t="str">
        <x:v>3477528</x:v>
      </x:c>
      <x:c r="J616" t="str">
        <x:v>DOUGLASTON 235 LLC</x:v>
      </x:c>
      <x:c r="K616" s="55" t="n">
        <x:v>39128</x:v>
      </x:c>
      <x:c r="L616" t="str">
        <x:v>New York</x:v>
      </x:c>
      <x:c r="M616" t="str">
        <x:v>New York</x:v>
      </x:c>
      <x:c r="N616" t="str">
        <x:v>DOMESTIC LIMITED LIABILITY COMPANY</x:v>
      </x:c>
      <x:c r="O616" t="str">
        <x:v>DOUGLASTON 235 LLC</x:v>
      </x:c>
      <x:c r="P616" t="str">
        <x:v>95 DELANCEY STREET, SUITE 206, NEW YORK, NY, 10002</x:v>
      </x:c>
      <x:c r="Q616" t="str"/>
      <x:c r="R616" t="str"/>
      <x:c r="S616" t="str"/>
      <x:c r="T616" t="str"/>
      <x:c r="U616" t="str"/>
      <x:c r="V616" t="str"/>
      <x:c r="W616" t="str"/>
      <x:c r="X616" t="str"/>
      <x:c r="Y616" t="str">
        <x:v>https://data.ny.gov/Economic-Development/Active-Corporations-Beginning-1800/n9v6-gdp6</x:v>
      </x:c>
    </x:row>
    <x:row r="617">
      <x:c r="A617" t="str">
        <x:v>DOS-4-079</x:v>
      </x:c>
      <x:c r="B617" t="n">
        <x:v>4</x:v>
      </x:c>
      <x:c r="C617" t="str">
        <x:v>20 WEST 20TH STREET - SUITE 703, NEW YORK, NY, 10011, US | 20 WEST 20TH STREET, SUITE 703, NEW YORK, NY, 10011, US | 20 WEST 20TH STREET- SUITE 703, NEW YORK, NY, 10011, US</x:v>
      </x:c>
      <x:c r="D617" t="str">
        <x:v>STATE EQUITIES LLC</x:v>
      </x:c>
      <x:c r="E617" t="str">
        <x:v>STATE EQUITIES LLC</x:v>
      </x:c>
      <x:c r="F617" t="str">
        <x:v>Active name match</x:v>
      </x:c>
      <x:c r="G617" t="n">
        <x:v>1</x:v>
      </x:c>
      <x:c r="H617" t="n">
        <x:v>0</x:v>
      </x:c>
      <x:c r="I617" t="str">
        <x:v>3719845</x:v>
      </x:c>
      <x:c r="J617" t="str">
        <x:v>STATE EQUITIES LLC</x:v>
      </x:c>
      <x:c r="K617" s="55" t="n">
        <x:v>39703</x:v>
      </x:c>
      <x:c r="L617" t="str">
        <x:v>New York</x:v>
      </x:c>
      <x:c r="M617" t="str">
        <x:v>New York</x:v>
      </x:c>
      <x:c r="N617" t="str">
        <x:v>DOMESTIC LIMITED LIABILITY COMPANY</x:v>
      </x:c>
      <x:c r="O617" t="str">
        <x:v>STATE EQUITIES LLC</x:v>
      </x:c>
      <x:c r="P617" t="str">
        <x:v>44 EAST 32ND STREET - 9th FL, NEW YORK, NY, 10016</x:v>
      </x:c>
      <x:c r="Q617" t="str"/>
      <x:c r="R617" t="str"/>
      <x:c r="S617" t="str"/>
      <x:c r="T617" t="str"/>
      <x:c r="U617" t="str"/>
      <x:c r="V617" t="str"/>
      <x:c r="W617" t="str"/>
      <x:c r="X617" t="str"/>
      <x:c r="Y617" t="str">
        <x:v>https://data.ny.gov/Economic-Development/Active-Corporations-Beginning-1800/n9v6-gdp6</x:v>
      </x:c>
    </x:row>
    <x:row r="618">
      <x:c r="A618" t="str">
        <x:v>DOS-4-080</x:v>
      </x:c>
      <x:c r="B618" t="n">
        <x:v>4</x:v>
      </x:c>
      <x:c r="C618" t="str">
        <x:v>240-19 JAMAICA AVENUE, BELLEROSE, NY, 11426, US</x:v>
      </x:c>
      <x:c r="D618" t="str">
        <x:v>196 BEACH 25 LLC</x:v>
      </x:c>
      <x:c r="E618" t="str">
        <x:v>196 BEACH 25 LLC</x:v>
      </x:c>
      <x:c r="F618" t="str">
        <x:v>Address-corroborated active match</x:v>
      </x:c>
      <x:c r="G618" t="n">
        <x:v>1</x:v>
      </x:c>
      <x:c r="H618" t="n">
        <x:v>2</x:v>
      </x:c>
      <x:c r="I618" t="str">
        <x:v>4964636</x:v>
      </x:c>
      <x:c r="J618" t="str">
        <x:v>196 BEACH 25 LLC</x:v>
      </x:c>
      <x:c r="K618" s="55" t="n">
        <x:v>42538</x:v>
      </x:c>
      <x:c r="L618" t="str">
        <x:v>Queens</x:v>
      </x:c>
      <x:c r="M618" t="str">
        <x:v>New York</x:v>
      </x:c>
      <x:c r="N618" t="str">
        <x:v>DOMESTIC LIMITED LIABILITY COMPANY</x:v>
      </x:c>
      <x:c r="O618" t="str">
        <x:v>196 BEACH 25 LLC</x:v>
      </x:c>
      <x:c r="P618" t="str">
        <x:v>240-19 JAMAICA AVENUE, BELLEROSE, NY, 11426</x:v>
      </x:c>
      <x:c r="Q618" t="str"/>
      <x:c r="R618" t="str"/>
      <x:c r="S618" t="str"/>
      <x:c r="T618" t="str"/>
      <x:c r="U618" t="str"/>
      <x:c r="V618" t="str"/>
      <x:c r="W618" t="str"/>
      <x:c r="X618" t="str"/>
      <x:c r="Y618" t="str">
        <x:v>https://data.ny.gov/Economic-Development/Active-Corporations-Beginning-1800/n9v6-gdp6</x:v>
      </x:c>
    </x:row>
    <x:row r="619">
      <x:c r="A619" t="str">
        <x:v>DOS-4-080</x:v>
      </x:c>
      <x:c r="B619" t="n">
        <x:v>4</x:v>
      </x:c>
      <x:c r="C619" t="str">
        <x:v>240-19 JAMAICA AVENUE, BELLEROSE, NY, 11426, US</x:v>
      </x:c>
      <x:c r="D619" t="str">
        <x:v>225 B 28 LLC</x:v>
      </x:c>
      <x:c r="E619" t="str">
        <x:v>225 B 28 LLC</x:v>
      </x:c>
      <x:c r="F619" t="str">
        <x:v>Address-corroborated active match</x:v>
      </x:c>
      <x:c r="G619" t="n">
        <x:v>1</x:v>
      </x:c>
      <x:c r="H619" t="n">
        <x:v>2</x:v>
      </x:c>
      <x:c r="I619" t="str">
        <x:v>5191381</x:v>
      </x:c>
      <x:c r="J619" t="str">
        <x:v>225 B 28 LLC</x:v>
      </x:c>
      <x:c r="K619" s="55" t="n">
        <x:v>42970</x:v>
      </x:c>
      <x:c r="L619" t="str">
        <x:v>Queens</x:v>
      </x:c>
      <x:c r="M619" t="str">
        <x:v>New York</x:v>
      </x:c>
      <x:c r="N619" t="str">
        <x:v>DOMESTIC LIMITED LIABILITY COMPANY</x:v>
      </x:c>
      <x:c r="O619" t="str">
        <x:v>225 B 28 LLC</x:v>
      </x:c>
      <x:c r="P619" t="str">
        <x:v>240-19 JAMAICA AVENUE, BELLEROSE, NY, 11426</x:v>
      </x:c>
      <x:c r="Q619" t="str"/>
      <x:c r="R619" t="str"/>
      <x:c r="S619" t="str"/>
      <x:c r="T619" t="str"/>
      <x:c r="U619" t="str"/>
      <x:c r="V619" t="str"/>
      <x:c r="W619" t="str"/>
      <x:c r="X619" t="str"/>
      <x:c r="Y619" t="str">
        <x:v>https://data.ny.gov/Economic-Development/Active-Corporations-Beginning-1800/n9v6-gdp6</x:v>
      </x:c>
    </x:row>
    <x:row r="620">
      <x:c r="A620" t="str">
        <x:v>DOS-4-080</x:v>
      </x:c>
      <x:c r="B620" t="n">
        <x:v>4</x:v>
      </x:c>
      <x:c r="C620" t="str">
        <x:v>240-19 JAMAICA AVENUE, BELLEROSE, NY, 11426, US</x:v>
      </x:c>
      <x:c r="D620" t="str">
        <x:v>320 ATKINS LLC</x:v>
      </x:c>
      <x:c r="E620" t="str">
        <x:v>320 ATKINS LLC</x:v>
      </x:c>
      <x:c r="F620" t="str">
        <x:v>Address-corroborated active match</x:v>
      </x:c>
      <x:c r="G620" t="n">
        <x:v>1</x:v>
      </x:c>
      <x:c r="H620" t="n">
        <x:v>2</x:v>
      </x:c>
      <x:c r="I620" t="str">
        <x:v>4800602</x:v>
      </x:c>
      <x:c r="J620" t="str">
        <x:v>320 ATKINS LLC</x:v>
      </x:c>
      <x:c r="K620" s="55" t="n">
        <x:v>42222</x:v>
      </x:c>
      <x:c r="L620" t="str">
        <x:v>Queens</x:v>
      </x:c>
      <x:c r="M620" t="str">
        <x:v>New York</x:v>
      </x:c>
      <x:c r="N620" t="str">
        <x:v>DOMESTIC LIMITED LIABILITY COMPANY</x:v>
      </x:c>
      <x:c r="O620" t="str">
        <x:v>320 ATKINS LLC</x:v>
      </x:c>
      <x:c r="P620" t="str">
        <x:v>240-19 JAMAICA AVENUE, BELLEROSE, NY, 11426</x:v>
      </x:c>
      <x:c r="Q620" t="str"/>
      <x:c r="R620" t="str"/>
      <x:c r="S620" t="str"/>
      <x:c r="T620" t="str"/>
      <x:c r="U620" t="str"/>
      <x:c r="V620" t="str"/>
      <x:c r="W620" t="str"/>
      <x:c r="X620" t="str"/>
      <x:c r="Y620" t="str">
        <x:v>https://data.ny.gov/Economic-Development/Active-Corporations-Beginning-1800/n9v6-gdp6</x:v>
      </x:c>
    </x:row>
    <x:row r="621">
      <x:c r="A621" t="str">
        <x:v>DOS-4-080</x:v>
      </x:c>
      <x:c r="B621" t="n">
        <x:v>4</x:v>
      </x:c>
      <x:c r="C621" t="str">
        <x:v>240-19 JAMAICA AVENUE, BELLEROSE, NY, 11426, US</x:v>
      </x:c>
      <x:c r="D621" t="str">
        <x:v>714 EAST TREMONT LLC</x:v>
      </x:c>
      <x:c r="E621" t="str">
        <x:v>714 EAST TREMONT LLC</x:v>
      </x:c>
      <x:c r="F621" t="str">
        <x:v>Active name match</x:v>
      </x:c>
      <x:c r="G621" t="n">
        <x:v>1</x:v>
      </x:c>
      <x:c r="H621" t="n">
        <x:v>1</x:v>
      </x:c>
      <x:c r="I621" t="str">
        <x:v>3164161</x:v>
      </x:c>
      <x:c r="J621" t="str">
        <x:v>714 EAST TREMONT LLC</x:v>
      </x:c>
      <x:c r="K621" s="55" t="n">
        <x:v>38397</x:v>
      </x:c>
      <x:c r="L621" t="str">
        <x:v>Queens</x:v>
      </x:c>
      <x:c r="M621" t="str">
        <x:v>New York</x:v>
      </x:c>
      <x:c r="N621" t="str">
        <x:v>DOMESTIC LIMITED LIABILITY COMPANY</x:v>
      </x:c>
      <x:c r="O621" t="str">
        <x:v>714 EAST TREMONT LLC</x:v>
      </x:c>
      <x:c r="P621" t="str">
        <x:v>246-15 JAMAICA AVE, BELLEROSE, NY, 11426</x:v>
      </x:c>
      <x:c r="Q621" t="str"/>
      <x:c r="R621" t="str"/>
      <x:c r="S621" t="str"/>
      <x:c r="T621" t="str"/>
      <x:c r="U621" t="str"/>
      <x:c r="V621" t="str"/>
      <x:c r="W621" t="str"/>
      <x:c r="X621" t="str"/>
      <x:c r="Y621" t="str">
        <x:v>https://data.ny.gov/Economic-Development/Active-Corporations-Beginning-1800/n9v6-gdp6</x:v>
      </x:c>
    </x:row>
    <x:row r="622">
      <x:c r="A622" t="str">
        <x:v>DOS-4-081</x:v>
      </x:c>
      <x:c r="B622" t="n">
        <x:v>4</x:v>
      </x:c>
      <x:c r="C622" t="str">
        <x:v>2504 40TH AVE, LONG ISLAND CITY, NY, 11101, US | 2504 40TH AVE., LONG ISLAND CITY, NY, 11101, US</x:v>
      </x:c>
      <x:c r="D622" t="str">
        <x:v>246 WADSWORTH REALTY LLC</x:v>
      </x:c>
      <x:c r="E622" t="str">
        <x:v>246 WADSWORTH REALTY LLC</x:v>
      </x:c>
      <x:c r="F622" t="str">
        <x:v>Address-corroborated active match</x:v>
      </x:c>
      <x:c r="G622" t="n">
        <x:v>1</x:v>
      </x:c>
      <x:c r="H622" t="n">
        <x:v>2</x:v>
      </x:c>
      <x:c r="I622" t="str">
        <x:v>7292522</x:v>
      </x:c>
      <x:c r="J622" t="str">
        <x:v>246 WADSWORTH REALTY LLC</x:v>
      </x:c>
      <x:c r="K622" s="55" t="n">
        <x:v>45380</x:v>
      </x:c>
      <x:c r="L622" t="str">
        <x:v>Albany</x:v>
      </x:c>
      <x:c r="M622" t="str">
        <x:v>New York</x:v>
      </x:c>
      <x:c r="N622" t="str">
        <x:v>DOMESTIC LIMITED LIABILITY COMPANY</x:v>
      </x:c>
      <x:c r="O622" t="str">
        <x:v>C/O C2R Management</x:v>
      </x:c>
      <x:c r="P622" t="str">
        <x:v>2504 40th Ave., Long Island City, NY, 11101</x:v>
      </x:c>
      <x:c r="Q622" t="str"/>
      <x:c r="R622" t="str"/>
      <x:c r="S622" t="str"/>
      <x:c r="T622" t="str"/>
      <x:c r="U622" t="str"/>
      <x:c r="V622" t="str"/>
      <x:c r="W622" t="str"/>
      <x:c r="X622" t="str"/>
      <x:c r="Y622" t="str">
        <x:v>https://data.ny.gov/Economic-Development/Active-Corporations-Beginning-1800/n9v6-gdp6</x:v>
      </x:c>
    </x:row>
    <x:row r="623">
      <x:c r="A623" t="str">
        <x:v>DOS-4-081</x:v>
      </x:c>
      <x:c r="B623" t="n">
        <x:v>4</x:v>
      </x:c>
      <x:c r="C623" t="str">
        <x:v>2504 40TH AVE, LONG ISLAND CITY, NY, 11101, US | 2504 40TH AVE., LONG ISLAND CITY, NY, 11101, US</x:v>
      </x:c>
      <x:c r="D623" t="str">
        <x:v>712 WEST 176 REALTY LLC</x:v>
      </x:c>
      <x:c r="E623" t="str">
        <x:v>712 WEST 176 REALTY LLC</x:v>
      </x:c>
      <x:c r="F623" t="str">
        <x:v>Address-corroborated active match</x:v>
      </x:c>
      <x:c r="G623" t="n">
        <x:v>1</x:v>
      </x:c>
      <x:c r="H623" t="n">
        <x:v>2</x:v>
      </x:c>
      <x:c r="I623" t="str">
        <x:v>7390073</x:v>
      </x:c>
      <x:c r="J623" t="str">
        <x:v>712 WEST 176 REALTY LLC</x:v>
      </x:c>
      <x:c r="K623" s="55" t="n">
        <x:v>45509</x:v>
      </x:c>
      <x:c r="L623" t="str">
        <x:v>Albany</x:v>
      </x:c>
      <x:c r="M623" t="str">
        <x:v>New York</x:v>
      </x:c>
      <x:c r="N623" t="str">
        <x:v>DOMESTIC LIMITED LIABILITY COMPANY</x:v>
      </x:c>
      <x:c r="O623" t="str">
        <x:v>C/O C2R MANAGEMENT</x:v>
      </x:c>
      <x:c r="P623" t="str">
        <x:v>2504 40th Ave., Long Island City, NY, 11101</x:v>
      </x:c>
      <x:c r="Q623" t="str"/>
      <x:c r="R623" t="str"/>
      <x:c r="S623" t="str"/>
      <x:c r="T623" t="str"/>
      <x:c r="U623" t="str"/>
      <x:c r="V623" t="str"/>
      <x:c r="W623" t="str"/>
      <x:c r="X623" t="str"/>
      <x:c r="Y623" t="str">
        <x:v>https://data.ny.gov/Economic-Development/Active-Corporations-Beginning-1800/n9v6-gdp6</x:v>
      </x:c>
    </x:row>
    <x:row r="624">
      <x:c r="A624" t="str">
        <x:v>DOS-4-081</x:v>
      </x:c>
      <x:c r="B624" t="n">
        <x:v>4</x:v>
      </x:c>
      <x:c r="C624" t="str">
        <x:v>2504 40TH AVE, LONG ISLAND CITY, NY, 11101, US | 2504 40TH AVE., LONG ISLAND CITY, NY, 11101, US</x:v>
      </x:c>
      <x:c r="D624" t="str">
        <x:v>JGM 149TH LLC</x:v>
      </x:c>
      <x:c r="E624" t="str">
        <x:v>JGM 149TH LLC</x:v>
      </x:c>
      <x:c r="F624" t="str">
        <x:v>Active name match</x:v>
      </x:c>
      <x:c r="G624" t="n">
        <x:v>1</x:v>
      </x:c>
      <x:c r="H624" t="n">
        <x:v>1</x:v>
      </x:c>
      <x:c r="I624" t="str">
        <x:v>5676786</x:v>
      </x:c>
      <x:c r="J624" t="str">
        <x:v>JGM 149TH LLC</x:v>
      </x:c>
      <x:c r="K624" s="55" t="n">
        <x:v>43823</x:v>
      </x:c>
      <x:c r="L624" t="str">
        <x:v>New York</x:v>
      </x:c>
      <x:c r="M624" t="str">
        <x:v>New York</x:v>
      </x:c>
      <x:c r="N624" t="str">
        <x:v>DOMESTIC LIMITED LIABILITY COMPANY</x:v>
      </x:c>
      <x:c r="O624" t="str">
        <x:v>C/O JESSE DEUTCH</x:v>
      </x:c>
      <x:c r="P624" t="str">
        <x:v>25-04 40TH AVE., LONG ISLAND CITY, NY, 11101</x:v>
      </x:c>
      <x:c r="Q624" t="str"/>
      <x:c r="R624" t="str"/>
      <x:c r="S624" t="str"/>
      <x:c r="T624" t="str"/>
      <x:c r="U624" t="str"/>
      <x:c r="V624" t="str"/>
      <x:c r="W624" t="str"/>
      <x:c r="X624" t="str"/>
      <x:c r="Y624" t="str">
        <x:v>https://data.ny.gov/Economic-Development/Active-Corporations-Beginning-1800/n9v6-gdp6</x:v>
      </x:c>
    </x:row>
    <x:row r="625">
      <x:c r="A625" t="str">
        <x:v>DOS-4-081</x:v>
      </x:c>
      <x:c r="B625" t="n">
        <x:v>4</x:v>
      </x:c>
      <x:c r="C625" t="str">
        <x:v>2504 40TH AVE, LONG ISLAND CITY, NY, 11101, US | 2504 40TH AVE., LONG ISLAND CITY, NY, 11101, US</x:v>
      </x:c>
      <x:c r="D625" t="str">
        <x:v>JMGD 172ND LLC</x:v>
      </x:c>
      <x:c r="E625" t="str">
        <x:v>JMGD 172ND LLC</x:v>
      </x:c>
      <x:c r="F625" t="str">
        <x:v>Active name match</x:v>
      </x:c>
      <x:c r="G625" t="n">
        <x:v>1</x:v>
      </x:c>
      <x:c r="H625" t="n">
        <x:v>1</x:v>
      </x:c>
      <x:c r="I625" t="str">
        <x:v>6530542</x:v>
      </x:c>
      <x:c r="J625" t="str">
        <x:v>JMGD 172ND LLC</x:v>
      </x:c>
      <x:c r="K625" s="55" t="n">
        <x:v>44748</x:v>
      </x:c>
      <x:c r="L625" t="str">
        <x:v>Queens</x:v>
      </x:c>
      <x:c r="M625" t="str">
        <x:v>New York</x:v>
      </x:c>
      <x:c r="N625" t="str">
        <x:v>DOMESTIC LIMITED LIABILITY COMPANY</x:v>
      </x:c>
      <x:c r="O625" t="str">
        <x:v>C/O Jesse Deutch</x:v>
      </x:c>
      <x:c r="P625" t="str">
        <x:v>25-04 40th Ave., Long Island City, NY, 11101</x:v>
      </x:c>
      <x:c r="Q625" t="str"/>
      <x:c r="R625" t="str"/>
      <x:c r="S625" t="str"/>
      <x:c r="T625" t="str"/>
      <x:c r="U625" t="str"/>
      <x:c r="V625" t="str"/>
      <x:c r="W625" t="str"/>
      <x:c r="X625" t="str"/>
      <x:c r="Y625" t="str">
        <x:v>https://data.ny.gov/Economic-Development/Active-Corporations-Beginning-1800/n9v6-gdp6</x:v>
      </x:c>
    </x:row>
    <x:row r="626">
      <x:c r="A626" t="str">
        <x:v>DOS-4-082</x:v>
      </x:c>
      <x:c r="B626" t="n">
        <x:v>4</x:v>
      </x:c>
      <x:c r="C626" t="str">
        <x:v>2774 CONEY ISLAND AVENUE, 1ST FLOOR, BROOKLYN, NY, 11235, US</x:v>
      </x:c>
      <x:c r="D626" t="str">
        <x:v>107 47 SUTPHIN LLC</x:v>
      </x:c>
      <x:c r="E626" t="str">
        <x:v>107-47 SUTPHIN LLC</x:v>
      </x:c>
      <x:c r="F626" t="str">
        <x:v>Address-corroborated active match</x:v>
      </x:c>
      <x:c r="G626" t="n">
        <x:v>1</x:v>
      </x:c>
      <x:c r="H626" t="n">
        <x:v>2</x:v>
      </x:c>
      <x:c r="I626" t="str">
        <x:v>5361364</x:v>
      </x:c>
      <x:c r="J626" t="str">
        <x:v>107-47 SUTPHIN LLC</x:v>
      </x:c>
      <x:c r="K626" s="55" t="n">
        <x:v>43269</x:v>
      </x:c>
      <x:c r="L626" t="str">
        <x:v>Kings</x:v>
      </x:c>
      <x:c r="M626" t="str">
        <x:v>New York</x:v>
      </x:c>
      <x:c r="N626" t="str">
        <x:v>DOMESTIC LIMITED LIABILITY COMPANY</x:v>
      </x:c>
      <x:c r="O626" t="str">
        <x:v>107-47 SUTPHIN LLC</x:v>
      </x:c>
      <x:c r="P626" t="str">
        <x:v>2774 CONEY ISLAND AVENUE, FIRST FLOOR, BROOKLYN, NY, 11235</x:v>
      </x:c>
      <x:c r="Q626" t="str"/>
      <x:c r="R626" t="str"/>
      <x:c r="S626" t="str"/>
      <x:c r="T626" t="str"/>
      <x:c r="U626" t="str"/>
      <x:c r="V626" t="str"/>
      <x:c r="W626" t="str"/>
      <x:c r="X626" t="str"/>
      <x:c r="Y626" t="str">
        <x:v>https://data.ny.gov/Economic-Development/Active-Corporations-Beginning-1800/n9v6-gdp6</x:v>
      </x:c>
    </x:row>
    <x:row r="627">
      <x:c r="A627" t="str">
        <x:v>DOS-4-082</x:v>
      </x:c>
      <x:c r="B627" t="n">
        <x:v>4</x:v>
      </x:c>
      <x:c r="C627" t="str">
        <x:v>2774 CONEY ISLAND AVENUE, 1ST FLOOR, BROOKLYN, NY, 11235, US</x:v>
      </x:c>
      <x:c r="D627" t="str">
        <x:v>1863 OCEAN PARKWAY LLC</x:v>
      </x:c>
      <x:c r="E627" t="str">
        <x:v>1863 OCEAN PARKWAY LLC</x:v>
      </x:c>
      <x:c r="F627" t="str">
        <x:v>Address-corroborated active match</x:v>
      </x:c>
      <x:c r="G627" t="n">
        <x:v>1</x:v>
      </x:c>
      <x:c r="H627" t="n">
        <x:v>2</x:v>
      </x:c>
      <x:c r="I627" t="str">
        <x:v>6021386</x:v>
      </x:c>
      <x:c r="J627" t="str">
        <x:v>1863 OCEAN PARKWAY LLC</x:v>
      </x:c>
      <x:c r="K627" s="55" t="n">
        <x:v>44341</x:v>
      </x:c>
      <x:c r="L627" t="str">
        <x:v>Kings</x:v>
      </x:c>
      <x:c r="M627" t="str">
        <x:v>New York</x:v>
      </x:c>
      <x:c r="N627" t="str">
        <x:v>DOMESTIC LIMITED LIABILITY COMPANY</x:v>
      </x:c>
      <x:c r="O627" t="str">
        <x:v>1863 OCEAN PARKWAY LLC</x:v>
      </x:c>
      <x:c r="P627" t="str">
        <x:v>2774 CONEY ISLAND AVENUE, FIRST FLOOR, BROOKLYN, NY, 11235</x:v>
      </x:c>
      <x:c r="Q627" t="str"/>
      <x:c r="R627" t="str"/>
      <x:c r="S627" t="str"/>
      <x:c r="T627" t="str"/>
      <x:c r="U627" t="str"/>
      <x:c r="V627" t="str"/>
      <x:c r="W627" t="str"/>
      <x:c r="X627" t="str"/>
      <x:c r="Y627" t="str">
        <x:v>https://data.ny.gov/Economic-Development/Active-Corporations-Beginning-1800/n9v6-gdp6</x:v>
      </x:c>
    </x:row>
    <x:row r="628">
      <x:c r="A628" t="str">
        <x:v>DOS-4-082</x:v>
      </x:c>
      <x:c r="B628" t="n">
        <x:v>4</x:v>
      </x:c>
      <x:c r="C628" t="str">
        <x:v>2774 CONEY ISLAND AVENUE, 1ST FLOOR, BROOKLYN, NY, 11235, US</x:v>
      </x:c>
      <x:c r="D628" t="str">
        <x:v>3846 FLATLANDS LLC</x:v>
      </x:c>
      <x:c r="E628" t="str">
        <x:v>3846 FLATLANDS LLC</x:v>
      </x:c>
      <x:c r="F628" t="str">
        <x:v>Active name match</x:v>
      </x:c>
      <x:c r="G628" t="n">
        <x:v>1</x:v>
      </x:c>
      <x:c r="H628" t="n">
        <x:v>0</x:v>
      </x:c>
      <x:c r="I628" t="str">
        <x:v>5131469</x:v>
      </x:c>
      <x:c r="J628" t="str">
        <x:v>3846 FLATLANDS LLC</x:v>
      </x:c>
      <x:c r="K628" s="55" t="n">
        <x:v>42859</x:v>
      </x:c>
      <x:c r="L628" t="str">
        <x:v>Kings</x:v>
      </x:c>
      <x:c r="M628" t="str">
        <x:v>New York</x:v>
      </x:c>
      <x:c r="N628" t="str">
        <x:v>DOMESTIC LIMITED LIABILITY COMPANY</x:v>
      </x:c>
      <x:c r="O628" t="str">
        <x:v>3846 FLATLANDS LLC</x:v>
      </x:c>
      <x:c r="P628" t="str">
        <x:v>3846 FLATLANDS AVENUE, BROOKLYN, NY, 11234</x:v>
      </x:c>
      <x:c r="Q628" t="str"/>
      <x:c r="R628" t="str"/>
      <x:c r="S628" t="str"/>
      <x:c r="T628" t="str"/>
      <x:c r="U628" t="str"/>
      <x:c r="V628" t="str"/>
      <x:c r="W628" t="str"/>
      <x:c r="X628" t="str"/>
      <x:c r="Y628" t="str">
        <x:v>https://data.ny.gov/Economic-Development/Active-Corporations-Beginning-1800/n9v6-gdp6</x:v>
      </x:c>
    </x:row>
    <x:row r="629">
      <x:c r="A629" t="str">
        <x:v>DOS-4-082</x:v>
      </x:c>
      <x:c r="B629" t="n">
        <x:v>4</x:v>
      </x:c>
      <x:c r="C629" t="str">
        <x:v>2774 CONEY ISLAND AVENUE, 1ST FLOOR, BROOKLYN, NY, 11235, US</x:v>
      </x:c>
      <x:c r="D629" t="str">
        <x:v>FOSTER AND CONEY REALTY LLC</x:v>
      </x:c>
      <x:c r="E629" t="str">
        <x:v>FOSTER AND CONEY REALTY LLC</x:v>
      </x:c>
      <x:c r="F629" t="str">
        <x:v>Address-corroborated active match</x:v>
      </x:c>
      <x:c r="G629" t="n">
        <x:v>1</x:v>
      </x:c>
      <x:c r="H629" t="n">
        <x:v>2</x:v>
      </x:c>
      <x:c r="I629" t="str">
        <x:v>5830618</x:v>
      </x:c>
      <x:c r="J629" t="str">
        <x:v>FOSTER AND CONEY REALTY LLC</x:v>
      </x:c>
      <x:c r="K629" s="55" t="n">
        <x:v>44082</x:v>
      </x:c>
      <x:c r="L629" t="str">
        <x:v>Kings</x:v>
      </x:c>
      <x:c r="M629" t="str">
        <x:v>New York</x:v>
      </x:c>
      <x:c r="N629" t="str">
        <x:v>DOMESTIC LIMITED LIABILITY COMPANY</x:v>
      </x:c>
      <x:c r="O629" t="str">
        <x:v>FOSTER AND CONEY REALTY LLC</x:v>
      </x:c>
      <x:c r="P629" t="str">
        <x:v>2774 CONEY ISLAND AVENUE, FIRST FLOOR, BROOKLYN, NY, 11235</x:v>
      </x:c>
      <x:c r="Q629" t="str"/>
      <x:c r="R629" t="str"/>
      <x:c r="S629" t="str"/>
      <x:c r="T629" t="str"/>
      <x:c r="U629" t="str"/>
      <x:c r="V629" t="str"/>
      <x:c r="W629" t="str"/>
      <x:c r="X629" t="str"/>
      <x:c r="Y629" t="str">
        <x:v>https://data.ny.gov/Economic-Development/Active-Corporations-Beginning-1800/n9v6-gdp6</x:v>
      </x:c>
    </x:row>
    <x:row r="630">
      <x:c r="A630" t="str">
        <x:v>DOS-4-083</x:v>
      </x:c>
      <x:c r="B630" t="n">
        <x:v>4</x:v>
      </x:c>
      <x:c r="C630" t="str">
        <x:v>3836 11TH STREET, LONG ISLAND CITY, NY, 11101, US</x:v>
      </x:c>
      <x:c r="D630" t="str">
        <x:v>115 117 GROVE ST LLC</x:v>
      </x:c>
      <x:c r="E630" t="str">
        <x:v>115-117 GROVE ST LLC</x:v>
      </x:c>
      <x:c r="F630" t="str">
        <x:v>Active name match</x:v>
      </x:c>
      <x:c r="G630" t="n">
        <x:v>1</x:v>
      </x:c>
      <x:c r="H630" t="n">
        <x:v>1</x:v>
      </x:c>
      <x:c r="I630" t="str">
        <x:v>4409083</x:v>
      </x:c>
      <x:c r="J630" t="str">
        <x:v>115-117 GROVE ST LLC</x:v>
      </x:c>
      <x:c r="K630" s="55" t="n">
        <x:v>41422</x:v>
      </x:c>
      <x:c r="L630" t="str">
        <x:v>Nassau</x:v>
      </x:c>
      <x:c r="M630" t="str">
        <x:v>New York</x:v>
      </x:c>
      <x:c r="N630" t="str">
        <x:v>DOMESTIC LIMITED LIABILITY COMPANY</x:v>
      </x:c>
      <x:c r="O630" t="str">
        <x:v>115-117 GROVE ST LLC</x:v>
      </x:c>
      <x:c r="P630" t="str">
        <x:v>38-36 11TH STREET, LONG ISLAND CITY, NY, 11101</x:v>
      </x:c>
      <x:c r="Q630" t="str"/>
      <x:c r="R630" t="str"/>
      <x:c r="S630" t="str"/>
      <x:c r="T630" t="str"/>
      <x:c r="U630" t="str"/>
      <x:c r="V630" t="str"/>
      <x:c r="W630" t="str"/>
      <x:c r="X630" t="str"/>
      <x:c r="Y630" t="str">
        <x:v>https://data.ny.gov/Economic-Development/Active-Corporations-Beginning-1800/n9v6-gdp6</x:v>
      </x:c>
    </x:row>
    <x:row r="631">
      <x:c r="A631" t="str">
        <x:v>DOS-4-083</x:v>
      </x:c>
      <x:c r="B631" t="n">
        <x:v>4</x:v>
      </x:c>
      <x:c r="C631" t="str">
        <x:v>3836 11TH STREET, LONG ISLAND CITY, NY, 11101, US</x:v>
      </x:c>
      <x:c r="D631" t="str">
        <x:v>119 GROVE ST LLC</x:v>
      </x:c>
      <x:c r="E631" t="str">
        <x:v>119 GROVE ST LLC</x:v>
      </x:c>
      <x:c r="F631" t="str">
        <x:v>Active name match</x:v>
      </x:c>
      <x:c r="G631" t="n">
        <x:v>1</x:v>
      </x:c>
      <x:c r="H631" t="n">
        <x:v>1</x:v>
      </x:c>
      <x:c r="I631" t="str">
        <x:v>4408953</x:v>
      </x:c>
      <x:c r="J631" t="str">
        <x:v>119 GROVE ST LLC</x:v>
      </x:c>
      <x:c r="K631" s="55" t="n">
        <x:v>41422</x:v>
      </x:c>
      <x:c r="L631" t="str">
        <x:v>Nassau</x:v>
      </x:c>
      <x:c r="M631" t="str">
        <x:v>New York</x:v>
      </x:c>
      <x:c r="N631" t="str">
        <x:v>DOMESTIC LIMITED LIABILITY COMPANY</x:v>
      </x:c>
      <x:c r="O631" t="str">
        <x:v>119 GROVE ST LLC</x:v>
      </x:c>
      <x:c r="P631" t="str">
        <x:v>38-36 11TH STREET, LONG ISLAND CITY, NY, 11101</x:v>
      </x:c>
      <x:c r="Q631" t="str"/>
      <x:c r="R631" t="str"/>
      <x:c r="S631" t="str"/>
      <x:c r="T631" t="str"/>
      <x:c r="U631" t="str"/>
      <x:c r="V631" t="str"/>
      <x:c r="W631" t="str"/>
      <x:c r="X631" t="str"/>
      <x:c r="Y631" t="str">
        <x:v>https://data.ny.gov/Economic-Development/Active-Corporations-Beginning-1800/n9v6-gdp6</x:v>
      </x:c>
    </x:row>
    <x:row r="632">
      <x:c r="A632" t="str">
        <x:v>DOS-4-083</x:v>
      </x:c>
      <x:c r="B632" t="n">
        <x:v>4</x:v>
      </x:c>
      <x:c r="C632" t="str">
        <x:v>3836 11TH STREET, LONG ISLAND CITY, NY, 11101, US</x:v>
      </x:c>
      <x:c r="D632" t="str">
        <x:v>422 EVERGREEN AVE LLC</x:v>
      </x:c>
      <x:c r="E632" t="str">
        <x:v>422 EVERGREEN AVE LLC</x:v>
      </x:c>
      <x:c r="F632" t="str">
        <x:v>Active name match</x:v>
      </x:c>
      <x:c r="G632" t="n">
        <x:v>1</x:v>
      </x:c>
      <x:c r="H632" t="n">
        <x:v>1</x:v>
      </x:c>
      <x:c r="I632" t="str">
        <x:v>4408954</x:v>
      </x:c>
      <x:c r="J632" t="str">
        <x:v>422 EVERGREEN AVE LLC</x:v>
      </x:c>
      <x:c r="K632" s="55" t="n">
        <x:v>41422</x:v>
      </x:c>
      <x:c r="L632" t="str">
        <x:v>Nassau</x:v>
      </x:c>
      <x:c r="M632" t="str">
        <x:v>New York</x:v>
      </x:c>
      <x:c r="N632" t="str">
        <x:v>DOMESTIC LIMITED LIABILITY COMPANY</x:v>
      </x:c>
      <x:c r="O632" t="str">
        <x:v>422 EVERGREEN AVE LLC</x:v>
      </x:c>
      <x:c r="P632" t="str">
        <x:v>38-36 11TH STREET, LONG ISLAND CITY, NY, 11101</x:v>
      </x:c>
      <x:c r="Q632" t="str"/>
      <x:c r="R632" t="str"/>
      <x:c r="S632" t="str"/>
      <x:c r="T632" t="str"/>
      <x:c r="U632" t="str"/>
      <x:c r="V632" t="str"/>
      <x:c r="W632" t="str"/>
      <x:c r="X632" t="str"/>
      <x:c r="Y632" t="str">
        <x:v>https://data.ny.gov/Economic-Development/Active-Corporations-Beginning-1800/n9v6-gdp6</x:v>
      </x:c>
    </x:row>
    <x:row r="633">
      <x:c r="A633" t="str">
        <x:v>DOS-4-083</x:v>
      </x:c>
      <x:c r="B633" t="n">
        <x:v>4</x:v>
      </x:c>
      <x:c r="C633" t="str">
        <x:v>3836 11TH STREET, LONG ISLAND CITY, NY, 11101, US</x:v>
      </x:c>
      <x:c r="D633" t="str">
        <x:v>65 73 GROVE ST LLC</x:v>
      </x:c>
      <x:c r="E633" t="str">
        <x:v>65-73 GROVE ST LLC</x:v>
      </x:c>
      <x:c r="F633" t="str">
        <x:v>Active name match</x:v>
      </x:c>
      <x:c r="G633" t="n">
        <x:v>1</x:v>
      </x:c>
      <x:c r="H633" t="n">
        <x:v>1</x:v>
      </x:c>
      <x:c r="I633" t="str">
        <x:v>4408947</x:v>
      </x:c>
      <x:c r="J633" t="str">
        <x:v>65-73 GROVE ST LLC</x:v>
      </x:c>
      <x:c r="K633" s="55" t="n">
        <x:v>41422</x:v>
      </x:c>
      <x:c r="L633" t="str">
        <x:v>Nassau</x:v>
      </x:c>
      <x:c r="M633" t="str">
        <x:v>New York</x:v>
      </x:c>
      <x:c r="N633" t="str">
        <x:v>DOMESTIC LIMITED LIABILITY COMPANY</x:v>
      </x:c>
      <x:c r="O633" t="str">
        <x:v>65-73 GROVE ST LLC</x:v>
      </x:c>
      <x:c r="P633" t="str">
        <x:v>38-36 11TH STREET, LONG ISLAND CITY, NY, 11101</x:v>
      </x:c>
      <x:c r="Q633" t="str"/>
      <x:c r="R633" t="str"/>
      <x:c r="S633" t="str"/>
      <x:c r="T633" t="str"/>
      <x:c r="U633" t="str"/>
      <x:c r="V633" t="str"/>
      <x:c r="W633" t="str"/>
      <x:c r="X633" t="str"/>
      <x:c r="Y633" t="str">
        <x:v>https://data.ny.gov/Economic-Development/Active-Corporations-Beginning-1800/n9v6-gdp6</x:v>
      </x:c>
    </x:row>
    <x:row r="634">
      <x:c r="A634" t="str">
        <x:v>DOS-4-084</x:v>
      </x:c>
      <x:c r="B634" t="n">
        <x:v>4</x:v>
      </x:c>
      <x:c r="C634" t="str">
        <x:v>3967 PROVOST AVENUE, BRONX, NY, 10466, US</x:v>
      </x:c>
      <x:c r="D634" t="str">
        <x:v>1600 EAST 233RD STREET LLC</x:v>
      </x:c>
      <x:c r="E634" t="str">
        <x:v>1600 EAST 233RD STREET LLC</x:v>
      </x:c>
      <x:c r="F634" t="str">
        <x:v>Active name match</x:v>
      </x:c>
      <x:c r="G634" t="n">
        <x:v>1</x:v>
      </x:c>
      <x:c r="H634" t="n">
        <x:v>0</x:v>
      </x:c>
      <x:c r="I634" t="str">
        <x:v>7472189</x:v>
      </x:c>
      <x:c r="J634" t="str">
        <x:v>1600 EAST 233RD STREET LLC</x:v>
      </x:c>
      <x:c r="K634" s="55" t="n">
        <x:v>45621</x:v>
      </x:c>
      <x:c r="L634" t="str">
        <x:v>Westchester</x:v>
      </x:c>
      <x:c r="M634" t="str">
        <x:v>New York</x:v>
      </x:c>
      <x:c r="N634" t="str">
        <x:v>DOMESTIC LIMITED LIABILITY COMPANY</x:v>
      </x:c>
      <x:c r="O634" t="str">
        <x:v>1600 East 233rd Street LLC</x:v>
      </x:c>
      <x:c r="P634" t="str">
        <x:v>90 Wood Avenue, Ardsley, NY, 10502</x:v>
      </x:c>
      <x:c r="Q634" t="str"/>
      <x:c r="R634" t="str"/>
      <x:c r="S634" t="str"/>
      <x:c r="T634" t="str"/>
      <x:c r="U634" t="str"/>
      <x:c r="V634" t="str"/>
      <x:c r="W634" t="str"/>
      <x:c r="X634" t="str"/>
      <x:c r="Y634" t="str">
        <x:v>https://data.ny.gov/Economic-Development/Active-Corporations-Beginning-1800/n9v6-gdp6</x:v>
      </x:c>
    </x:row>
    <x:row r="635">
      <x:c r="A635" t="str">
        <x:v>DOS-4-084</x:v>
      </x:c>
      <x:c r="B635" t="n">
        <x:v>4</x:v>
      </x:c>
      <x:c r="C635" t="str">
        <x:v>3967 PROVOST AVENUE, BRONX, NY, 10466, US</x:v>
      </x:c>
      <x:c r="D635" t="str">
        <x:v>3525 CONNER STREET 2 LLC</x:v>
      </x:c>
      <x:c r="E635" t="str">
        <x:v>3525 CONNER STREET 2 LLC</x:v>
      </x:c>
      <x:c r="F635" t="str">
        <x:v>Active name match</x:v>
      </x:c>
      <x:c r="G635" t="n">
        <x:v>1</x:v>
      </x:c>
      <x:c r="H635" t="n">
        <x:v>0</x:v>
      </x:c>
      <x:c r="I635" t="str">
        <x:v>7757256</x:v>
      </x:c>
      <x:c r="J635" t="str">
        <x:v>3525 CONNER STREET 2 LLC</x:v>
      </x:c>
      <x:c r="K635" s="55" t="n">
        <x:v>45973</x:v>
      </x:c>
      <x:c r="L635" t="str">
        <x:v>Westchester</x:v>
      </x:c>
      <x:c r="M635" t="str">
        <x:v>New York</x:v>
      </x:c>
      <x:c r="N635" t="str">
        <x:v>DOMESTIC LIMITED LIABILITY COMPANY</x:v>
      </x:c>
      <x:c r="O635" t="str">
        <x:v>3525 Conner Street 2 LLC</x:v>
      </x:c>
      <x:c r="P635" t="str">
        <x:v>90 Wood Ave, Ardsley, NY, 10502</x:v>
      </x:c>
      <x:c r="Q635" t="str"/>
      <x:c r="R635" t="str"/>
      <x:c r="S635" t="str"/>
      <x:c r="T635" t="str"/>
      <x:c r="U635" t="str"/>
      <x:c r="V635" t="str"/>
      <x:c r="W635" t="str"/>
      <x:c r="X635" t="str"/>
      <x:c r="Y635" t="str">
        <x:v>https://data.ny.gov/Economic-Development/Active-Corporations-Beginning-1800/n9v6-gdp6</x:v>
      </x:c>
    </x:row>
    <x:row r="636">
      <x:c r="A636" t="str">
        <x:v>DOS-4-084</x:v>
      </x:c>
      <x:c r="B636" t="n">
        <x:v>4</x:v>
      </x:c>
      <x:c r="C636" t="str">
        <x:v>3967 PROVOST AVENUE, BRONX, NY, 10466, US</x:v>
      </x:c>
      <x:c r="D636" t="str">
        <x:v>3820 MERRITT AVENUE LLC</x:v>
      </x:c>
      <x:c r="E636" t="str">
        <x:v>3820 MERRITT AVENUE LLC</x:v>
      </x:c>
      <x:c r="F636" t="str">
        <x:v>Active name match</x:v>
      </x:c>
      <x:c r="G636" t="n">
        <x:v>1</x:v>
      </x:c>
      <x:c r="H636" t="n">
        <x:v>0</x:v>
      </x:c>
      <x:c r="I636" t="str">
        <x:v>7472051</x:v>
      </x:c>
      <x:c r="J636" t="str">
        <x:v>3820 MERRITT AVENUE LLC</x:v>
      </x:c>
      <x:c r="K636" s="55" t="n">
        <x:v>45621</x:v>
      </x:c>
      <x:c r="L636" t="str">
        <x:v>Westchester</x:v>
      </x:c>
      <x:c r="M636" t="str">
        <x:v>New York</x:v>
      </x:c>
      <x:c r="N636" t="str">
        <x:v>DOMESTIC LIMITED LIABILITY COMPANY</x:v>
      </x:c>
      <x:c r="O636" t="str">
        <x:v>3820 Merritt Avenue LLC</x:v>
      </x:c>
      <x:c r="P636" t="str">
        <x:v>90 Wood Ave, Ardsley, NY, 10502</x:v>
      </x:c>
      <x:c r="Q636" t="str"/>
      <x:c r="R636" t="str"/>
      <x:c r="S636" t="str"/>
      <x:c r="T636" t="str"/>
      <x:c r="U636" t="str"/>
      <x:c r="V636" t="str"/>
      <x:c r="W636" t="str"/>
      <x:c r="X636" t="str"/>
      <x:c r="Y636" t="str">
        <x:v>https://data.ny.gov/Economic-Development/Active-Corporations-Beginning-1800/n9v6-gdp6</x:v>
      </x:c>
    </x:row>
    <x:row r="637">
      <x:c r="A637" t="str">
        <x:v>DOS-4-084</x:v>
      </x:c>
      <x:c r="B637" t="n">
        <x:v>4</x:v>
      </x:c>
      <x:c r="C637" t="str">
        <x:v>3967 PROVOST AVENUE, BRONX, NY, 10466, US</x:v>
      </x:c>
      <x:c r="D637" t="str">
        <x:v>3967 PROVOST AVENUE LLC</x:v>
      </x:c>
      <x:c r="E637" t="str">
        <x:v>3967 PROVOST AVENUE, LLC</x:v>
      </x:c>
      <x:c r="F637" t="str">
        <x:v>Active name match</x:v>
      </x:c>
      <x:c r="G637" t="n">
        <x:v>1</x:v>
      </x:c>
      <x:c r="H637" t="n">
        <x:v>0</x:v>
      </x:c>
      <x:c r="I637" t="str">
        <x:v>4303585</x:v>
      </x:c>
      <x:c r="J637" t="str">
        <x:v>3967 PROVOST AVENUE, LLC</x:v>
      </x:c>
      <x:c r="K637" s="55" t="n">
        <x:v>41185</x:v>
      </x:c>
      <x:c r="L637" t="str">
        <x:v>Westchester</x:v>
      </x:c>
      <x:c r="M637" t="str">
        <x:v>New York</x:v>
      </x:c>
      <x:c r="N637" t="str">
        <x:v>DOMESTIC LIMITED LIABILITY COMPANY</x:v>
      </x:c>
      <x:c r="O637" t="str">
        <x:v>3967 PROVOST AVENUE, LLC</x:v>
      </x:c>
      <x:c r="P637" t="str">
        <x:v>90 WOOD AVENUE, ARDSLEY, NY, 10502</x:v>
      </x:c>
      <x:c r="Q637" t="str"/>
      <x:c r="R637" t="str"/>
      <x:c r="S637" t="str"/>
      <x:c r="T637" t="str"/>
      <x:c r="U637" t="str"/>
      <x:c r="V637" t="str"/>
      <x:c r="W637" t="str"/>
      <x:c r="X637" t="str"/>
      <x:c r="Y637" t="str">
        <x:v>https://data.ny.gov/Economic-Development/Active-Corporations-Beginning-1800/n9v6-gdp6</x:v>
      </x:c>
    </x:row>
    <x:row r="638">
      <x:c r="A638" t="str">
        <x:v>DOS-4-085</x:v>
      </x:c>
      <x:c r="B638" t="n">
        <x:v>4</x:v>
      </x:c>
      <x:c r="C638" t="str">
        <x:v>42 WEST 18TH STREET, 4TH FLOOR, NEW YORK, NY, 10011, US</x:v>
      </x:c>
      <x:c r="D638" t="str">
        <x:v>1697 AMSTERDAM OWNER LLC</x:v>
      </x:c>
      <x:c r="E638" t="str">
        <x:v>1697 AMSTERDAM OWNER LLC</x:v>
      </x:c>
      <x:c r="F638" t="str">
        <x:v>Address-corroborated active match</x:v>
      </x:c>
      <x:c r="G638" t="n">
        <x:v>1</x:v>
      </x:c>
      <x:c r="H638" t="n">
        <x:v>2</x:v>
      </x:c>
      <x:c r="I638" t="str">
        <x:v>7653817</x:v>
      </x:c>
      <x:c r="J638" t="str">
        <x:v>1697 AMSTERDAM OWNER LLC</x:v>
      </x:c>
      <x:c r="K638" s="55" t="n">
        <x:v>45845</x:v>
      </x:c>
      <x:c r="L638" t="str">
        <x:v>Albany</x:v>
      </x:c>
      <x:c r="M638" t="str">
        <x:v>Delaware</x:v>
      </x:c>
      <x:c r="N638" t="str">
        <x:v>FOREIGN LIMITED LIABILITY COMPANY</x:v>
      </x:c>
      <x:c r="O638" t="str">
        <x:v>1697 AMSTERDAM OWNER LLC</x:v>
      </x:c>
      <x:c r="P638" t="str">
        <x:v>42 west 18th street, 4th floor, NEW YORK, NY, 10011</x:v>
      </x:c>
      <x:c r="Q638" t="str"/>
      <x:c r="R638" t="str"/>
      <x:c r="S638" t="str"/>
      <x:c r="T638" t="str"/>
      <x:c r="U638" t="str"/>
      <x:c r="V638" t="str"/>
      <x:c r="W638" t="str"/>
      <x:c r="X638" t="str"/>
      <x:c r="Y638" t="str">
        <x:v>https://data.ny.gov/Economic-Development/Active-Corporations-Beginning-1800/n9v6-gdp6</x:v>
      </x:c>
    </x:row>
    <x:row r="639">
      <x:c r="A639" t="str">
        <x:v>DOS-4-085</x:v>
      </x:c>
      <x:c r="B639" t="n">
        <x:v>4</x:v>
      </x:c>
      <x:c r="C639" t="str">
        <x:v>42 WEST 18TH STREET, 4TH FLOOR, NEW YORK, NY, 10011, US</x:v>
      </x:c>
      <x:c r="D639" t="str">
        <x:v>2500 SEVENTH OWNER LLC</x:v>
      </x:c>
      <x:c r="E639" t="str">
        <x:v>2500 SEVENTH OWNER LLC</x:v>
      </x:c>
      <x:c r="F639" t="str">
        <x:v>Address-corroborated active match</x:v>
      </x:c>
      <x:c r="G639" t="n">
        <x:v>1</x:v>
      </x:c>
      <x:c r="H639" t="n">
        <x:v>2</x:v>
      </x:c>
      <x:c r="I639" t="str">
        <x:v>7653814</x:v>
      </x:c>
      <x:c r="J639" t="str">
        <x:v>2500 SEVENTH OWNER LLC</x:v>
      </x:c>
      <x:c r="K639" s="55" t="n">
        <x:v>45845</x:v>
      </x:c>
      <x:c r="L639" t="str">
        <x:v>Albany</x:v>
      </x:c>
      <x:c r="M639" t="str">
        <x:v>Delaware</x:v>
      </x:c>
      <x:c r="N639" t="str">
        <x:v>FOREIGN LIMITED LIABILITY COMPANY</x:v>
      </x:c>
      <x:c r="O639" t="str">
        <x:v>2500 SEVENTH OWNER LLC</x:v>
      </x:c>
      <x:c r="P639" t="str">
        <x:v>42 west 18th street, 4th floor, NEW YORK, NY, 10011</x:v>
      </x:c>
      <x:c r="Q639" t="str"/>
      <x:c r="R639" t="str"/>
      <x:c r="S639" t="str"/>
      <x:c r="T639" t="str"/>
      <x:c r="U639" t="str"/>
      <x:c r="V639" t="str"/>
      <x:c r="W639" t="str"/>
      <x:c r="X639" t="str"/>
      <x:c r="Y639" t="str">
        <x:v>https://data.ny.gov/Economic-Development/Active-Corporations-Beginning-1800/n9v6-gdp6</x:v>
      </x:c>
    </x:row>
    <x:row r="640">
      <x:c r="A640" t="str">
        <x:v>DOS-4-085</x:v>
      </x:c>
      <x:c r="B640" t="n">
        <x:v>4</x:v>
      </x:c>
      <x:c r="C640" t="str">
        <x:v>42 WEST 18TH STREET, 4TH FLOOR, NEW YORK, NY, 10011, US</x:v>
      </x:c>
      <x:c r="D640" t="str">
        <x:v>790 NINTH OWNER LLC</x:v>
      </x:c>
      <x:c r="E640" t="str">
        <x:v>790 NINTH OWNER LLC</x:v>
      </x:c>
      <x:c r="F640" t="str">
        <x:v>Address-corroborated active match</x:v>
      </x:c>
      <x:c r="G640" t="n">
        <x:v>1</x:v>
      </x:c>
      <x:c r="H640" t="n">
        <x:v>2</x:v>
      </x:c>
      <x:c r="I640" t="str">
        <x:v>7653824</x:v>
      </x:c>
      <x:c r="J640" t="str">
        <x:v>790 NINTH OWNER LLC</x:v>
      </x:c>
      <x:c r="K640" s="55" t="n">
        <x:v>45845</x:v>
      </x:c>
      <x:c r="L640" t="str">
        <x:v>Albany</x:v>
      </x:c>
      <x:c r="M640" t="str">
        <x:v>Delaware</x:v>
      </x:c>
      <x:c r="N640" t="str">
        <x:v>FOREIGN LIMITED LIABILITY COMPANY</x:v>
      </x:c>
      <x:c r="O640" t="str">
        <x:v>790 NINTH OWNER LLC</x:v>
      </x:c>
      <x:c r="P640" t="str">
        <x:v>42 west 18th street,, 4th floor, NEW YORK, NY, 10011</x:v>
      </x:c>
      <x:c r="Q640" t="str"/>
      <x:c r="R640" t="str"/>
      <x:c r="S640" t="str"/>
      <x:c r="T640" t="str"/>
      <x:c r="U640" t="str"/>
      <x:c r="V640" t="str"/>
      <x:c r="W640" t="str"/>
      <x:c r="X640" t="str"/>
      <x:c r="Y640" t="str">
        <x:v>https://data.ny.gov/Economic-Development/Active-Corporations-Beginning-1800/n9v6-gdp6</x:v>
      </x:c>
    </x:row>
    <x:row r="641">
      <x:c r="A641" t="str">
        <x:v>DOS-4-085</x:v>
      </x:c>
      <x:c r="B641" t="n">
        <x:v>4</x:v>
      </x:c>
      <x:c r="C641" t="str">
        <x:v>42 WEST 18TH STREET, 4TH FLOOR, NEW YORK, NY, 10011, US</x:v>
      </x:c>
      <x:c r="D641" t="str">
        <x:v>796 NINTH OWNER LLC</x:v>
      </x:c>
      <x:c r="E641" t="str">
        <x:v>796 NINTH OWNER LLC</x:v>
      </x:c>
      <x:c r="F641" t="str">
        <x:v>Address-corroborated active match</x:v>
      </x:c>
      <x:c r="G641" t="n">
        <x:v>1</x:v>
      </x:c>
      <x:c r="H641" t="n">
        <x:v>2</x:v>
      </x:c>
      <x:c r="I641" t="str">
        <x:v>7653828</x:v>
      </x:c>
      <x:c r="J641" t="str">
        <x:v>796 NINTH OWNER LLC</x:v>
      </x:c>
      <x:c r="K641" s="55" t="n">
        <x:v>45845</x:v>
      </x:c>
      <x:c r="L641" t="str">
        <x:v>Albany</x:v>
      </x:c>
      <x:c r="M641" t="str">
        <x:v>Delaware</x:v>
      </x:c>
      <x:c r="N641" t="str">
        <x:v>FOREIGN LIMITED LIABILITY COMPANY</x:v>
      </x:c>
      <x:c r="O641" t="str">
        <x:v>796 NINTH OWNER LLC</x:v>
      </x:c>
      <x:c r="P641" t="str">
        <x:v>42 WEST 18TH STREET, 4TH FLOOR, NEW YORK, NY, 10011</x:v>
      </x:c>
      <x:c r="Q641" t="str"/>
      <x:c r="R641" t="str"/>
      <x:c r="S641" t="str"/>
      <x:c r="T641" t="str"/>
      <x:c r="U641" t="str"/>
      <x:c r="V641" t="str"/>
      <x:c r="W641" t="str"/>
      <x:c r="X641" t="str"/>
      <x:c r="Y641" t="str">
        <x:v>https://data.ny.gov/Economic-Development/Active-Corporations-Beginning-1800/n9v6-gdp6</x:v>
      </x:c>
    </x:row>
    <x:row r="642">
      <x:c r="A642" t="str">
        <x:v>DOS-4-086</x:v>
      </x:c>
      <x:c r="B642" t="n">
        <x:v>4</x:v>
      </x:c>
      <x:c r="C642" t="str">
        <x:v>45 MAIN STREET SUITE 804, BROOKLYN, NY, 11201, US | 45 MAIN STREET, SUITE 804, BROOKLYN, NY, 11201, US</x:v>
      </x:c>
      <x:c r="D642" t="str">
        <x:v>FPG RENTAL HOLDINGS LLC</x:v>
      </x:c>
      <x:c r="E642" t="str">
        <x:v>FPG RENTAL HOLDINGS, LLC</x:v>
      </x:c>
      <x:c r="F642" t="str">
        <x:v>Active name match</x:v>
      </x:c>
      <x:c r="G642" t="n">
        <x:v>1</x:v>
      </x:c>
      <x:c r="H642" t="n">
        <x:v>0</x:v>
      </x:c>
      <x:c r="I642" t="str">
        <x:v>4787445</x:v>
      </x:c>
      <x:c r="J642" t="str">
        <x:v>FPG RENTAL HOLDINGS LLC</x:v>
      </x:c>
      <x:c r="K642" s="55" t="n">
        <x:v>42195</x:v>
      </x:c>
      <x:c r="L642" t="str">
        <x:v>New York</x:v>
      </x:c>
      <x:c r="M642" t="str">
        <x:v>New York</x:v>
      </x:c>
      <x:c r="N642" t="str">
        <x:v>DOMESTIC LIMITED LIABILITY COMPANY</x:v>
      </x:c>
      <x:c r="O642" t="str">
        <x:v>C T CORPORATION SYSTEM</x:v>
      </x:c>
      <x:c r="P642" t="str">
        <x:v>28 LIBERTY STREET, NEW YORK, NY, 10005</x:v>
      </x:c>
      <x:c r="Q642" t="str"/>
      <x:c r="R642" t="str"/>
      <x:c r="S642" t="str">
        <x:v>C T CORPORATION SYSTEM</x:v>
      </x:c>
      <x:c r="T642" t="str">
        <x:v>28 LIBERTY STREET, NEW YORK, NEW YORK, 10005</x:v>
      </x:c>
      <x:c r="U642" t="str"/>
      <x:c r="V642" t="str"/>
      <x:c r="W642" t="str"/>
      <x:c r="X642" t="str"/>
      <x:c r="Y642" t="str">
        <x:v>https://data.ny.gov/Economic-Development/Active-Corporations-Beginning-1800/n9v6-gdp6</x:v>
      </x:c>
    </x:row>
    <x:row r="643">
      <x:c r="A643" t="str">
        <x:v>DOS-4-086</x:v>
      </x:c>
      <x:c r="B643" t="n">
        <x:v>4</x:v>
      </x:c>
      <x:c r="C643" t="str">
        <x:v>45 MAIN STREET SUITE 804, BROOKLYN, NY, 11201, US | 45 MAIN STREET, SUITE 804, BROOKLYN, NY, 11201, US</x:v>
      </x:c>
      <x:c r="D643" t="str">
        <x:v>HEYWARD ESTATES LLC</x:v>
      </x:c>
      <x:c r="E643" t="str">
        <x:v>HEYWARD ESTATES LLC</x:v>
      </x:c>
      <x:c r="F643" t="str">
        <x:v>Active name match</x:v>
      </x:c>
      <x:c r="G643" t="n">
        <x:v>1</x:v>
      </x:c>
      <x:c r="H643" t="n">
        <x:v>0</x:v>
      </x:c>
      <x:c r="I643" t="str">
        <x:v>3705701</x:v>
      </x:c>
      <x:c r="J643" t="str">
        <x:v>HEYWARD ESTATES LLC</x:v>
      </x:c>
      <x:c r="K643" s="55" t="n">
        <x:v>39666</x:v>
      </x:c>
      <x:c r="L643" t="str">
        <x:v>Kings</x:v>
      </x:c>
      <x:c r="M643" t="str">
        <x:v>New York</x:v>
      </x:c>
      <x:c r="N643" t="str">
        <x:v>DOMESTIC LIMITED LIABILITY COMPANY</x:v>
      </x:c>
      <x:c r="O643" t="str">
        <x:v>HEYWARD ESTATES LLC</x:v>
      </x:c>
      <x:c r="P643" t="str">
        <x:v>199 LEE AVE, SUITE 292, BROOKLYN, NY, 11211</x:v>
      </x:c>
      <x:c r="Q643" t="str"/>
      <x:c r="R643" t="str"/>
      <x:c r="S643" t="str"/>
      <x:c r="T643" t="str"/>
      <x:c r="U643" t="str"/>
      <x:c r="V643" t="str"/>
      <x:c r="W643" t="str"/>
      <x:c r="X643" t="str"/>
      <x:c r="Y643" t="str">
        <x:v>https://data.ny.gov/Economic-Development/Active-Corporations-Beginning-1800/n9v6-gdp6</x:v>
      </x:c>
    </x:row>
    <x:row r="644">
      <x:c r="A644" t="str">
        <x:v>DOS-4-086</x:v>
      </x:c>
      <x:c r="B644" t="n">
        <x:v>4</x:v>
      </x:c>
      <x:c r="C644" t="str">
        <x:v>45 MAIN STREET SUITE 804, BROOKLYN, NY, 11201, US | 45 MAIN STREET, SUITE 804, BROOKLYN, NY, 11201, US</x:v>
      </x:c>
      <x:c r="D644" t="str">
        <x:v>LMK GRANDCHILDREN ESTATES LLC</x:v>
      </x:c>
      <x:c r="E644" t="str">
        <x:v>LMK GRANDCHILDREN ESTATES LLC</x:v>
      </x:c>
      <x:c r="F644" t="str">
        <x:v>Address-corroborated active match</x:v>
      </x:c>
      <x:c r="G644" t="n">
        <x:v>1</x:v>
      </x:c>
      <x:c r="H644" t="n">
        <x:v>2</x:v>
      </x:c>
      <x:c r="I644" t="str">
        <x:v>4519241</x:v>
      </x:c>
      <x:c r="J644" t="str">
        <x:v>LMK GRANDCHILDREN ESTATES LLC</x:v>
      </x:c>
      <x:c r="K644" s="55" t="n">
        <x:v>41666</x:v>
      </x:c>
      <x:c r="L644" t="str">
        <x:v>Kings</x:v>
      </x:c>
      <x:c r="M644" t="str">
        <x:v>New York</x:v>
      </x:c>
      <x:c r="N644" t="str">
        <x:v>DOMESTIC LIMITED LIABILITY COMPANY</x:v>
      </x:c>
      <x:c r="O644" t="str">
        <x:v>LMK GRANDCHILDREN ESTATES LLC</x:v>
      </x:c>
      <x:c r="P644" t="str">
        <x:v>45 Main Street, Suite 804, Brooklyn, NY, 11201</x:v>
      </x:c>
      <x:c r="Q644" t="str"/>
      <x:c r="R644" t="str"/>
      <x:c r="S644" t="str"/>
      <x:c r="T644" t="str"/>
      <x:c r="U644" t="str"/>
      <x:c r="V644" t="str"/>
      <x:c r="W644" t="str"/>
      <x:c r="X644" t="str"/>
      <x:c r="Y644" t="str">
        <x:v>https://data.ny.gov/Economic-Development/Active-Corporations-Beginning-1800/n9v6-gdp6</x:v>
      </x:c>
    </x:row>
    <x:row r="645">
      <x:c r="A645" t="str">
        <x:v>DOS-4-086</x:v>
      </x:c>
      <x:c r="B645" t="n">
        <x:v>4</x:v>
      </x:c>
      <x:c r="C645" t="str">
        <x:v>45 MAIN STREET SUITE 804, BROOKLYN, NY, 11201, US | 45 MAIN STREET, SUITE 804, BROOKLYN, NY, 11201, US</x:v>
      </x:c>
      <x:c r="D645" t="str">
        <x:v>RUTLEDGE COMMERCIAL LLC</x:v>
      </x:c>
      <x:c r="E645" t="str">
        <x:v>RUTLEDGE COMMERCIAL LLC</x:v>
      </x:c>
      <x:c r="F645" t="str">
        <x:v>Active name match</x:v>
      </x:c>
      <x:c r="G645" t="n">
        <x:v>1</x:v>
      </x:c>
      <x:c r="H645" t="n">
        <x:v>0</x:v>
      </x:c>
      <x:c r="I645" t="str">
        <x:v>4089346</x:v>
      </x:c>
      <x:c r="J645" t="str">
        <x:v>RUTLEDGE COMMERCIAL, LLC</x:v>
      </x:c>
      <x:c r="K645" s="55" t="n">
        <x:v>40666</x:v>
      </x:c>
      <x:c r="L645" t="str">
        <x:v>Kings</x:v>
      </x:c>
      <x:c r="M645" t="str">
        <x:v>New York</x:v>
      </x:c>
      <x:c r="N645" t="str">
        <x:v>DOMESTIC LIMITED LIABILITY COMPANY</x:v>
      </x:c>
      <x:c r="O645" t="str">
        <x:v>RUTLEDGE COMMERCIAL, LLC</x:v>
      </x:c>
      <x:c r="P645" t="str">
        <x:v>329 HEWES STREET, BROOKLYN, NY, 11211</x:v>
      </x:c>
      <x:c r="Q645" t="str"/>
      <x:c r="R645" t="str"/>
      <x:c r="S645" t="str"/>
      <x:c r="T645" t="str"/>
      <x:c r="U645" t="str"/>
      <x:c r="V645" t="str"/>
      <x:c r="W645" t="str"/>
      <x:c r="X645" t="str"/>
      <x:c r="Y645" t="str">
        <x:v>https://data.ny.gov/Economic-Development/Active-Corporations-Beginning-1800/n9v6-gdp6</x:v>
      </x:c>
    </x:row>
    <x:row r="646">
      <x:c r="A646" t="str">
        <x:v>DOS-4-087</x:v>
      </x:c>
      <x:c r="B646" t="n">
        <x:v>4</x:v>
      </x:c>
      <x:c r="C646" t="str">
        <x:v>4620 16TH AVENUE, BROOKLYN, NY, 11204, US</x:v>
      </x:c>
      <x:c r="D646" t="str">
        <x:v>240 CROWN LLC</x:v>
      </x:c>
      <x:c r="E646" t="str">
        <x:v>240 CROWN LLC</x:v>
      </x:c>
      <x:c r="F646" t="str">
        <x:v>Address-corroborated active match</x:v>
      </x:c>
      <x:c r="G646" t="n">
        <x:v>1</x:v>
      </x:c>
      <x:c r="H646" t="n">
        <x:v>2</x:v>
      </x:c>
      <x:c r="I646" t="str">
        <x:v>3655727</x:v>
      </x:c>
      <x:c r="J646" t="str">
        <x:v>240 CROWN LLC</x:v>
      </x:c>
      <x:c r="K646" s="55" t="n">
        <x:v>39546</x:v>
      </x:c>
      <x:c r="L646" t="str">
        <x:v>Kings</x:v>
      </x:c>
      <x:c r="M646" t="str">
        <x:v>New York</x:v>
      </x:c>
      <x:c r="N646" t="str">
        <x:v>DOMESTIC LIMITED LIABILITY COMPANY</x:v>
      </x:c>
      <x:c r="O646" t="str">
        <x:v>240 CROWN LLC</x:v>
      </x:c>
      <x:c r="P646" t="str">
        <x:v>4620 16th Ave., BROOKLYN, NY, 11204</x:v>
      </x:c>
      <x:c r="Q646" t="str"/>
      <x:c r="R646" t="str"/>
      <x:c r="S646" t="str"/>
      <x:c r="T646" t="str"/>
      <x:c r="U646" t="str"/>
      <x:c r="V646" t="str"/>
      <x:c r="W646" t="str"/>
      <x:c r="X646" t="str"/>
      <x:c r="Y646" t="str">
        <x:v>https://data.ny.gov/Economic-Development/Active-Corporations-Beginning-1800/n9v6-gdp6</x:v>
      </x:c>
    </x:row>
    <x:row r="647">
      <x:c r="A647" t="str">
        <x:v>DOS-4-087</x:v>
      </x:c>
      <x:c r="B647" t="n">
        <x:v>4</x:v>
      </x:c>
      <x:c r="C647" t="str">
        <x:v>4620 16TH AVENUE, BROOKLYN, NY, 11204, US</x:v>
      </x:c>
      <x:c r="D647" t="str">
        <x:v>377 MONTGOMERY LLC</x:v>
      </x:c>
      <x:c r="E647" t="str">
        <x:v>377 MONTGOMERY LLC</x:v>
      </x:c>
      <x:c r="F647" t="str">
        <x:v>Address-corroborated active match</x:v>
      </x:c>
      <x:c r="G647" t="n">
        <x:v>1</x:v>
      </x:c>
      <x:c r="H647" t="n">
        <x:v>2</x:v>
      </x:c>
      <x:c r="I647" t="str">
        <x:v>3655737</x:v>
      </x:c>
      <x:c r="J647" t="str">
        <x:v>377 MONTGOMERY LLC</x:v>
      </x:c>
      <x:c r="K647" s="55" t="n">
        <x:v>39546</x:v>
      </x:c>
      <x:c r="L647" t="str">
        <x:v>Kings</x:v>
      </x:c>
      <x:c r="M647" t="str">
        <x:v>New York</x:v>
      </x:c>
      <x:c r="N647" t="str">
        <x:v>DOMESTIC LIMITED LIABILITY COMPANY</x:v>
      </x:c>
      <x:c r="O647" t="str">
        <x:v>377 MONTGOMERY LLC</x:v>
      </x:c>
      <x:c r="P647" t="str">
        <x:v>4620 16TH AVE, BROOKLYN, NY, 11204</x:v>
      </x:c>
      <x:c r="Q647" t="str"/>
      <x:c r="R647" t="str"/>
      <x:c r="S647" t="str"/>
      <x:c r="T647" t="str"/>
      <x:c r="U647" t="str"/>
      <x:c r="V647" t="str"/>
      <x:c r="W647" t="str"/>
      <x:c r="X647" t="str"/>
      <x:c r="Y647" t="str">
        <x:v>https://data.ny.gov/Economic-Development/Active-Corporations-Beginning-1800/n9v6-gdp6</x:v>
      </x:c>
    </x:row>
    <x:row r="648">
      <x:c r="A648" t="str">
        <x:v>DOS-4-087</x:v>
      </x:c>
      <x:c r="B648" t="n">
        <x:v>4</x:v>
      </x:c>
      <x:c r="C648" t="str">
        <x:v>4620 16TH AVENUE, BROOKLYN, NY, 11204, US</x:v>
      </x:c>
      <x:c r="D648" t="str">
        <x:v>595 665 EAST 56TH LLC</x:v>
      </x:c>
      <x:c r="E648" t="str">
        <x:v>595-665 EAST 56TH, LLC</x:v>
      </x:c>
      <x:c r="F648" t="str">
        <x:v>Address-corroborated active match</x:v>
      </x:c>
      <x:c r="G648" t="n">
        <x:v>1</x:v>
      </x:c>
      <x:c r="H648" t="n">
        <x:v>2</x:v>
      </x:c>
      <x:c r="I648" t="str">
        <x:v>4604172</x:v>
      </x:c>
      <x:c r="J648" t="str">
        <x:v>595-665 EAST 56TH, LLC</x:v>
      </x:c>
      <x:c r="K648" s="55" t="n">
        <x:v>41829</x:v>
      </x:c>
      <x:c r="L648" t="str">
        <x:v>Kings</x:v>
      </x:c>
      <x:c r="M648" t="str"/>
      <x:c r="N648" t="str">
        <x:v>DOMESTIC LIMITED LIABILITY COMPANY</x:v>
      </x:c>
      <x:c r="O648" t="str">
        <x:v>595-665 EAST 56TH, LLC</x:v>
      </x:c>
      <x:c r="P648" t="str">
        <x:v>4620 16TH AVENUE, BROOKLYN, NY, 11204</x:v>
      </x:c>
      <x:c r="Q648" t="str"/>
      <x:c r="R648" t="str"/>
      <x:c r="S648" t="str"/>
      <x:c r="T648" t="str"/>
      <x:c r="U648" t="str"/>
      <x:c r="V648" t="str"/>
      <x:c r="W648" t="str"/>
      <x:c r="X648" t="str"/>
      <x:c r="Y648" t="str">
        <x:v>https://data.ny.gov/Economic-Development/Active-Corporations-Beginning-1800/n9v6-gdp6</x:v>
      </x:c>
    </x:row>
    <x:row r="649">
      <x:c r="A649" t="str">
        <x:v>DOS-4-087</x:v>
      </x:c>
      <x:c r="B649" t="n">
        <x:v>4</x:v>
      </x:c>
      <x:c r="C649" t="str">
        <x:v>4620 16TH AVENUE, BROOKLYN, NY, 11204, US</x:v>
      </x:c>
      <x:c r="D649" t="str">
        <x:v>ELDERT ASSOCIATES LLC</x:v>
      </x:c>
      <x:c r="E649" t="str">
        <x:v>ELDERT ASSOCIATES LLC</x:v>
      </x:c>
      <x:c r="F649" t="str">
        <x:v>Address-corroborated active match</x:v>
      </x:c>
      <x:c r="G649" t="n">
        <x:v>1</x:v>
      </x:c>
      <x:c r="H649" t="n">
        <x:v>2</x:v>
      </x:c>
      <x:c r="I649" t="str">
        <x:v>4852419</x:v>
      </x:c>
      <x:c r="J649" t="str">
        <x:v>ELDERT ASSOCIATES, LLC</x:v>
      </x:c>
      <x:c r="K649" s="55" t="n">
        <x:v>42327</x:v>
      </x:c>
      <x:c r="L649" t="str">
        <x:v>Kings</x:v>
      </x:c>
      <x:c r="M649" t="str">
        <x:v>New York</x:v>
      </x:c>
      <x:c r="N649" t="str">
        <x:v>DOMESTIC LIMITED LIABILITY COMPANY</x:v>
      </x:c>
      <x:c r="O649" t="str">
        <x:v>ELDERT ASSOCIATES, LLC</x:v>
      </x:c>
      <x:c r="P649" t="str">
        <x:v>4620 16TH AVENUE, BROOKLYN, NY, 11204</x:v>
      </x:c>
      <x:c r="Q649" t="str"/>
      <x:c r="R649" t="str"/>
      <x:c r="S649" t="str"/>
      <x:c r="T649" t="str"/>
      <x:c r="U649" t="str"/>
      <x:c r="V649" t="str"/>
      <x:c r="W649" t="str"/>
      <x:c r="X649" t="str"/>
      <x:c r="Y649" t="str">
        <x:v>https://data.ny.gov/Economic-Development/Active-Corporations-Beginning-1800/n9v6-gdp6</x:v>
      </x:c>
    </x:row>
    <x:row r="650">
      <x:c r="A650" t="str">
        <x:v>DOS-4-088</x:v>
      </x:c>
      <x:c r="B650" t="n">
        <x:v>4</x:v>
      </x:c>
      <x:c r="C650" t="str">
        <x:v>4900 MASPETH AVENUE, MASPETH, NY, 11378, US</x:v>
      </x:c>
      <x:c r="D650" t="str">
        <x:v>D2G NATIONAL LLC</x:v>
      </x:c>
      <x:c r="E650" t="str">
        <x:v>D2G NATIONAL LLC</x:v>
      </x:c>
      <x:c r="F650" t="str">
        <x:v>Address-corroborated active match</x:v>
      </x:c>
      <x:c r="G650" t="n">
        <x:v>1</x:v>
      </x:c>
      <x:c r="H650" t="n">
        <x:v>2</x:v>
      </x:c>
      <x:c r="I650" t="str">
        <x:v>5327651</x:v>
      </x:c>
      <x:c r="J650" t="str">
        <x:v>D2G NATIONAL LLC</x:v>
      </x:c>
      <x:c r="K650" s="55" t="n">
        <x:v>43213</x:v>
      </x:c>
      <x:c r="L650" t="str">
        <x:v>Queens</x:v>
      </x:c>
      <x:c r="M650" t="str">
        <x:v>New York</x:v>
      </x:c>
      <x:c r="N650" t="str">
        <x:v>DOMESTIC LIMITED LIABILITY COMPANY</x:v>
      </x:c>
      <x:c r="O650" t="str">
        <x:v>D2G NATIONAL LLC</x:v>
      </x:c>
      <x:c r="P650" t="str">
        <x:v>4900 MASPETH AVENUE, MASPETH, NY, 11378</x:v>
      </x:c>
      <x:c r="Q650" t="str"/>
      <x:c r="R650" t="str"/>
      <x:c r="S650" t="str"/>
      <x:c r="T650" t="str"/>
      <x:c r="U650" t="str"/>
      <x:c r="V650" t="str"/>
      <x:c r="W650" t="str"/>
      <x:c r="X650" t="str"/>
      <x:c r="Y650" t="str">
        <x:v>https://data.ny.gov/Economic-Development/Active-Corporations-Beginning-1800/n9v6-gdp6</x:v>
      </x:c>
    </x:row>
    <x:row r="651">
      <x:c r="A651" t="str">
        <x:v>DOS-4-088</x:v>
      </x:c>
      <x:c r="B651" t="n">
        <x:v>4</x:v>
      </x:c>
      <x:c r="C651" t="str">
        <x:v>4900 MASPETH AVENUE, MASPETH, NY, 11378, US</x:v>
      </x:c>
      <x:c r="D651" t="str">
        <x:v>LOLIEN ESTATE LLC</x:v>
      </x:c>
      <x:c r="E651" t="str">
        <x:v>LOLIEN ESTATE, LLC</x:v>
      </x:c>
      <x:c r="F651" t="str">
        <x:v>Active name match</x:v>
      </x:c>
      <x:c r="G651" t="n">
        <x:v>1</x:v>
      </x:c>
      <x:c r="H651" t="n">
        <x:v>0</x:v>
      </x:c>
      <x:c r="I651" t="str">
        <x:v>3685874</x:v>
      </x:c>
      <x:c r="J651" t="str">
        <x:v>LOLIEN ESTATE, LLC</x:v>
      </x:c>
      <x:c r="K651" s="55" t="n">
        <x:v>39617</x:v>
      </x:c>
      <x:c r="L651" t="str">
        <x:v>Nassau</x:v>
      </x:c>
      <x:c r="M651" t="str">
        <x:v>New York</x:v>
      </x:c>
      <x:c r="N651" t="str">
        <x:v>DOMESTIC LIMITED LIABILITY COMPANY</x:v>
      </x:c>
      <x:c r="O651" t="str">
        <x:v>LOLIEN ESTATE, LLC</x:v>
      </x:c>
      <x:c r="P651" t="str">
        <x:v>31 ALDGATE DRIVE E, MANHASSET, NY, 11030</x:v>
      </x:c>
      <x:c r="Q651" t="str"/>
      <x:c r="R651" t="str"/>
      <x:c r="S651" t="str">
        <x:v>SPIEGEL &amp; UTRERA, P.A. P.C.</x:v>
      </x:c>
      <x:c r="T651" t="str">
        <x:v>1 MAIDEN LANE 5TH FL., NEW YORK, NEW YORK, 10038</x:v>
      </x:c>
      <x:c r="U651" t="str"/>
      <x:c r="V651" t="str"/>
      <x:c r="W651" t="str"/>
      <x:c r="X651" t="str"/>
      <x:c r="Y651" t="str">
        <x:v>https://data.ny.gov/Economic-Development/Active-Corporations-Beginning-1800/n9v6-gdp6</x:v>
      </x:c>
    </x:row>
    <x:row r="652">
      <x:c r="A652" t="str">
        <x:v>DOS-4-088</x:v>
      </x:c>
      <x:c r="B652" t="n">
        <x:v>4</x:v>
      </x:c>
      <x:c r="C652" t="str">
        <x:v>4900 MASPETH AVENUE, MASPETH, NY, 11378, US</x:v>
      </x:c>
      <x:c r="D652" t="str">
        <x:v>R AND B ASSET MANAGEMENT LLC</x:v>
      </x:c>
      <x:c r="E652" t="str">
        <x:v>R &amp; B ASSET MANAGEMENT LLC</x:v>
      </x:c>
      <x:c r="F652" t="str">
        <x:v>Active name match</x:v>
      </x:c>
      <x:c r="G652" t="n">
        <x:v>1</x:v>
      </x:c>
      <x:c r="H652" t="n">
        <x:v>0</x:v>
      </x:c>
      <x:c r="I652" t="str">
        <x:v>3685897</x:v>
      </x:c>
      <x:c r="J652" t="str">
        <x:v>R &amp; B ASSET MANAGEMENT LLC</x:v>
      </x:c>
      <x:c r="K652" s="55" t="n">
        <x:v>39617</x:v>
      </x:c>
      <x:c r="L652" t="str">
        <x:v>Nassau</x:v>
      </x:c>
      <x:c r="M652" t="str">
        <x:v>New York</x:v>
      </x:c>
      <x:c r="N652" t="str">
        <x:v>DOMESTIC LIMITED LIABILITY COMPANY</x:v>
      </x:c>
      <x:c r="O652" t="str">
        <x:v>R &amp; B ASSET MANAGEMENT LLC</x:v>
      </x:c>
      <x:c r="P652" t="str">
        <x:v>18 STONEHILL DRIVE NORTH, MANHASSET, NY, 11030</x:v>
      </x:c>
      <x:c r="Q652" t="str"/>
      <x:c r="R652" t="str"/>
      <x:c r="S652" t="str">
        <x:v>SPIEGEL &amp; UTRERA, P.A., P.C.</x:v>
      </x:c>
      <x:c r="T652" t="str">
        <x:v>1 MAIDEN LANE, 5TH FLOOR, NEW YORK, NEW YORK, 10038</x:v>
      </x:c>
      <x:c r="U652" t="str"/>
      <x:c r="V652" t="str"/>
      <x:c r="W652" t="str"/>
      <x:c r="X652" t="str"/>
      <x:c r="Y652" t="str">
        <x:v>https://data.ny.gov/Economic-Development/Active-Corporations-Beginning-1800/n9v6-gdp6</x:v>
      </x:c>
    </x:row>
    <x:row r="653">
      <x:c r="A653" t="str">
        <x:v>DOS-4-088</x:v>
      </x:c>
      <x:c r="B653" t="n">
        <x:v>4</x:v>
      </x:c>
      <x:c r="C653" t="str">
        <x:v>4900 MASPETH AVENUE, MASPETH, NY, 11378, US</x:v>
      </x:c>
      <x:c r="D653" t="str">
        <x:v>RBL MASPETH LLC</x:v>
      </x:c>
      <x:c r="E653" t="str">
        <x:v>RBL MASPETH LLC</x:v>
      </x:c>
      <x:c r="F653" t="str">
        <x:v>Active name match</x:v>
      </x:c>
      <x:c r="G653" t="n">
        <x:v>1</x:v>
      </x:c>
      <x:c r="H653" t="n">
        <x:v>0</x:v>
      </x:c>
      <x:c r="I653" t="str">
        <x:v>2472319</x:v>
      </x:c>
      <x:c r="J653" t="str">
        <x:v>RBL MASPETH, LLC</x:v>
      </x:c>
      <x:c r="K653" s="55" t="n">
        <x:v>36566</x:v>
      </x:c>
      <x:c r="L653" t="str">
        <x:v>Queens</x:v>
      </x:c>
      <x:c r="M653" t="str">
        <x:v>New York</x:v>
      </x:c>
      <x:c r="N653" t="str">
        <x:v>DOMESTIC LIMITED LIABILITY COMPANY</x:v>
      </x:c>
      <x:c r="O653" t="str">
        <x:v>RBL MASPETH, LLC</x:v>
      </x:c>
      <x:c r="P653" t="str">
        <x:v>57 NASSAU AVE., BROOKLYN, NY, 11222</x:v>
      </x:c>
      <x:c r="Q653" t="str"/>
      <x:c r="R653" t="str"/>
      <x:c r="S653" t="str"/>
      <x:c r="T653" t="str"/>
      <x:c r="U653" t="str"/>
      <x:c r="V653" t="str"/>
      <x:c r="W653" t="str"/>
      <x:c r="X653" t="str"/>
      <x:c r="Y653" t="str">
        <x:v>https://data.ny.gov/Economic-Development/Active-Corporations-Beginning-1800/n9v6-gdp6</x:v>
      </x:c>
    </x:row>
    <x:row r="654">
      <x:c r="A654" t="str">
        <x:v>DOS-4-089</x:v>
      </x:c>
      <x:c r="B654" t="n">
        <x:v>4</x:v>
      </x:c>
      <x:c r="C654" t="str">
        <x:v>54--08 VERNON BOULEVARD, LONG ISLAND CITY, NY, 11101, US | 54-08 VERNON BOULEVARD, LONG ISLAND CITY, NY, 11101, US</x:v>
      </x:c>
      <x:c r="D654" t="str">
        <x:v>107 10 180 LLC</x:v>
      </x:c>
      <x:c r="E654" t="str">
        <x:v>107-10 180 LLC</x:v>
      </x:c>
      <x:c r="F654" t="str">
        <x:v>Address-corroborated active match</x:v>
      </x:c>
      <x:c r="G654" t="n">
        <x:v>1</x:v>
      </x:c>
      <x:c r="H654" t="n">
        <x:v>2</x:v>
      </x:c>
      <x:c r="I654" t="str">
        <x:v>4644541</x:v>
      </x:c>
      <x:c r="J654" t="str">
        <x:v>107-10 180 LLC</x:v>
      </x:c>
      <x:c r="K654" s="55" t="n">
        <x:v>41913</x:v>
      </x:c>
      <x:c r="L654" t="str">
        <x:v>Queens</x:v>
      </x:c>
      <x:c r="M654" t="str">
        <x:v>New York</x:v>
      </x:c>
      <x:c r="N654" t="str">
        <x:v>DOMESTIC LIMITED LIABILITY COMPANY</x:v>
      </x:c>
      <x:c r="O654" t="str">
        <x:v>107-10 180 LLC</x:v>
      </x:c>
      <x:c r="P654" t="str">
        <x:v>54-08 VERNON BOULEVARD, LONG ISLAND CITY, NY, 11101</x:v>
      </x:c>
      <x:c r="Q654" t="str"/>
      <x:c r="R654" t="str"/>
      <x:c r="S654" t="str"/>
      <x:c r="T654" t="str"/>
      <x:c r="U654" t="str"/>
      <x:c r="V654" t="str"/>
      <x:c r="W654" t="str"/>
      <x:c r="X654" t="str"/>
      <x:c r="Y654" t="str">
        <x:v>https://data.ny.gov/Economic-Development/Active-Corporations-Beginning-1800/n9v6-gdp6</x:v>
      </x:c>
    </x:row>
    <x:row r="655">
      <x:c r="A655" t="str">
        <x:v>DOS-4-089</x:v>
      </x:c>
      <x:c r="B655" t="n">
        <x:v>4</x:v>
      </x:c>
      <x:c r="C655" t="str">
        <x:v>54--08 VERNON BOULEVARD, LONG ISLAND CITY, NY, 11101, US | 54-08 VERNON BOULEVARD, LONG ISLAND CITY, NY, 11101, US</x:v>
      </x:c>
      <x:c r="D655" t="str">
        <x:v>H WEST VENTURE LLC</x:v>
      </x:c>
      <x:c r="E655" t="str">
        <x:v>H WEST VENTURE LLC</x:v>
      </x:c>
      <x:c r="F655" t="str">
        <x:v>Address-corroborated active match</x:v>
      </x:c>
      <x:c r="G655" t="n">
        <x:v>1</x:v>
      </x:c>
      <x:c r="H655" t="n">
        <x:v>2</x:v>
      </x:c>
      <x:c r="I655" t="str">
        <x:v>4168930</x:v>
      </x:c>
      <x:c r="J655" t="str">
        <x:v>H WEST VENTURE, LLC</x:v>
      </x:c>
      <x:c r="K655" s="55" t="n">
        <x:v>40870</x:v>
      </x:c>
      <x:c r="L655" t="str">
        <x:v>Queens</x:v>
      </x:c>
      <x:c r="M655" t="str">
        <x:v>New York</x:v>
      </x:c>
      <x:c r="N655" t="str">
        <x:v>DOMESTIC LIMITED LIABILITY COMPANY</x:v>
      </x:c>
      <x:c r="O655" t="str">
        <x:v>H WEST VENTURE, LLC</x:v>
      </x:c>
      <x:c r="P655" t="str">
        <x:v>54-08 VERNON BOULEVARD, LONG ISLAND CITY, NY, 11101</x:v>
      </x:c>
      <x:c r="Q655" t="str"/>
      <x:c r="R655" t="str"/>
      <x:c r="S655" t="str"/>
      <x:c r="T655" t="str"/>
      <x:c r="U655" t="str"/>
      <x:c r="V655" t="str"/>
      <x:c r="W655" t="str"/>
      <x:c r="X655" t="str"/>
      <x:c r="Y655" t="str">
        <x:v>https://data.ny.gov/Economic-Development/Active-Corporations-Beginning-1800/n9v6-gdp6</x:v>
      </x:c>
    </x:row>
    <x:row r="656">
      <x:c r="A656" t="str">
        <x:v>DOS-4-089</x:v>
      </x:c>
      <x:c r="B656" t="n">
        <x:v>4</x:v>
      </x:c>
      <x:c r="C656" t="str">
        <x:v>54--08 VERNON BOULEVARD, LONG ISLAND CITY, NY, 11101, US | 54-08 VERNON BOULEVARD, LONG ISLAND CITY, NY, 11101, US</x:v>
      </x:c>
      <x:c r="D656" t="str">
        <x:v>SIBS FOUR LLC</x:v>
      </x:c>
      <x:c r="E656" t="str">
        <x:v>SIBS FOUR LLC</x:v>
      </x:c>
      <x:c r="F656" t="str">
        <x:v>Address-corroborated active match</x:v>
      </x:c>
      <x:c r="G656" t="n">
        <x:v>1</x:v>
      </x:c>
      <x:c r="H656" t="n">
        <x:v>2</x:v>
      </x:c>
      <x:c r="I656" t="str">
        <x:v>7483260</x:v>
      </x:c>
      <x:c r="J656" t="str">
        <x:v>SIBS FOUR LLC</x:v>
      </x:c>
      <x:c r="K656" s="55" t="n">
        <x:v>45636</x:v>
      </x:c>
      <x:c r="L656" t="str">
        <x:v>Queens</x:v>
      </x:c>
      <x:c r="M656" t="str">
        <x:v>New York</x:v>
      </x:c>
      <x:c r="N656" t="str">
        <x:v>DOMESTIC LIMITED LIABILITY COMPANY</x:v>
      </x:c>
      <x:c r="O656" t="str">
        <x:v>SIBS FOUR LLC</x:v>
      </x:c>
      <x:c r="P656" t="str">
        <x:v>54-08 vernon boulevard, LONG ISLAND CITY, NY, 11101</x:v>
      </x:c>
      <x:c r="Q656" t="str"/>
      <x:c r="R656" t="str"/>
      <x:c r="S656" t="str"/>
      <x:c r="T656" t="str"/>
      <x:c r="U656" t="str"/>
      <x:c r="V656" t="str"/>
      <x:c r="W656" t="str"/>
      <x:c r="X656" t="str"/>
      <x:c r="Y656" t="str">
        <x:v>https://data.ny.gov/Economic-Development/Active-Corporations-Beginning-1800/n9v6-gdp6</x:v>
      </x:c>
    </x:row>
    <x:row r="657">
      <x:c r="A657" t="str">
        <x:v>DOS-4-089</x:v>
      </x:c>
      <x:c r="B657" t="n">
        <x:v>4</x:v>
      </x:c>
      <x:c r="C657" t="str">
        <x:v>54--08 VERNON BOULEVARD, LONG ISLAND CITY, NY, 11101, US | 54-08 VERNON BOULEVARD, LONG ISLAND CITY, NY, 11101, US</x:v>
      </x:c>
      <x:c r="D657" t="str">
        <x:v>SO BRONX ASSET LLC</x:v>
      </x:c>
      <x:c r="E657" t="str">
        <x:v>SO BRONX ASSET, LLC</x:v>
      </x:c>
      <x:c r="F657" t="str">
        <x:v>Active name match</x:v>
      </x:c>
      <x:c r="G657" t="n">
        <x:v>1</x:v>
      </x:c>
      <x:c r="H657" t="n">
        <x:v>1</x:v>
      </x:c>
      <x:c r="I657" t="str">
        <x:v>5256906</x:v>
      </x:c>
      <x:c r="J657" t="str">
        <x:v>SO BRONX ASSET, LLC</x:v>
      </x:c>
      <x:c r="K657" s="55" t="n">
        <x:v>43096</x:v>
      </x:c>
      <x:c r="L657" t="str">
        <x:v>Suffolk</x:v>
      </x:c>
      <x:c r="M657" t="str">
        <x:v>New York</x:v>
      </x:c>
      <x:c r="N657" t="str">
        <x:v>DOMESTIC LIMITED LIABILITY COMPANY</x:v>
      </x:c>
      <x:c r="O657" t="str">
        <x:v>MICHAEL A. CAPASSO, PRESIDENT</x:v>
      </x:c>
      <x:c r="P657" t="str">
        <x:v>C.A.C. INDUSTRIES, INC., 54-08 VERNON BOULEVARD, LONG ISLAND CITY, NY, 11101</x:v>
      </x:c>
      <x:c r="Q657" t="str"/>
      <x:c r="R657" t="str"/>
      <x:c r="S657" t="str"/>
      <x:c r="T657" t="str"/>
      <x:c r="U657" t="str"/>
      <x:c r="V657" t="str"/>
      <x:c r="W657" t="str"/>
      <x:c r="X657" t="str"/>
      <x:c r="Y657" t="str">
        <x:v>https://data.ny.gov/Economic-Development/Active-Corporations-Beginning-1800/n9v6-gdp6</x:v>
      </x:c>
    </x:row>
    <x:row r="658">
      <x:c r="A658" t="str">
        <x:v>DOS-4-090</x:v>
      </x:c>
      <x:c r="B658" t="n">
        <x:v>4</x:v>
      </x:c>
      <x:c r="C658" t="str">
        <x:v>570 SMITH STREET, BROOKLYN, NY, 11231, US</x:v>
      </x:c>
      <x:c r="D658" t="str">
        <x:v>181 DUANE LLC</x:v>
      </x:c>
      <x:c r="E658" t="str">
        <x:v>181 DUANE LLC</x:v>
      </x:c>
      <x:c r="F658" t="str">
        <x:v>Address-corroborated active match</x:v>
      </x:c>
      <x:c r="G658" t="n">
        <x:v>1</x:v>
      </x:c>
      <x:c r="H658" t="n">
        <x:v>2</x:v>
      </x:c>
      <x:c r="I658" t="str">
        <x:v>4002238</x:v>
      </x:c>
      <x:c r="J658" t="str">
        <x:v>181 DUANE LLC</x:v>
      </x:c>
      <x:c r="K658" s="55" t="n">
        <x:v>40452</x:v>
      </x:c>
      <x:c r="L658" t="str">
        <x:v>New York</x:v>
      </x:c>
      <x:c r="M658" t="str">
        <x:v>New York</x:v>
      </x:c>
      <x:c r="N658" t="str">
        <x:v>DOMESTIC LIMITED LIABILITY COMPANY</x:v>
      </x:c>
      <x:c r="O658" t="str">
        <x:v>ROBERT PINCOW</x:v>
      </x:c>
      <x:c r="P658" t="str">
        <x:v>570 SMITH STREET, BROOKLYN, NY, 11231</x:v>
      </x:c>
      <x:c r="Q658" t="str"/>
      <x:c r="R658" t="str"/>
      <x:c r="S658" t="str"/>
      <x:c r="T658" t="str"/>
      <x:c r="U658" t="str"/>
      <x:c r="V658" t="str"/>
      <x:c r="W658" t="str"/>
      <x:c r="X658" t="str"/>
      <x:c r="Y658" t="str">
        <x:v>https://data.ny.gov/Economic-Development/Active-Corporations-Beginning-1800/n9v6-gdp6</x:v>
      </x:c>
    </x:row>
    <x:row r="659">
      <x:c r="A659" t="str">
        <x:v>DOS-4-090</x:v>
      </x:c>
      <x:c r="B659" t="n">
        <x:v>4</x:v>
      </x:c>
      <x:c r="C659" t="str">
        <x:v>570 SMITH STREET, BROOKLYN, NY, 11231, US</x:v>
      </x:c>
      <x:c r="D659" t="str">
        <x:v>38 WEST 83RD STREET REALTY LLC</x:v>
      </x:c>
      <x:c r="E659" t="str">
        <x:v>38 WEST 83RD STREET REALTY LLC</x:v>
      </x:c>
      <x:c r="F659" t="str">
        <x:v>Address-corroborated active match</x:v>
      </x:c>
      <x:c r="G659" t="n">
        <x:v>1</x:v>
      </x:c>
      <x:c r="H659" t="n">
        <x:v>2</x:v>
      </x:c>
      <x:c r="I659" t="str">
        <x:v>3869307</x:v>
      </x:c>
      <x:c r="J659" t="str">
        <x:v>38 WEST 83RD STREET REALTY LLC</x:v>
      </x:c>
      <x:c r="K659" s="55" t="n">
        <x:v>40106</x:v>
      </x:c>
      <x:c r="L659" t="str">
        <x:v>Kings</x:v>
      </x:c>
      <x:c r="M659" t="str">
        <x:v>New York</x:v>
      </x:c>
      <x:c r="N659" t="str">
        <x:v>DOMESTIC LIMITED LIABILITY COMPANY</x:v>
      </x:c>
      <x:c r="O659" t="str">
        <x:v>C/O ROBERT PINCOW</x:v>
      </x:c>
      <x:c r="P659" t="str">
        <x:v>570 SMITH STREET, BROOKLYN, NY, 11231</x:v>
      </x:c>
      <x:c r="Q659" t="str"/>
      <x:c r="R659" t="str"/>
      <x:c r="S659" t="str"/>
      <x:c r="T659" t="str"/>
      <x:c r="U659" t="str"/>
      <x:c r="V659" t="str"/>
      <x:c r="W659" t="str"/>
      <x:c r="X659" t="str"/>
      <x:c r="Y659" t="str">
        <x:v>https://data.ny.gov/Economic-Development/Active-Corporations-Beginning-1800/n9v6-gdp6</x:v>
      </x:c>
    </x:row>
    <x:row r="660">
      <x:c r="A660" t="str">
        <x:v>DOS-4-090</x:v>
      </x:c>
      <x:c r="B660" t="n">
        <x:v>4</x:v>
      </x:c>
      <x:c r="C660" t="str">
        <x:v>570 SMITH STREET, BROOKLYN, NY, 11231, US</x:v>
      </x:c>
      <x:c r="D660" t="str">
        <x:v>BAY STREET EQUITIES LLC</x:v>
      </x:c>
      <x:c r="E660" t="str">
        <x:v>BAY STREET EQUITIES LLC</x:v>
      </x:c>
      <x:c r="F660" t="str">
        <x:v>Address-corroborated active match</x:v>
      </x:c>
      <x:c r="G660" t="n">
        <x:v>1</x:v>
      </x:c>
      <x:c r="H660" t="n">
        <x:v>2</x:v>
      </x:c>
      <x:c r="I660" t="str">
        <x:v>4366946</x:v>
      </x:c>
      <x:c r="J660" t="str">
        <x:v>BAY STREET EQUITIES LLC</x:v>
      </x:c>
      <x:c r="K660" s="55" t="n">
        <x:v>41333</x:v>
      </x:c>
      <x:c r="L660" t="str">
        <x:v>Kings</x:v>
      </x:c>
      <x:c r="M660" t="str">
        <x:v>New York</x:v>
      </x:c>
      <x:c r="N660" t="str">
        <x:v>DOMESTIC LIMITED LIABILITY COMPANY</x:v>
      </x:c>
      <x:c r="O660" t="str">
        <x:v>ROBERT PINCOW</x:v>
      </x:c>
      <x:c r="P660" t="str">
        <x:v>570 SMITH STREET, BROOKLYN, NY, 11231</x:v>
      </x:c>
      <x:c r="Q660" t="str"/>
      <x:c r="R660" t="str"/>
      <x:c r="S660" t="str"/>
      <x:c r="T660" t="str"/>
      <x:c r="U660" t="str"/>
      <x:c r="V660" t="str"/>
      <x:c r="W660" t="str"/>
      <x:c r="X660" t="str"/>
      <x:c r="Y660" t="str">
        <x:v>https://data.ny.gov/Economic-Development/Active-Corporations-Beginning-1800/n9v6-gdp6</x:v>
      </x:c>
    </x:row>
    <x:row r="661">
      <x:c r="A661" t="str">
        <x:v>DOS-4-090</x:v>
      </x:c>
      <x:c r="B661" t="n">
        <x:v>4</x:v>
      </x:c>
      <x:c r="C661" t="str">
        <x:v>570 SMITH STREET, BROOKLYN, NY, 11231, US</x:v>
      </x:c>
      <x:c r="D661" t="str">
        <x:v>BHN 2955 BRIGHTON LLC</x:v>
      </x:c>
      <x:c r="E661" t="str">
        <x:v>BHN 2955 BRIGHTON LLC</x:v>
      </x:c>
      <x:c r="F661" t="str">
        <x:v>Active name match</x:v>
      </x:c>
      <x:c r="G661" t="n">
        <x:v>1</x:v>
      </x:c>
      <x:c r="H661" t="n">
        <x:v>1</x:v>
      </x:c>
      <x:c r="I661" t="str">
        <x:v>4922874</x:v>
      </x:c>
      <x:c r="J661" t="str">
        <x:v>BHN 2955 BRIGHTON LLC</x:v>
      </x:c>
      <x:c r="K661" s="55" t="n">
        <x:v>42461</x:v>
      </x:c>
      <x:c r="L661" t="str">
        <x:v>Richmond</x:v>
      </x:c>
      <x:c r="M661" t="str">
        <x:v>New York</x:v>
      </x:c>
      <x:c r="N661" t="str">
        <x:v>DOMESTIC LIMITED LIABILITY COMPANY</x:v>
      </x:c>
      <x:c r="O661" t="str">
        <x:v>BHN 2955 BRIGHTON LLC</x:v>
      </x:c>
      <x:c r="P661" t="str">
        <x:v>C/O BRIGHTON 4TH STREET LLC, 570 SMITH STREET, BROOKLYN, NY, 11231</x:v>
      </x:c>
      <x:c r="Q661" t="str"/>
      <x:c r="R661" t="str"/>
      <x:c r="S661" t="str"/>
      <x:c r="T661" t="str"/>
      <x:c r="U661" t="str"/>
      <x:c r="V661" t="str"/>
      <x:c r="W661" t="str"/>
      <x:c r="X661" t="str"/>
      <x:c r="Y661" t="str">
        <x:v>https://data.ny.gov/Economic-Development/Active-Corporations-Beginning-1800/n9v6-gdp6</x:v>
      </x:c>
    </x:row>
    <x:row r="662">
      <x:c r="A662" t="str">
        <x:v>DOS-4-091</x:v>
      </x:c>
      <x:c r="B662" t="n">
        <x:v>4</x:v>
      </x:c>
      <x:c r="C662" t="str">
        <x:v>574 MIDDLE NECK ROAD, SUITE 200, GREAT NECK, NY, 11023, US</x:v>
      </x:c>
      <x:c r="D662" t="str">
        <x:v>49 ONE HOLDINGS LLC</x:v>
      </x:c>
      <x:c r="E662" t="str">
        <x:v>49 ONE HOLDINGS LLC</x:v>
      </x:c>
      <x:c r="F662" t="str">
        <x:v>Address-corroborated active match</x:v>
      </x:c>
      <x:c r="G662" t="n">
        <x:v>1</x:v>
      </x:c>
      <x:c r="H662" t="n">
        <x:v>2</x:v>
      </x:c>
      <x:c r="I662" t="str">
        <x:v>6301040</x:v>
      </x:c>
      <x:c r="J662" t="str">
        <x:v>49 ONE HOLDINGS LLC</x:v>
      </x:c>
      <x:c r="K662" s="55" t="n">
        <x:v>44481</x:v>
      </x:c>
      <x:c r="L662" t="str">
        <x:v>Nassau</x:v>
      </x:c>
      <x:c r="M662" t="str">
        <x:v>New York</x:v>
      </x:c>
      <x:c r="N662" t="str">
        <x:v>DOMESTIC LIMITED LIABILITY COMPANY</x:v>
      </x:c>
      <x:c r="O662" t="str">
        <x:v>C/O The LLC</x:v>
      </x:c>
      <x:c r="P662" t="str">
        <x:v>574 Middle Neck Road, Suite 200, Great Neck, NY, 11023</x:v>
      </x:c>
      <x:c r="Q662" t="str"/>
      <x:c r="R662" t="str"/>
      <x:c r="S662" t="str"/>
      <x:c r="T662" t="str"/>
      <x:c r="U662" t="str"/>
      <x:c r="V662" t="str"/>
      <x:c r="W662" t="str"/>
      <x:c r="X662" t="str"/>
      <x:c r="Y662" t="str">
        <x:v>https://data.ny.gov/Economic-Development/Active-Corporations-Beginning-1800/n9v6-gdp6</x:v>
      </x:c>
    </x:row>
    <x:row r="663">
      <x:c r="A663" t="str">
        <x:v>DOS-4-091</x:v>
      </x:c>
      <x:c r="B663" t="n">
        <x:v>4</x:v>
      </x:c>
      <x:c r="C663" t="str">
        <x:v>574 MIDDLE NECK ROAD, SUITE 200, GREAT NECK, NY, 11023, US</x:v>
      </x:c>
      <x:c r="D663" t="str">
        <x:v>49 THREE HOLDINGS LLC</x:v>
      </x:c>
      <x:c r="E663" t="str">
        <x:v>49 THREE HOLDINGS LLC</x:v>
      </x:c>
      <x:c r="F663" t="str">
        <x:v>Address-corroborated active match</x:v>
      </x:c>
      <x:c r="G663" t="n">
        <x:v>1</x:v>
      </x:c>
      <x:c r="H663" t="n">
        <x:v>2</x:v>
      </x:c>
      <x:c r="I663" t="str">
        <x:v>6301052</x:v>
      </x:c>
      <x:c r="J663" t="str">
        <x:v>49 THREE HOLDINGS LLC</x:v>
      </x:c>
      <x:c r="K663" s="55" t="n">
        <x:v>44481</x:v>
      </x:c>
      <x:c r="L663" t="str">
        <x:v>Nassau</x:v>
      </x:c>
      <x:c r="M663" t="str">
        <x:v>New York</x:v>
      </x:c>
      <x:c r="N663" t="str">
        <x:v>DOMESTIC LIMITED LIABILITY COMPANY</x:v>
      </x:c>
      <x:c r="O663" t="str">
        <x:v>C/O The LLC</x:v>
      </x:c>
      <x:c r="P663" t="str">
        <x:v>574 Middle Neck Road, Suite 200, Great Neck, NY, 11023</x:v>
      </x:c>
      <x:c r="Q663" t="str"/>
      <x:c r="R663" t="str"/>
      <x:c r="S663" t="str"/>
      <x:c r="T663" t="str"/>
      <x:c r="U663" t="str"/>
      <x:c r="V663" t="str"/>
      <x:c r="W663" t="str"/>
      <x:c r="X663" t="str"/>
      <x:c r="Y663" t="str">
        <x:v>https://data.ny.gov/Economic-Development/Active-Corporations-Beginning-1800/n9v6-gdp6</x:v>
      </x:c>
    </x:row>
    <x:row r="664">
      <x:c r="A664" t="str">
        <x:v>DOS-4-091</x:v>
      </x:c>
      <x:c r="B664" t="n">
        <x:v>4</x:v>
      </x:c>
      <x:c r="C664" t="str">
        <x:v>574 MIDDLE NECK ROAD, SUITE 200, GREAT NECK, NY, 11023, US</x:v>
      </x:c>
      <x:c r="D664" t="str">
        <x:v>49 TWO HOLDINGS LLC</x:v>
      </x:c>
      <x:c r="E664" t="str">
        <x:v>49 TWO HOLDINGS LLC</x:v>
      </x:c>
      <x:c r="F664" t="str">
        <x:v>Address-corroborated active match</x:v>
      </x:c>
      <x:c r="G664" t="n">
        <x:v>1</x:v>
      </x:c>
      <x:c r="H664" t="n">
        <x:v>2</x:v>
      </x:c>
      <x:c r="I664" t="str">
        <x:v>6301047</x:v>
      </x:c>
      <x:c r="J664" t="str">
        <x:v>49 TWO HOLDINGS LLC</x:v>
      </x:c>
      <x:c r="K664" s="55" t="n">
        <x:v>44481</x:v>
      </x:c>
      <x:c r="L664" t="str">
        <x:v>Nassau</x:v>
      </x:c>
      <x:c r="M664" t="str">
        <x:v>New York</x:v>
      </x:c>
      <x:c r="N664" t="str">
        <x:v>DOMESTIC LIMITED LIABILITY COMPANY</x:v>
      </x:c>
      <x:c r="O664" t="str">
        <x:v>C/O The LLC</x:v>
      </x:c>
      <x:c r="P664" t="str">
        <x:v>574 Middle Neck Road, Suite 200, Great Neck, NY, 11023</x:v>
      </x:c>
      <x:c r="Q664" t="str"/>
      <x:c r="R664" t="str"/>
      <x:c r="S664" t="str"/>
      <x:c r="T664" t="str"/>
      <x:c r="U664" t="str"/>
      <x:c r="V664" t="str"/>
      <x:c r="W664" t="str"/>
      <x:c r="X664" t="str"/>
      <x:c r="Y664" t="str">
        <x:v>https://data.ny.gov/Economic-Development/Active-Corporations-Beginning-1800/n9v6-gdp6</x:v>
      </x:c>
    </x:row>
    <x:row r="665">
      <x:c r="A665" t="str">
        <x:v>DOS-4-091</x:v>
      </x:c>
      <x:c r="B665" t="n">
        <x:v>4</x:v>
      </x:c>
      <x:c r="C665" t="str">
        <x:v>574 MIDDLE NECK ROAD, SUITE 200, GREAT NECK, NY, 11023, US</x:v>
      </x:c>
      <x:c r="D665" t="str">
        <x:v>SOBRO THIRD LLC</x:v>
      </x:c>
      <x:c r="E665" t="str">
        <x:v>SOBRO THIRD LLC</x:v>
      </x:c>
      <x:c r="F665" t="str">
        <x:v>Active name match</x:v>
      </x:c>
      <x:c r="G665" t="n">
        <x:v>1</x:v>
      </x:c>
      <x:c r="H665" t="n">
        <x:v>0</x:v>
      </x:c>
      <x:c r="I665" t="str">
        <x:v>4885067</x:v>
      </x:c>
      <x:c r="J665" t="str">
        <x:v>SOBRO THIRD LLC</x:v>
      </x:c>
      <x:c r="K665" s="55" t="n">
        <x:v>42394</x:v>
      </x:c>
      <x:c r="L665" t="str">
        <x:v>Nassau</x:v>
      </x:c>
      <x:c r="M665" t="str">
        <x:v>New York</x:v>
      </x:c>
      <x:c r="N665" t="str">
        <x:v>DOMESTIC LIMITED LIABILITY COMPANY</x:v>
      </x:c>
      <x:c r="O665" t="str">
        <x:v>FRED OSTAD</x:v>
      </x:c>
      <x:c r="P665" t="str">
        <x:v>C/O Sobro Third LLC, 1 Dock Lane, Kings Point, NY, 11024</x:v>
      </x:c>
      <x:c r="Q665" t="str"/>
      <x:c r="R665" t="str"/>
      <x:c r="S665" t="str"/>
      <x:c r="T665" t="str">
        <x:v>NEW YORK</x:v>
      </x:c>
      <x:c r="U665" t="str"/>
      <x:c r="V665" t="str"/>
      <x:c r="W665" t="str"/>
      <x:c r="X665" t="str"/>
      <x:c r="Y665" t="str">
        <x:v>https://data.ny.gov/Economic-Development/Active-Corporations-Beginning-1800/n9v6-gdp6</x:v>
      </x:c>
    </x:row>
    <x:row r="666">
      <x:c r="A666" t="str">
        <x:v>DOS-4-092</x:v>
      </x:c>
      <x:c r="B666" t="n">
        <x:v>4</x:v>
      </x:c>
      <x:c r="C666" t="str">
        <x:v>61-12 182 STREET, FRESH MEADOWS, NY, 11365, US</x:v>
      </x:c>
      <x:c r="D666" t="str">
        <x:v>182 MANAGEMENT LLC</x:v>
      </x:c>
      <x:c r="E666" t="str">
        <x:v>182 MANAGEMENT LLC</x:v>
      </x:c>
      <x:c r="F666" t="str">
        <x:v>Active name match</x:v>
      </x:c>
      <x:c r="G666" t="n">
        <x:v>1</x:v>
      </x:c>
      <x:c r="H666" t="n">
        <x:v>1</x:v>
      </x:c>
      <x:c r="I666" t="str">
        <x:v>5840061</x:v>
      </x:c>
      <x:c r="J666" t="str">
        <x:v>182 MANAGEMENT LLC</x:v>
      </x:c>
      <x:c r="K666" s="55" t="n">
        <x:v>44095</x:v>
      </x:c>
      <x:c r="L666" t="str">
        <x:v>Queens</x:v>
      </x:c>
      <x:c r="M666" t="str">
        <x:v>New York</x:v>
      </x:c>
      <x:c r="N666" t="str">
        <x:v>DOMESTIC LIMITED LIABILITY COMPANY</x:v>
      </x:c>
      <x:c r="O666" t="str">
        <x:v>182 MANAGEMENT LLC</x:v>
      </x:c>
      <x:c r="P666" t="str">
        <x:v>61-12 182 ST 2FL, FRESH MEADOWS, NY, 11365</x:v>
      </x:c>
      <x:c r="Q666" t="str"/>
      <x:c r="R666" t="str"/>
      <x:c r="S666" t="str"/>
      <x:c r="T666" t="str"/>
      <x:c r="U666" t="str"/>
      <x:c r="V666" t="str"/>
      <x:c r="W666" t="str"/>
      <x:c r="X666" t="str"/>
      <x:c r="Y666" t="str">
        <x:v>https://data.ny.gov/Economic-Development/Active-Corporations-Beginning-1800/n9v6-gdp6</x:v>
      </x:c>
    </x:row>
    <x:row r="667">
      <x:c r="A667" t="str">
        <x:v>DOS-4-092</x:v>
      </x:c>
      <x:c r="B667" t="n">
        <x:v>4</x:v>
      </x:c>
      <x:c r="C667" t="str">
        <x:v>61-12 182 STREET, FRESH MEADOWS, NY, 11365, US</x:v>
      </x:c>
      <x:c r="D667" t="str">
        <x:v>BARCLAY CF MANAGEMENT LLC</x:v>
      </x:c>
      <x:c r="E667" t="str">
        <x:v>BARCLAY CF MANAGEMENT LLC</x:v>
      </x:c>
      <x:c r="F667" t="str">
        <x:v>Active name match</x:v>
      </x:c>
      <x:c r="G667" t="n">
        <x:v>1</x:v>
      </x:c>
      <x:c r="H667" t="n">
        <x:v>0</x:v>
      </x:c>
      <x:c r="I667" t="str">
        <x:v>7458169</x:v>
      </x:c>
      <x:c r="J667" t="str">
        <x:v>BARCLAY CF MANAGEMENT LLC</x:v>
      </x:c>
      <x:c r="K667" s="55" t="n">
        <x:v>45602</x:v>
      </x:c>
      <x:c r="L667" t="str">
        <x:v>Queens</x:v>
      </x:c>
      <x:c r="M667" t="str">
        <x:v>New York</x:v>
      </x:c>
      <x:c r="N667" t="str">
        <x:v>DOMESTIC LIMITED LIABILITY COMPANY</x:v>
      </x:c>
      <x:c r="O667" t="str">
        <x:v>BEVERAGE SERVICES OF NEW YORK L.P.</x:v>
      </x:c>
      <x:c r="P667" t="str">
        <x:v>46 WINSOR PLACE, UNIT 14, CENTRAL ISLIP, NY, 11722</x:v>
      </x:c>
      <x:c r="Q667" t="str"/>
      <x:c r="R667" t="str"/>
      <x:c r="S667" t="str"/>
      <x:c r="T667" t="str"/>
      <x:c r="U667" t="str"/>
      <x:c r="V667" t="str"/>
      <x:c r="W667" t="str"/>
      <x:c r="X667" t="str"/>
      <x:c r="Y667" t="str">
        <x:v>https://data.ny.gov/Economic-Development/Active-Corporations-Beginning-1800/n9v6-gdp6</x:v>
      </x:c>
    </x:row>
    <x:row r="668">
      <x:c r="A668" t="str">
        <x:v>DOS-4-092</x:v>
      </x:c>
      <x:c r="B668" t="n">
        <x:v>4</x:v>
      </x:c>
      <x:c r="C668" t="str">
        <x:v>61-12 182 STREET, FRESH MEADOWS, NY, 11365, US</x:v>
      </x:c>
      <x:c r="D668" t="str">
        <x:v>FLUSHING 45 MANAGEMENT LLC</x:v>
      </x:c>
      <x:c r="E668" t="str">
        <x:v>FLUSHING 45 MANAGEMENT LLC</x:v>
      </x:c>
      <x:c r="F668" t="str">
        <x:v>Address-corroborated active match</x:v>
      </x:c>
      <x:c r="G668" t="n">
        <x:v>1</x:v>
      </x:c>
      <x:c r="H668" t="n">
        <x:v>2</x:v>
      </x:c>
      <x:c r="I668" t="str">
        <x:v>7855933</x:v>
      </x:c>
      <x:c r="J668" t="str">
        <x:v>FLUSHING 45 MANAGEMENT LLC</x:v>
      </x:c>
      <x:c r="K668" s="55" t="n">
        <x:v>46092</x:v>
      </x:c>
      <x:c r="L668" t="str">
        <x:v>Queens</x:v>
      </x:c>
      <x:c r="M668" t="str">
        <x:v>New York</x:v>
      </x:c>
      <x:c r="N668" t="str">
        <x:v>DOMESTIC LIMITED LIABILITY COMPANY</x:v>
      </x:c>
      <x:c r="O668" t="str">
        <x:v>FLUSHING 45 MANAGEMENT LLC</x:v>
      </x:c>
      <x:c r="P668" t="str">
        <x:v>61-12 182 STREET, FRESH MEADOWS, NY, 11365</x:v>
      </x:c>
      <x:c r="Q668" t="str"/>
      <x:c r="R668" t="str"/>
      <x:c r="S668" t="str"/>
      <x:c r="T668" t="str"/>
      <x:c r="U668" t="str"/>
      <x:c r="V668" t="str"/>
      <x:c r="W668" t="str"/>
      <x:c r="X668" t="str"/>
      <x:c r="Y668" t="str">
        <x:v>https://data.ny.gov/Economic-Development/Active-Corporations-Beginning-1800/n9v6-gdp6</x:v>
      </x:c>
    </x:row>
    <x:row r="669">
      <x:c r="A669" t="str">
        <x:v>DOS-4-092</x:v>
      </x:c>
      <x:c r="B669" t="n">
        <x:v>4</x:v>
      </x:c>
      <x:c r="C669" t="str">
        <x:v>61-12 182 STREET, FRESH MEADOWS, NY, 11365, US</x:v>
      </x:c>
      <x:c r="D669" t="str">
        <x:v>MC15 MANAGEMENT LLC</x:v>
      </x:c>
      <x:c r="E669" t="str">
        <x:v>MC15 MANAGEMENT LLC</x:v>
      </x:c>
      <x:c r="F669" t="str">
        <x:v>Active name match</x:v>
      </x:c>
      <x:c r="G669" t="n">
        <x:v>1</x:v>
      </x:c>
      <x:c r="H669" t="n">
        <x:v>0</x:v>
      </x:c>
      <x:c r="I669" t="str">
        <x:v>7483739</x:v>
      </x:c>
      <x:c r="J669" t="str">
        <x:v>MC15 MANAGEMENT LLC</x:v>
      </x:c>
      <x:c r="K669" s="55" t="n">
        <x:v>45637</x:v>
      </x:c>
      <x:c r="L669" t="str">
        <x:v>Queens</x:v>
      </x:c>
      <x:c r="M669" t="str">
        <x:v>New York</x:v>
      </x:c>
      <x:c r="N669" t="str">
        <x:v>DOMESTIC LIMITED LIABILITY COMPANY</x:v>
      </x:c>
      <x:c r="O669" t="str">
        <x:v>BEVERAGE SERVICES OF NEW YORK L.P.</x:v>
      </x:c>
      <x:c r="P669" t="str">
        <x:v>46 WINSOR PLACE, UNIT 14, CENTRAL ISLIP, NY, 11722</x:v>
      </x:c>
      <x:c r="Q669" t="str"/>
      <x:c r="R669" t="str"/>
      <x:c r="S669" t="str"/>
      <x:c r="T669" t="str"/>
      <x:c r="U669" t="str"/>
      <x:c r="V669" t="str"/>
      <x:c r="W669" t="str"/>
      <x:c r="X669" t="str"/>
      <x:c r="Y669" t="str">
        <x:v>https://data.ny.gov/Economic-Development/Active-Corporations-Beginning-1800/n9v6-gdp6</x:v>
      </x:c>
    </x:row>
    <x:row r="670">
      <x:c r="A670" t="str">
        <x:v>DOS-4-093</x:v>
      </x:c>
      <x:c r="B670" t="n">
        <x:v>4</x:v>
      </x:c>
      <x:c r="C670" t="str">
        <x:v>70-23  HARROW STREET, FOREST HILLS, NY, 11375, US | 70-23 HARROW STREET, FOREST HILLS, NY, 11375, US</x:v>
      </x:c>
      <x:c r="D670" t="str">
        <x:v>AUSTIN REALTY HOLDING LLC</x:v>
      </x:c>
      <x:c r="E670" t="str">
        <x:v>AUSTIN REALTY HOLDING, LLC</x:v>
      </x:c>
      <x:c r="F670" t="str">
        <x:v>Active name match</x:v>
      </x:c>
      <x:c r="G670" t="n">
        <x:v>1</x:v>
      </x:c>
      <x:c r="H670" t="n">
        <x:v>0</x:v>
      </x:c>
      <x:c r="I670" t="str">
        <x:v>2990217</x:v>
      </x:c>
      <x:c r="J670" t="str">
        <x:v>AUSTIN REALTY HOLDING, LLC</x:v>
      </x:c>
      <x:c r="K670" s="55" t="n">
        <x:v>37973</x:v>
      </x:c>
      <x:c r="L670" t="str">
        <x:v>New York</x:v>
      </x:c>
      <x:c r="M670" t="str">
        <x:v>New York</x:v>
      </x:c>
      <x:c r="N670" t="str">
        <x:v>DOMESTIC LIMITED LIABILITY COMPANY</x:v>
      </x:c>
      <x:c r="O670" t="str">
        <x:v>AUSTIN REALTY HOLDING, LLC</x:v>
      </x:c>
      <x:c r="P670" t="str">
        <x:v>2 MOTT STREET, STE. 303, NEW YORK, NY, 10013</x:v>
      </x:c>
      <x:c r="Q670" t="str"/>
      <x:c r="R670" t="str"/>
      <x:c r="S670" t="str"/>
      <x:c r="T670" t="str"/>
      <x:c r="U670" t="str"/>
      <x:c r="V670" t="str"/>
      <x:c r="W670" t="str"/>
      <x:c r="X670" t="str"/>
      <x:c r="Y670" t="str">
        <x:v>https://data.ny.gov/Economic-Development/Active-Corporations-Beginning-1800/n9v6-gdp6</x:v>
      </x:c>
    </x:row>
    <x:row r="671">
      <x:c r="A671" t="str">
        <x:v>DOS-4-093</x:v>
      </x:c>
      <x:c r="B671" t="n">
        <x:v>4</x:v>
      </x:c>
      <x:c r="C671" t="str">
        <x:v>70-23  HARROW STREET, FOREST HILLS, NY, 11375, US | 70-23 HARROW STREET, FOREST HILLS, NY, 11375, US</x:v>
      </x:c>
      <x:c r="D671" t="str">
        <x:v>CLFT LLC</x:v>
      </x:c>
      <x:c r="E671" t="str">
        <x:v>CLFT LLC</x:v>
      </x:c>
      <x:c r="F671" t="str">
        <x:v>Address-corroborated active match</x:v>
      </x:c>
      <x:c r="G671" t="n">
        <x:v>1</x:v>
      </x:c>
      <x:c r="H671" t="n">
        <x:v>2</x:v>
      </x:c>
      <x:c r="I671" t="str">
        <x:v>4382838</x:v>
      </x:c>
      <x:c r="J671" t="str">
        <x:v>CLFT LLC</x:v>
      </x:c>
      <x:c r="K671" s="55" t="n">
        <x:v>41367</x:v>
      </x:c>
      <x:c r="L671" t="str">
        <x:v>Queens</x:v>
      </x:c>
      <x:c r="M671" t="str">
        <x:v>New York</x:v>
      </x:c>
      <x:c r="N671" t="str">
        <x:v>DOMESTIC LIMITED LIABILITY COMPANY</x:v>
      </x:c>
      <x:c r="O671" t="str">
        <x:v>CLFT LLC</x:v>
      </x:c>
      <x:c r="P671" t="str">
        <x:v>70-23 HARROW STREET, FOREST HILLS, NY, 11375</x:v>
      </x:c>
      <x:c r="Q671" t="str"/>
      <x:c r="R671" t="str"/>
      <x:c r="S671" t="str"/>
      <x:c r="T671" t="str"/>
      <x:c r="U671" t="str"/>
      <x:c r="V671" t="str"/>
      <x:c r="W671" t="str"/>
      <x:c r="X671" t="str"/>
      <x:c r="Y671" t="str">
        <x:v>https://data.ny.gov/Economic-Development/Active-Corporations-Beginning-1800/n9v6-gdp6</x:v>
      </x:c>
    </x:row>
    <x:row r="672">
      <x:c r="A672" t="str">
        <x:v>DOS-4-093</x:v>
      </x:c>
      <x:c r="B672" t="n">
        <x:v>4</x:v>
      </x:c>
      <x:c r="C672" t="str">
        <x:v>70-23  HARROW STREET, FOREST HILLS, NY, 11375, US | 70-23 HARROW STREET, FOREST HILLS, NY, 11375, US</x:v>
      </x:c>
      <x:c r="D672" t="str">
        <x:v>ESSEX GROUP LLC</x:v>
      </x:c>
      <x:c r="E672" t="str">
        <x:v>ESSEX GROUP LLC</x:v>
      </x:c>
      <x:c r="F672" t="str">
        <x:v>Address-corroborated active match</x:v>
      </x:c>
      <x:c r="G672" t="n">
        <x:v>1</x:v>
      </x:c>
      <x:c r="H672" t="n">
        <x:v>2</x:v>
      </x:c>
      <x:c r="I672" t="str">
        <x:v>2745741</x:v>
      </x:c>
      <x:c r="J672" t="str">
        <x:v>ESSEX GROUP LLC</x:v>
      </x:c>
      <x:c r="K672" s="55" t="n">
        <x:v>37336</x:v>
      </x:c>
      <x:c r="L672" t="str">
        <x:v>New York</x:v>
      </x:c>
      <x:c r="M672" t="str">
        <x:v>New York</x:v>
      </x:c>
      <x:c r="N672" t="str">
        <x:v>DOMESTIC LIMITED LIABILITY COMPANY</x:v>
      </x:c>
      <x:c r="O672" t="str">
        <x:v>ESSEX GROUP LLC</x:v>
      </x:c>
      <x:c r="P672" t="str">
        <x:v>70-23 HARROW ST, FOREST HILLS, NY, 11375</x:v>
      </x:c>
      <x:c r="Q672" t="str"/>
      <x:c r="R672" t="str"/>
      <x:c r="S672" t="str"/>
      <x:c r="T672" t="str"/>
      <x:c r="U672" t="str"/>
      <x:c r="V672" t="str"/>
      <x:c r="W672" t="str"/>
      <x:c r="X672" t="str"/>
      <x:c r="Y672" t="str">
        <x:v>https://data.ny.gov/Economic-Development/Active-Corporations-Beginning-1800/n9v6-gdp6</x:v>
      </x:c>
    </x:row>
    <x:row r="673">
      <x:c r="A673" t="str">
        <x:v>DOS-4-093</x:v>
      </x:c>
      <x:c r="B673" t="n">
        <x:v>4</x:v>
      </x:c>
      <x:c r="C673" t="str">
        <x:v>70-23  HARROW STREET, FOREST HILLS, NY, 11375, US | 70-23 HARROW STREET, FOREST HILLS, NY, 11375, US</x:v>
      </x:c>
      <x:c r="D673" t="str">
        <x:v>RED STONE EQUITIES LLC</x:v>
      </x:c>
      <x:c r="E673" t="str">
        <x:v>RED STONE EQUITIES LLC</x:v>
      </x:c>
      <x:c r="F673" t="str">
        <x:v>Active name match</x:v>
      </x:c>
      <x:c r="G673" t="n">
        <x:v>1</x:v>
      </x:c>
      <x:c r="H673" t="n">
        <x:v>0</x:v>
      </x:c>
      <x:c r="I673" t="str">
        <x:v>5210579</x:v>
      </x:c>
      <x:c r="J673" t="str">
        <x:v>RED STONE EQUITIES, LLC</x:v>
      </x:c>
      <x:c r="K673" s="55" t="n">
        <x:v>43007</x:v>
      </x:c>
      <x:c r="L673" t="str">
        <x:v>Queens</x:v>
      </x:c>
      <x:c r="M673" t="str">
        <x:v>New York</x:v>
      </x:c>
      <x:c r="N673" t="str">
        <x:v>DOMESTIC LIMITED LIABILITY COMPANY</x:v>
      </x:c>
      <x:c r="O673" t="str">
        <x:v>RED STONE EQUITIES, LLC</x:v>
      </x:c>
      <x:c r="P673" t="str">
        <x:v>8 Holiday Pond Road, Jericho, NY, 11753</x:v>
      </x:c>
      <x:c r="Q673" t="str"/>
      <x:c r="R673" t="str"/>
      <x:c r="S673" t="str"/>
      <x:c r="T673" t="str"/>
      <x:c r="U673" t="str"/>
      <x:c r="V673" t="str"/>
      <x:c r="W673" t="str"/>
      <x:c r="X673" t="str"/>
      <x:c r="Y673" t="str">
        <x:v>https://data.ny.gov/Economic-Development/Active-Corporations-Beginning-1800/n9v6-gdp6</x:v>
      </x:c>
    </x:row>
    <x:row r="674">
      <x:c r="A674" t="str">
        <x:v>DOS-4-094</x:v>
      </x:c>
      <x:c r="B674" t="n">
        <x:v>4</x:v>
      </x:c>
      <x:c r="C674" t="str">
        <x:v>7722 FIFTH AVENUE, BROOKLYN, NY, 11209, US</x:v>
      </x:c>
      <x:c r="D674" t="str">
        <x:v>17 HART LLC</x:v>
      </x:c>
      <x:c r="E674" t="str">
        <x:v>17 HART LLC</x:v>
      </x:c>
      <x:c r="F674" t="str">
        <x:v>Address-corroborated active match</x:v>
      </x:c>
      <x:c r="G674" t="n">
        <x:v>1</x:v>
      </x:c>
      <x:c r="H674" t="n">
        <x:v>2</x:v>
      </x:c>
      <x:c r="I674" t="str">
        <x:v>3236347</x:v>
      </x:c>
      <x:c r="J674" t="str">
        <x:v>17 HART LLC</x:v>
      </x:c>
      <x:c r="K674" s="55" t="n">
        <x:v>38561</x:v>
      </x:c>
      <x:c r="L674" t="str">
        <x:v>Kings</x:v>
      </x:c>
      <x:c r="M674" t="str">
        <x:v>New York</x:v>
      </x:c>
      <x:c r="N674" t="str">
        <x:v>DOMESTIC LIMITED LIABILITY COMPANY</x:v>
      </x:c>
      <x:c r="O674" t="str">
        <x:v>CHRIS VARVERIS &amp; STEPHAN GIANOPLUS</x:v>
      </x:c>
      <x:c r="P674" t="str">
        <x:v>7722 FIFTH AVENUE, BROOKLYN, NY, 11209</x:v>
      </x:c>
      <x:c r="Q674" t="str"/>
      <x:c r="R674" t="str"/>
      <x:c r="S674" t="str"/>
      <x:c r="T674" t="str"/>
      <x:c r="U674" t="str"/>
      <x:c r="V674" t="str"/>
      <x:c r="W674" t="str"/>
      <x:c r="X674" t="str"/>
      <x:c r="Y674" t="str">
        <x:v>https://data.ny.gov/Economic-Development/Active-Corporations-Beginning-1800/n9v6-gdp6</x:v>
      </x:c>
    </x:row>
    <x:row r="675">
      <x:c r="A675" t="str">
        <x:v>DOS-4-094</x:v>
      </x:c>
      <x:c r="B675" t="n">
        <x:v>4</x:v>
      </x:c>
      <x:c r="C675" t="str">
        <x:v>7722 FIFTH AVENUE, BROOKLYN, NY, 11209, US</x:v>
      </x:c>
      <x:c r="D675" t="str">
        <x:v>522 WEST LLC</x:v>
      </x:c>
      <x:c r="E675" t="str">
        <x:v>522 WEST LLC</x:v>
      </x:c>
      <x:c r="F675" t="str">
        <x:v>Active name match</x:v>
      </x:c>
      <x:c r="G675" t="n">
        <x:v>1</x:v>
      </x:c>
      <x:c r="H675" t="n">
        <x:v>1</x:v>
      </x:c>
      <x:c r="I675" t="str">
        <x:v>3417951</x:v>
      </x:c>
      <x:c r="J675" t="str">
        <x:v>522 WEST LLC</x:v>
      </x:c>
      <x:c r="K675" s="55" t="n">
        <x:v>38987</x:v>
      </x:c>
      <x:c r="L675" t="str">
        <x:v>Kings</x:v>
      </x:c>
      <x:c r="M675" t="str">
        <x:v>New York</x:v>
      </x:c>
      <x:c r="N675" t="str">
        <x:v>DOMESTIC LIMITED LIABILITY COMPANY</x:v>
      </x:c>
      <x:c r="O675" t="str">
        <x:v>522 WEST LLC</x:v>
      </x:c>
      <x:c r="P675" t="str">
        <x:v>7703 FIFTH AVENUE, BROOKLYN, NY, 11209</x:v>
      </x:c>
      <x:c r="Q675" t="str"/>
      <x:c r="R675" t="str"/>
      <x:c r="S675" t="str"/>
      <x:c r="T675" t="str"/>
      <x:c r="U675" t="str"/>
      <x:c r="V675" t="str"/>
      <x:c r="W675" t="str"/>
      <x:c r="X675" t="str"/>
      <x:c r="Y675" t="str">
        <x:v>https://data.ny.gov/Economic-Development/Active-Corporations-Beginning-1800/n9v6-gdp6</x:v>
      </x:c>
    </x:row>
    <x:row r="676">
      <x:c r="A676" t="str">
        <x:v>DOS-4-094</x:v>
      </x:c>
      <x:c r="B676" t="n">
        <x:v>4</x:v>
      </x:c>
      <x:c r="C676" t="str">
        <x:v>7722 FIFTH AVENUE, BROOKLYN, NY, 11209, US</x:v>
      </x:c>
      <x:c r="D676" t="str">
        <x:v>MANNY CORNER LLC</x:v>
      </x:c>
      <x:c r="E676" t="str">
        <x:v>MANNY CORNER LLC</x:v>
      </x:c>
      <x:c r="F676" t="str">
        <x:v>Active name match</x:v>
      </x:c>
      <x:c r="G676" t="n">
        <x:v>1</x:v>
      </x:c>
      <x:c r="H676" t="n">
        <x:v>1</x:v>
      </x:c>
      <x:c r="I676" t="str">
        <x:v>6298638</x:v>
      </x:c>
      <x:c r="J676" t="str">
        <x:v>MANNY CORNER LLC</x:v>
      </x:c>
      <x:c r="K676" s="55" t="n">
        <x:v>44476</x:v>
      </x:c>
      <x:c r="L676" t="str">
        <x:v>Kings</x:v>
      </x:c>
      <x:c r="M676" t="str">
        <x:v>New York</x:v>
      </x:c>
      <x:c r="N676" t="str">
        <x:v>DOMESTIC LIMITED LIABILITY COMPANY</x:v>
      </x:c>
      <x:c r="O676" t="str">
        <x:v>THE LIMITED LIABILITY COMPANY</x:v>
      </x:c>
      <x:c r="P676" t="str">
        <x:v>c/o 7722 5th Avenue, Brooklyn, NY, 11209</x:v>
      </x:c>
      <x:c r="Q676" t="str"/>
      <x:c r="R676" t="str"/>
      <x:c r="S676" t="str"/>
      <x:c r="T676" t="str"/>
      <x:c r="U676" t="str"/>
      <x:c r="V676" t="str"/>
      <x:c r="W676" t="str"/>
      <x:c r="X676" t="str"/>
      <x:c r="Y676" t="str">
        <x:v>https://data.ny.gov/Economic-Development/Active-Corporations-Beginning-1800/n9v6-gdp6</x:v>
      </x:c>
    </x:row>
    <x:row r="677">
      <x:c r="A677" t="str">
        <x:v>DOS-4-094</x:v>
      </x:c>
      <x:c r="B677" t="n">
        <x:v>4</x:v>
      </x:c>
      <x:c r="C677" t="str">
        <x:v>7722 FIFTH AVENUE, BROOKLYN, NY, 11209, US</x:v>
      </x:c>
      <x:c r="D677" t="str">
        <x:v>TWO LIBERTY CHURCH LLC</x:v>
      </x:c>
      <x:c r="E677" t="str">
        <x:v>TWO LIBERTY CHURCH LLC</x:v>
      </x:c>
      <x:c r="F677" t="str">
        <x:v>Active name match</x:v>
      </x:c>
      <x:c r="G677" t="n">
        <x:v>1</x:v>
      </x:c>
      <x:c r="H677" t="n">
        <x:v>0</x:v>
      </x:c>
      <x:c r="I677" t="str">
        <x:v>2977047</x:v>
      </x:c>
      <x:c r="J677" t="str">
        <x:v>TWO LIBERTY CHURCH LLC</x:v>
      </x:c>
      <x:c r="K677" s="55" t="n">
        <x:v>37938</x:v>
      </x:c>
      <x:c r="L677" t="str">
        <x:v>Kings</x:v>
      </x:c>
      <x:c r="M677" t="str">
        <x:v>New York</x:v>
      </x:c>
      <x:c r="N677" t="str">
        <x:v>DOMESTIC LIMITED LIABILITY COMPANY</x:v>
      </x:c>
      <x:c r="O677" t="str">
        <x:v>HRISTOS TZOUTZOULIS</x:v>
      </x:c>
      <x:c r="P677" t="str">
        <x:v>462 VILLA AVE, STATEN ISLAND, NY, 10302</x:v>
      </x:c>
      <x:c r="Q677" t="str"/>
      <x:c r="R677" t="str"/>
      <x:c r="S677" t="str"/>
      <x:c r="T677" t="str"/>
      <x:c r="U677" t="str"/>
      <x:c r="V677" t="str"/>
      <x:c r="W677" t="str"/>
      <x:c r="X677" t="str"/>
      <x:c r="Y677" t="str">
        <x:v>https://data.ny.gov/Economic-Development/Active-Corporations-Beginning-1800/n9v6-gdp6</x:v>
      </x:c>
    </x:row>
    <x:row r="678">
      <x:c r="A678" t="str">
        <x:v>DOS-4-095</x:v>
      </x:c>
      <x:c r="B678" t="n">
        <x:v>4</x:v>
      </x:c>
      <x:c r="C678" t="str">
        <x:v>805 THIRD AVENUE, 7TH FLOOR, NEW YORK, NY, 10022, US</x:v>
      </x:c>
      <x:c r="D678" t="str">
        <x:v>717 SUBSIDIARY LLC</x:v>
      </x:c>
      <x:c r="E678" t="str">
        <x:v>717 SUBSIDIARY LLC</x:v>
      </x:c>
      <x:c r="F678" t="str">
        <x:v>Active name match</x:v>
      </x:c>
      <x:c r="G678" t="n">
        <x:v>1</x:v>
      </x:c>
      <x:c r="H678" t="n">
        <x:v>0</x:v>
      </x:c>
      <x:c r="I678" t="str">
        <x:v>4961115</x:v>
      </x:c>
      <x:c r="J678" t="str">
        <x:v>717 SUBSIDIARY LLC</x:v>
      </x:c>
      <x:c r="K678" s="55" t="n">
        <x:v>42531</x:v>
      </x:c>
      <x:c r="L678" t="str">
        <x:v>New York</x:v>
      </x:c>
      <x:c r="M678" t="str">
        <x:v>Delaware</x:v>
      </x:c>
      <x:c r="N678" t="str">
        <x:v>FOREIGN LIMITED LIABILITY COMPANY</x:v>
      </x:c>
      <x:c r="O678" t="str">
        <x:v>C/O ACHS MANAGEMENT CORP.</x:v>
      </x:c>
      <x:c r="P678" t="str">
        <x:v>1412 BROADWAY, 3RD FLOOR, NEW YORK, NY, 10018</x:v>
      </x:c>
      <x:c r="Q678" t="str"/>
      <x:c r="R678" t="str"/>
      <x:c r="S678" t="str"/>
      <x:c r="T678" t="str"/>
      <x:c r="U678" t="str"/>
      <x:c r="V678" t="str"/>
      <x:c r="W678" t="str"/>
      <x:c r="X678" t="str"/>
      <x:c r="Y678" t="str">
        <x:v>https://data.ny.gov/Economic-Development/Active-Corporations-Beginning-1800/n9v6-gdp6</x:v>
      </x:c>
    </x:row>
    <x:row r="679">
      <x:c r="A679" t="str">
        <x:v>DOS-4-095</x:v>
      </x:c>
      <x:c r="B679" t="n">
        <x:v>4</x:v>
      </x:c>
      <x:c r="C679" t="str">
        <x:v>805 THIRD AVENUE, 7TH FLOOR, NEW YORK, NY, 10022, US</x:v>
      </x:c>
      <x:c r="D679" t="str">
        <x:v>CLINTON PB HODLINGS I LLC</x:v>
      </x:c>
      <x:c r="E679" t="str">
        <x:v>CLINTON PB HODLINGS I LLC</x:v>
      </x:c>
      <x:c r="F679" t="str">
        <x:v>No active DOS match</x:v>
      </x:c>
      <x:c r="G679" t="n">
        <x:v>0</x:v>
      </x:c>
      <x:c r="H679" t="n">
        <x:v>0</x:v>
      </x:c>
      <x:c r="I679" t="str"/>
      <x:c r="J679" t="str"/>
      <x:c r="K679" s="55" t="str"/>
      <x:c r="L679" t="str"/>
      <x:c r="M679" t="str"/>
      <x:c r="N679" t="str"/>
      <x:c r="O679" t="str"/>
      <x:c r="P679" t="str"/>
      <x:c r="Q679" t="str"/>
      <x:c r="R679" t="str"/>
      <x:c r="S679" t="str"/>
      <x:c r="T679" t="str"/>
      <x:c r="U679" t="str"/>
      <x:c r="V679" t="str"/>
      <x:c r="W679" t="str"/>
      <x:c r="X679" t="str"/>
      <x:c r="Y679" t="str">
        <x:v>https://data.ny.gov/Economic-Development/Active-Corporations-Beginning-1800/n9v6-gdp6</x:v>
      </x:c>
    </x:row>
    <x:row r="680">
      <x:c r="A680" t="str">
        <x:v>DOS-4-095</x:v>
      </x:c>
      <x:c r="B680" t="n">
        <x:v>4</x:v>
      </x:c>
      <x:c r="C680" t="str">
        <x:v>805 THIRD AVENUE, 7TH FLOOR, NEW YORK, NY, 10022, US</x:v>
      </x:c>
      <x:c r="D680" t="str">
        <x:v>CLINTON PB HOLDINGS I LLC</x:v>
      </x:c>
      <x:c r="E680" t="str">
        <x:v>CLINTON PB HOLDINGS I LLC</x:v>
      </x:c>
      <x:c r="F680" t="str">
        <x:v>Active name match</x:v>
      </x:c>
      <x:c r="G680" t="n">
        <x:v>1</x:v>
      </x:c>
      <x:c r="H680" t="n">
        <x:v>0</x:v>
      </x:c>
      <x:c r="I680" t="str">
        <x:v>6469038</x:v>
      </x:c>
      <x:c r="J680" t="str">
        <x:v>CLINTON PB HOLDINGS I LLC</x:v>
      </x:c>
      <x:c r="K680" s="55" t="n">
        <x:v>44678</x:v>
      </x:c>
      <x:c r="L680" t="str">
        <x:v>New York</x:v>
      </x:c>
      <x:c r="M680" t="str">
        <x:v>Delaware</x:v>
      </x:c>
      <x:c r="N680" t="str">
        <x:v>FOREIGN LIMITED LIABILITY COMPANY</x:v>
      </x:c>
      <x:c r="O680" t="str">
        <x:v>C T CORPORATION SYSTEM</x:v>
      </x:c>
      <x:c r="P680" t="str">
        <x:v>28 LIBERTY STREET, NEW YORK, NY, 10005</x:v>
      </x:c>
      <x:c r="Q680" t="str"/>
      <x:c r="R680" t="str"/>
      <x:c r="S680" t="str">
        <x:v>C T CORPORATION SYSTEM</x:v>
      </x:c>
      <x:c r="T680" t="str">
        <x:v>28 LIBERTY STREET, NEW YORK, NEW YORK, 10005</x:v>
      </x:c>
      <x:c r="U680" t="str"/>
      <x:c r="V680" t="str"/>
      <x:c r="W680" t="str"/>
      <x:c r="X680" t="str"/>
      <x:c r="Y680" t="str">
        <x:v>https://data.ny.gov/Economic-Development/Active-Corporations-Beginning-1800/n9v6-gdp6</x:v>
      </x:c>
    </x:row>
    <x:row r="681">
      <x:c r="A681" t="str">
        <x:v>DOS-4-095</x:v>
      </x:c>
      <x:c r="B681" t="n">
        <x:v>4</x:v>
      </x:c>
      <x:c r="C681" t="str">
        <x:v>805 THIRD AVENUE, 7TH FLOOR, NEW YORK, NY, 10022, US</x:v>
      </x:c>
      <x:c r="D681" t="str">
        <x:v>EXTELL ORION HOLDINGS LLC</x:v>
      </x:c>
      <x:c r="E681" t="str">
        <x:v>EXTELL ORION HOLDINGS LLC</x:v>
      </x:c>
      <x:c r="F681" t="str">
        <x:v>Active name match</x:v>
      </x:c>
      <x:c r="G681" t="n">
        <x:v>1</x:v>
      </x:c>
      <x:c r="H681" t="n">
        <x:v>0</x:v>
      </x:c>
      <x:c r="I681" t="str">
        <x:v>3439594</x:v>
      </x:c>
      <x:c r="J681" t="str">
        <x:v>EXTELL ORION HOLDINGS LLC</x:v>
      </x:c>
      <x:c r="K681" s="55" t="n">
        <x:v>39038</x:v>
      </x:c>
      <x:c r="L681" t="str">
        <x:v>New York</x:v>
      </x:c>
      <x:c r="M681" t="str">
        <x:v>Delaware</x:v>
      </x:c>
      <x:c r="N681" t="str">
        <x:v>FOREIGN LIMITED LIABILITY COMPANY</x:v>
      </x:c>
      <x:c r="O681" t="str">
        <x:v>C T CORPORATION SYSTEM</x:v>
      </x:c>
      <x:c r="P681" t="str">
        <x:v>28 LIBERTY ST., NEW YORK, NY, 10005</x:v>
      </x:c>
      <x:c r="Q681" t="str"/>
      <x:c r="R681" t="str"/>
      <x:c r="S681" t="str"/>
      <x:c r="T681" t="str"/>
      <x:c r="U681" t="str"/>
      <x:c r="V681" t="str"/>
      <x:c r="W681" t="str"/>
      <x:c r="X681" t="str"/>
      <x:c r="Y681" t="str">
        <x:v>https://data.ny.gov/Economic-Development/Active-Corporations-Beginning-1800/n9v6-gdp6</x:v>
      </x:c>
    </x:row>
    <x:row r="682">
      <x:c r="A682" t="str">
        <x:v>DOS-4-096</x:v>
      </x:c>
      <x:c r="B682" t="n">
        <x:v>4</x:v>
      </x:c>
      <x:c r="C682" t="str">
        <x:v>87-07 JAMAICA AVENUE, WOODHAVEN, NY, 11421, US</x:v>
      </x:c>
      <x:c r="D682" t="str">
        <x:v>EMERALD LOFTS LLC</x:v>
      </x:c>
      <x:c r="E682" t="str">
        <x:v>EMERALD LOFTS, LLC</x:v>
      </x:c>
      <x:c r="F682" t="str">
        <x:v>Address-corroborated active match</x:v>
      </x:c>
      <x:c r="G682" t="n">
        <x:v>1</x:v>
      </x:c>
      <x:c r="H682" t="n">
        <x:v>2</x:v>
      </x:c>
      <x:c r="I682" t="str">
        <x:v>5282351</x:v>
      </x:c>
      <x:c r="J682" t="str">
        <x:v>EMERALD LOFTS LLC</x:v>
      </x:c>
      <x:c r="K682" s="55" t="n">
        <x:v>43138</x:v>
      </x:c>
      <x:c r="L682" t="str">
        <x:v>Kings</x:v>
      </x:c>
      <x:c r="M682" t="str">
        <x:v>New York</x:v>
      </x:c>
      <x:c r="N682" t="str">
        <x:v>DOMESTIC LIMITED LIABILITY COMPANY</x:v>
      </x:c>
      <x:c r="O682" t="str">
        <x:v>KISSOON PERSAUD</x:v>
      </x:c>
      <x:c r="P682" t="str">
        <x:v>87-07 JAMAICA AVENUE, WOODHAVEN, NY, 11421</x:v>
      </x:c>
      <x:c r="Q682" t="str"/>
      <x:c r="R682" t="str"/>
      <x:c r="S682" t="str"/>
      <x:c r="T682" t="str"/>
      <x:c r="U682" t="str"/>
      <x:c r="V682" t="str"/>
      <x:c r="W682" t="str"/>
      <x:c r="X682" t="str"/>
      <x:c r="Y682" t="str">
        <x:v>https://data.ny.gov/Economic-Development/Active-Corporations-Beginning-1800/n9v6-gdp6</x:v>
      </x:c>
    </x:row>
    <x:row r="683">
      <x:c r="A683" t="str">
        <x:v>DOS-4-096</x:v>
      </x:c>
      <x:c r="B683" t="n">
        <x:v>4</x:v>
      </x:c>
      <x:c r="C683" t="str">
        <x:v>87-07 JAMAICA AVENUE, WOODHAVEN, NY, 11421, US</x:v>
      </x:c>
      <x:c r="D683" t="str">
        <x:v>RAY S PLAZA LLC</x:v>
      </x:c>
      <x:c r="E683" t="str">
        <x:v>RAY'S PLAZA, LLC.</x:v>
      </x:c>
      <x:c r="F683" t="str">
        <x:v>Address-corroborated active match</x:v>
      </x:c>
      <x:c r="G683" t="n">
        <x:v>1</x:v>
      </x:c>
      <x:c r="H683" t="n">
        <x:v>2</x:v>
      </x:c>
      <x:c r="I683" t="str">
        <x:v>3488419</x:v>
      </x:c>
      <x:c r="J683" t="str">
        <x:v>RAY'S PLAZA LLC</x:v>
      </x:c>
      <x:c r="K683" s="55" t="n">
        <x:v>39154</x:v>
      </x:c>
      <x:c r="L683" t="str">
        <x:v>Queens</x:v>
      </x:c>
      <x:c r="M683" t="str">
        <x:v>New York</x:v>
      </x:c>
      <x:c r="N683" t="str">
        <x:v>DOMESTIC LIMITED LIABILITY COMPANY</x:v>
      </x:c>
      <x:c r="O683" t="str">
        <x:v>RAY'S PLAZA LLC</x:v>
      </x:c>
      <x:c r="P683" t="str">
        <x:v>87-07 JAMAICA AVENUE, WOOD HAVEN, NY, 11421</x:v>
      </x:c>
      <x:c r="Q683" t="str"/>
      <x:c r="R683" t="str"/>
      <x:c r="S683" t="str"/>
      <x:c r="T683" t="str"/>
      <x:c r="U683" t="str"/>
      <x:c r="V683" t="str"/>
      <x:c r="W683" t="str"/>
      <x:c r="X683" t="str"/>
      <x:c r="Y683" t="str">
        <x:v>https://data.ny.gov/Economic-Development/Active-Corporations-Beginning-1800/n9v6-gdp6</x:v>
      </x:c>
    </x:row>
    <x:row r="684">
      <x:c r="A684" t="str">
        <x:v>DOS-4-096</x:v>
      </x:c>
      <x:c r="B684" t="n">
        <x:v>4</x:v>
      </x:c>
      <x:c r="C684" t="str">
        <x:v>87-07 JAMAICA AVENUE, WOODHAVEN, NY, 11421, US</x:v>
      </x:c>
      <x:c r="D684" t="str">
        <x:v>RAYS PLAZA LLC</x:v>
      </x:c>
      <x:c r="E684" t="str">
        <x:v>RAYS PLAZA, LLC</x:v>
      </x:c>
      <x:c r="F684" t="str">
        <x:v>No active DOS match</x:v>
      </x:c>
      <x:c r="G684" t="n">
        <x:v>0</x:v>
      </x:c>
      <x:c r="H684" t="n">
        <x:v>0</x:v>
      </x:c>
      <x:c r="I684" t="str"/>
      <x:c r="J684" t="str"/>
      <x:c r="K684" s="55" t="str"/>
      <x:c r="L684" t="str"/>
      <x:c r="M684" t="str"/>
      <x:c r="N684" t="str"/>
      <x:c r="O684" t="str"/>
      <x:c r="P684" t="str"/>
      <x:c r="Q684" t="str"/>
      <x:c r="R684" t="str"/>
      <x:c r="S684" t="str"/>
      <x:c r="T684" t="str"/>
      <x:c r="U684" t="str"/>
      <x:c r="V684" t="str"/>
      <x:c r="W684" t="str"/>
      <x:c r="X684" t="str"/>
      <x:c r="Y684" t="str">
        <x:v>https://data.ny.gov/Economic-Development/Active-Corporations-Beginning-1800/n9v6-gdp6</x:v>
      </x:c>
    </x:row>
    <x:row r="685">
      <x:c r="A685" t="str">
        <x:v>DOS-4-096</x:v>
      </x:c>
      <x:c r="B685" t="n">
        <x:v>4</x:v>
      </x:c>
      <x:c r="C685" t="str">
        <x:v>87-07 JAMAICA AVENUE, WOODHAVEN, NY, 11421, US</x:v>
      </x:c>
      <x:c r="D685" t="str">
        <x:v>STARR TOWERS LLC</x:v>
      </x:c>
      <x:c r="E685" t="str">
        <x:v>STARR TOWERS LLC</x:v>
      </x:c>
      <x:c r="F685" t="str">
        <x:v>Address-corroborated active match</x:v>
      </x:c>
      <x:c r="G685" t="n">
        <x:v>1</x:v>
      </x:c>
      <x:c r="H685" t="n">
        <x:v>2</x:v>
      </x:c>
      <x:c r="I685" t="str">
        <x:v>3627103</x:v>
      </x:c>
      <x:c r="J685" t="str">
        <x:v>STARR TOWERS, LLC</x:v>
      </x:c>
      <x:c r="K685" s="55" t="n">
        <x:v>39483</x:v>
      </x:c>
      <x:c r="L685" t="str">
        <x:v>Queens</x:v>
      </x:c>
      <x:c r="M685" t="str">
        <x:v>New York</x:v>
      </x:c>
      <x:c r="N685" t="str">
        <x:v>DOMESTIC LIMITED LIABILITY COMPANY</x:v>
      </x:c>
      <x:c r="O685" t="str">
        <x:v>STARR TOWERS, LLC</x:v>
      </x:c>
      <x:c r="P685" t="str">
        <x:v>87-07 JAMAICA AVE, WOOD HAVEN, NY, 11421</x:v>
      </x:c>
      <x:c r="Q685" t="str"/>
      <x:c r="R685" t="str"/>
      <x:c r="S685" t="str"/>
      <x:c r="T685" t="str"/>
      <x:c r="U685" t="str"/>
      <x:c r="V685" t="str"/>
      <x:c r="W685" t="str"/>
      <x:c r="X685" t="str"/>
      <x:c r="Y685" t="str">
        <x:v>https://data.ny.gov/Economic-Development/Active-Corporations-Beginning-1800/n9v6-gdp6</x:v>
      </x:c>
    </x:row>
    <x:row r="686">
      <x:c r="A686" t="str">
        <x:v>DOS-4-097</x:v>
      </x:c>
      <x:c r="B686" t="n">
        <x:v>4</x:v>
      </x:c>
      <x:c r="C686" t="str">
        <x:v>100-111 BAKER COURT, ISLAND PARK, NY, 11558, US</x:v>
      </x:c>
      <x:c r="D686" t="str">
        <x:v>24DN PIERS LLC</x:v>
      </x:c>
      <x:c r="E686" t="str">
        <x:v>24DN PIERS LLC</x:v>
      </x:c>
      <x:c r="F686" t="str">
        <x:v>Active name match</x:v>
      </x:c>
      <x:c r="G686" t="n">
        <x:v>1</x:v>
      </x:c>
      <x:c r="H686" t="n">
        <x:v>1</x:v>
      </x:c>
      <x:c r="I686" t="str">
        <x:v>5244769</x:v>
      </x:c>
      <x:c r="J686" t="str">
        <x:v>24DN PIERS LLC</x:v>
      </x:c>
      <x:c r="K686" s="55" t="n">
        <x:v>43073</x:v>
      </x:c>
      <x:c r="L686" t="str">
        <x:v>Nassau</x:v>
      </x:c>
      <x:c r="M686" t="str">
        <x:v>New York</x:v>
      </x:c>
      <x:c r="N686" t="str">
        <x:v>DOMESTIC LIMITED LIABILITY COMPANY</x:v>
      </x:c>
      <x:c r="O686" t="str">
        <x:v>SUE CHEUNG</x:v>
      </x:c>
      <x:c r="P686" t="str">
        <x:v>100 BAKER COURT, UNIT 119, ISLAND PARK, NY, 11558</x:v>
      </x:c>
      <x:c r="Q686" t="str"/>
      <x:c r="R686" t="str"/>
      <x:c r="S686" t="str"/>
      <x:c r="T686" t="str"/>
      <x:c r="U686" t="str"/>
      <x:c r="V686" t="str"/>
      <x:c r="W686" t="str"/>
      <x:c r="X686" t="str"/>
      <x:c r="Y686" t="str">
        <x:v>https://data.ny.gov/Economic-Development/Active-Corporations-Beginning-1800/n9v6-gdp6</x:v>
      </x:c>
    </x:row>
    <x:row r="687">
      <x:c r="A687" t="str">
        <x:v>DOS-4-097</x:v>
      </x:c>
      <x:c r="B687" t="n">
        <x:v>4</x:v>
      </x:c>
      <x:c r="C687" t="str">
        <x:v>100-111 BAKER COURT, ISLAND PARK, NY, 11558, US</x:v>
      </x:c>
      <x:c r="D687" t="str">
        <x:v>3BC JACKSON LLC</x:v>
      </x:c>
      <x:c r="E687" t="str">
        <x:v>3BC JACKSON LLC</x:v>
      </x:c>
      <x:c r="F687" t="str">
        <x:v>Active name match</x:v>
      </x:c>
      <x:c r="G687" t="n">
        <x:v>1</x:v>
      </x:c>
      <x:c r="H687" t="n">
        <x:v>1</x:v>
      </x:c>
      <x:c r="I687" t="str">
        <x:v>5244780</x:v>
      </x:c>
      <x:c r="J687" t="str">
        <x:v>3BC JACKSON LLC</x:v>
      </x:c>
      <x:c r="K687" s="55" t="n">
        <x:v>43073</x:v>
      </x:c>
      <x:c r="L687" t="str">
        <x:v>Nassau</x:v>
      </x:c>
      <x:c r="M687" t="str">
        <x:v>New York</x:v>
      </x:c>
      <x:c r="N687" t="str">
        <x:v>DOMESTIC LIMITED LIABILITY COMPANY</x:v>
      </x:c>
      <x:c r="O687" t="str">
        <x:v>SUE CHEUNG</x:v>
      </x:c>
      <x:c r="P687" t="str">
        <x:v>100 BAKER COURT, UNIT 119, ISLAND PARK, NY, 11558</x:v>
      </x:c>
      <x:c r="Q687" t="str"/>
      <x:c r="R687" t="str"/>
      <x:c r="S687" t="str"/>
      <x:c r="T687" t="str"/>
      <x:c r="U687" t="str"/>
      <x:c r="V687" t="str"/>
      <x:c r="W687" t="str"/>
      <x:c r="X687" t="str"/>
      <x:c r="Y687" t="str">
        <x:v>https://data.ny.gov/Economic-Development/Active-Corporations-Beginning-1800/n9v6-gdp6</x:v>
      </x:c>
    </x:row>
    <x:row r="688">
      <x:c r="A688" t="str">
        <x:v>DOS-4-097</x:v>
      </x:c>
      <x:c r="B688" t="n">
        <x:v>4</x:v>
      </x:c>
      <x:c r="C688" t="str">
        <x:v>100-111 BAKER COURT, ISLAND PARK, NY, 11558, US</x:v>
      </x:c>
      <x:c r="D688" t="str">
        <x:v>409 VIEW LLC</x:v>
      </x:c>
      <x:c r="E688" t="str">
        <x:v>409 VIEW LLC</x:v>
      </x:c>
      <x:c r="F688" t="str">
        <x:v>Active name match</x:v>
      </x:c>
      <x:c r="G688" t="n">
        <x:v>1</x:v>
      </x:c>
      <x:c r="H688" t="n">
        <x:v>1</x:v>
      </x:c>
      <x:c r="I688" t="str">
        <x:v>5244753</x:v>
      </x:c>
      <x:c r="J688" t="str">
        <x:v>409 VIEW LLC</x:v>
      </x:c>
      <x:c r="K688" s="55" t="n">
        <x:v>43073</x:v>
      </x:c>
      <x:c r="L688" t="str">
        <x:v>Nassau</x:v>
      </x:c>
      <x:c r="M688" t="str">
        <x:v>New York</x:v>
      </x:c>
      <x:c r="N688" t="str">
        <x:v>DOMESTIC LIMITED LIABILITY COMPANY</x:v>
      </x:c>
      <x:c r="O688" t="str">
        <x:v>SUE CHEUNG</x:v>
      </x:c>
      <x:c r="P688" t="str">
        <x:v>100 BAKER COURT, UNIT 119, ISLAND PARK, NY, 11558</x:v>
      </x:c>
      <x:c r="Q688" t="str"/>
      <x:c r="R688" t="str"/>
      <x:c r="S688" t="str"/>
      <x:c r="T688" t="str"/>
      <x:c r="U688" t="str"/>
      <x:c r="V688" t="str"/>
      <x:c r="W688" t="str"/>
      <x:c r="X688" t="str"/>
      <x:c r="Y688" t="str">
        <x:v>https://data.ny.gov/Economic-Development/Active-Corporations-Beginning-1800/n9v6-gdp6</x:v>
      </x:c>
    </x:row>
    <x:row r="689">
      <x:c r="A689" t="str">
        <x:v>DOS-4-097</x:v>
      </x:c>
      <x:c r="B689" t="n">
        <x:v>4</x:v>
      </x:c>
      <x:c r="C689" t="str">
        <x:v>100-111 BAKER COURT, ISLAND PARK, NY, 11558, US</x:v>
      </x:c>
      <x:c r="D689" t="str">
        <x:v>6D INDUSTRY LLC</x:v>
      </x:c>
      <x:c r="E689" t="str">
        <x:v>6D INDUSTRY LLC</x:v>
      </x:c>
      <x:c r="F689" t="str">
        <x:v>Active name match</x:v>
      </x:c>
      <x:c r="G689" t="n">
        <x:v>1</x:v>
      </x:c>
      <x:c r="H689" t="n">
        <x:v>1</x:v>
      </x:c>
      <x:c r="I689" t="str">
        <x:v>5244760</x:v>
      </x:c>
      <x:c r="J689" t="str">
        <x:v>6D INDUSTRY LLC</x:v>
      </x:c>
      <x:c r="K689" s="55" t="n">
        <x:v>43073</x:v>
      </x:c>
      <x:c r="L689" t="str">
        <x:v>Nassau</x:v>
      </x:c>
      <x:c r="M689" t="str">
        <x:v>New York</x:v>
      </x:c>
      <x:c r="N689" t="str">
        <x:v>DOMESTIC LIMITED LIABILITY COMPANY</x:v>
      </x:c>
      <x:c r="O689" t="str">
        <x:v>SUE CHEUNG</x:v>
      </x:c>
      <x:c r="P689" t="str">
        <x:v>100 BAKER COURT, UNIT 119, ISLAND PARK, NY, 11558</x:v>
      </x:c>
      <x:c r="Q689" t="str"/>
      <x:c r="R689" t="str"/>
      <x:c r="S689" t="str"/>
      <x:c r="T689" t="str"/>
      <x:c r="U689" t="str"/>
      <x:c r="V689" t="str"/>
      <x:c r="W689" t="str"/>
      <x:c r="X689" t="str"/>
      <x:c r="Y689" t="str">
        <x:v>https://data.ny.gov/Economic-Development/Active-Corporations-Beginning-1800/n9v6-gdp6</x:v>
      </x:c>
    </x:row>
    <x:row r="690">
      <x:c r="A690" t="str">
        <x:v>DOS-4-098</x:v>
      </x:c>
      <x:c r="B690" t="n">
        <x:v>4</x:v>
      </x:c>
      <x:c r="C690" t="str">
        <x:v>100 JERICHO QUADRANGLE, SUITE 220, JERICHO, NY, 11753, US</x:v>
      </x:c>
      <x:c r="D690" t="str">
        <x:v>36 FROST STREET LLC</x:v>
      </x:c>
      <x:c r="E690" t="str">
        <x:v>36 FROST STREET LLC</x:v>
      </x:c>
      <x:c r="F690" t="str">
        <x:v>Address-corroborated active match</x:v>
      </x:c>
      <x:c r="G690" t="n">
        <x:v>1</x:v>
      </x:c>
      <x:c r="H690" t="n">
        <x:v>2</x:v>
      </x:c>
      <x:c r="I690" t="str">
        <x:v>7527814</x:v>
      </x:c>
      <x:c r="J690" t="str">
        <x:v>36 FROST STREET LLC</x:v>
      </x:c>
      <x:c r="K690" s="55" t="n">
        <x:v>45694</x:v>
      </x:c>
      <x:c r="L690" t="str">
        <x:v>Nassau</x:v>
      </x:c>
      <x:c r="M690" t="str">
        <x:v>New York</x:v>
      </x:c>
      <x:c r="N690" t="str">
        <x:v>DOMESTIC LIMITED LIABILITY COMPANY</x:v>
      </x:c>
      <x:c r="O690" t="str">
        <x:v>36 FROST STREET LLC</x:v>
      </x:c>
      <x:c r="P690" t="str">
        <x:v>100 jericho quadrangle suite 220, JERICHO, NY, 11753</x:v>
      </x:c>
      <x:c r="Q690" t="str"/>
      <x:c r="R690" t="str"/>
      <x:c r="S690" t="str"/>
      <x:c r="T690" t="str"/>
      <x:c r="U690" t="str"/>
      <x:c r="V690" t="str"/>
      <x:c r="W690" t="str"/>
      <x:c r="X690" t="str"/>
      <x:c r="Y690" t="str">
        <x:v>https://data.ny.gov/Economic-Development/Active-Corporations-Beginning-1800/n9v6-gdp6</x:v>
      </x:c>
    </x:row>
    <x:row r="691">
      <x:c r="A691" t="str">
        <x:v>DOS-4-098</x:v>
      </x:c>
      <x:c r="B691" t="n">
        <x:v>4</x:v>
      </x:c>
      <x:c r="C691" t="str">
        <x:v>100 JERICHO QUADRANGLE, SUITE 220, JERICHO, NY, 11753, US</x:v>
      </x:c>
      <x:c r="D691" t="str">
        <x:v>404 MANHATTAN AVE LLC</x:v>
      </x:c>
      <x:c r="E691" t="str">
        <x:v>404 MANHATTAN AVE LLC</x:v>
      </x:c>
      <x:c r="F691" t="str">
        <x:v>Address-corroborated active match</x:v>
      </x:c>
      <x:c r="G691" t="n">
        <x:v>1</x:v>
      </x:c>
      <x:c r="H691" t="n">
        <x:v>2</x:v>
      </x:c>
      <x:c r="I691" t="str">
        <x:v>7173407</x:v>
      </x:c>
      <x:c r="J691" t="str">
        <x:v>404 MANHATTAN AVE LLC</x:v>
      </x:c>
      <x:c r="K691" s="55" t="n">
        <x:v>45231</x:v>
      </x:c>
      <x:c r="L691" t="str">
        <x:v>Kings</x:v>
      </x:c>
      <x:c r="M691" t="str">
        <x:v>New York</x:v>
      </x:c>
      <x:c r="N691" t="str">
        <x:v>DOMESTIC LIMITED LIABILITY COMPANY</x:v>
      </x:c>
      <x:c r="O691" t="str">
        <x:v>404 MANHATTAN AVE LLC</x:v>
      </x:c>
      <x:c r="P691" t="str">
        <x:v>100 jericho quadrangle, suite 220, JERICHO, NY, 11753</x:v>
      </x:c>
      <x:c r="Q691" t="str"/>
      <x:c r="R691" t="str"/>
      <x:c r="S691" t="str"/>
      <x:c r="T691" t="str"/>
      <x:c r="U691" t="str"/>
      <x:c r="V691" t="str"/>
      <x:c r="W691" t="str"/>
      <x:c r="X691" t="str"/>
      <x:c r="Y691" t="str">
        <x:v>https://data.ny.gov/Economic-Development/Active-Corporations-Beginning-1800/n9v6-gdp6</x:v>
      </x:c>
    </x:row>
    <x:row r="692">
      <x:c r="A692" t="str">
        <x:v>DOS-4-098</x:v>
      </x:c>
      <x:c r="B692" t="n">
        <x:v>4</x:v>
      </x:c>
      <x:c r="C692" t="str">
        <x:v>100 JERICHO QUADRANGLE, SUITE 220, JERICHO, NY, 11753, US</x:v>
      </x:c>
      <x:c r="D692" t="str">
        <x:v>45 GARNET STREET UNITS LLC</x:v>
      </x:c>
      <x:c r="E692" t="str">
        <x:v>45 GARNET STREET UNITS LLC</x:v>
      </x:c>
      <x:c r="F692" t="str">
        <x:v>Address-corroborated active match</x:v>
      </x:c>
      <x:c r="G692" t="n">
        <x:v>1</x:v>
      </x:c>
      <x:c r="H692" t="n">
        <x:v>2</x:v>
      </x:c>
      <x:c r="I692" t="str">
        <x:v>6801719</x:v>
      </x:c>
      <x:c r="J692" t="str">
        <x:v>45 GARNET STREET UNITS LLC</x:v>
      </x:c>
      <x:c r="K692" s="55" t="n">
        <x:v>45034</x:v>
      </x:c>
      <x:c r="L692" t="str">
        <x:v>Nassau</x:v>
      </x:c>
      <x:c r="M692" t="str">
        <x:v>New York</x:v>
      </x:c>
      <x:c r="N692" t="str">
        <x:v>DOMESTIC LIMITED LIABILITY COMPANY</x:v>
      </x:c>
      <x:c r="O692" t="str">
        <x:v>45 GARNET STREET UNITS LLC</x:v>
      </x:c>
      <x:c r="P692" t="str">
        <x:v>100 jericho quadrangle, suite 220, JERICHO, NY, 11753</x:v>
      </x:c>
      <x:c r="Q692" t="str"/>
      <x:c r="R692" t="str"/>
      <x:c r="S692" t="str"/>
      <x:c r="T692" t="str"/>
      <x:c r="U692" t="str"/>
      <x:c r="V692" t="str"/>
      <x:c r="W692" t="str"/>
      <x:c r="X692" t="str"/>
      <x:c r="Y692" t="str">
        <x:v>https://data.ny.gov/Economic-Development/Active-Corporations-Beginning-1800/n9v6-gdp6</x:v>
      </x:c>
    </x:row>
    <x:row r="693">
      <x:c r="A693" t="str">
        <x:v>DOS-4-098</x:v>
      </x:c>
      <x:c r="B693" t="n">
        <x:v>4</x:v>
      </x:c>
      <x:c r="C693" t="str">
        <x:v>100 JERICHO QUADRANGLE, SUITE 220, JERICHO, NY, 11753, US</x:v>
      </x:c>
      <x:c r="D693" t="str">
        <x:v>47 DIAMOND STREET UNITS LLC</x:v>
      </x:c>
      <x:c r="E693" t="str">
        <x:v>47 DIAMOND STREET UNITS LLC</x:v>
      </x:c>
      <x:c r="F693" t="str">
        <x:v>Address-corroborated active match</x:v>
      </x:c>
      <x:c r="G693" t="n">
        <x:v>1</x:v>
      </x:c>
      <x:c r="H693" t="n">
        <x:v>2</x:v>
      </x:c>
      <x:c r="I693" t="str">
        <x:v>7241522</x:v>
      </x:c>
      <x:c r="J693" t="str">
        <x:v>47 DIAMOND STREET UNITS LLC</x:v>
      </x:c>
      <x:c r="K693" s="55" t="n">
        <x:v>45321</x:v>
      </x:c>
      <x:c r="L693" t="str">
        <x:v>Nassau</x:v>
      </x:c>
      <x:c r="M693" t="str">
        <x:v>New York</x:v>
      </x:c>
      <x:c r="N693" t="str">
        <x:v>DOMESTIC LIMITED LIABILITY COMPANY</x:v>
      </x:c>
      <x:c r="O693" t="str">
        <x:v>47 DIAMOND STREET UNITS LLC</x:v>
      </x:c>
      <x:c r="P693" t="str">
        <x:v>100 jericho quadrangle - suite 220, JERICHO, NY, 11753</x:v>
      </x:c>
      <x:c r="Q693" t="str"/>
      <x:c r="R693" t="str"/>
      <x:c r="S693" t="str"/>
      <x:c r="T693" t="str"/>
      <x:c r="U693" t="str"/>
      <x:c r="V693" t="str"/>
      <x:c r="W693" t="str"/>
      <x:c r="X693" t="str"/>
      <x:c r="Y693" t="str">
        <x:v>https://data.ny.gov/Economic-Development/Active-Corporations-Beginning-1800/n9v6-gdp6</x:v>
      </x:c>
    </x:row>
    <x:row r="694">
      <x:c r="A694" t="str">
        <x:v>DOS-4-099</x:v>
      </x:c>
      <x:c r="B694" t="n">
        <x:v>4</x:v>
      </x:c>
      <x:c r="C694" t="str">
        <x:v>100 MERRICK RD STE 400E, ROCKVILLE CENTRE, NY, 115704882, US</x:v>
      </x:c>
      <x:c r="D694" t="str">
        <x:v>1293 1296 1298 CHISHOLM PROPERTIES LLC</x:v>
      </x:c>
      <x:c r="E694" t="str">
        <x:v>1293-1296-1298 CHISHOLM PROPERTIES LLC</x:v>
      </x:c>
      <x:c r="F694" t="str">
        <x:v>Active name match</x:v>
      </x:c>
      <x:c r="G694" t="n">
        <x:v>1</x:v>
      </x:c>
      <x:c r="H694" t="n">
        <x:v>1</x:v>
      </x:c>
      <x:c r="I694" t="str">
        <x:v>5591308</x:v>
      </x:c>
      <x:c r="J694" t="str">
        <x:v>1293-1296-1298 CHISHOLM PROPERTIES LLC</x:v>
      </x:c>
      <x:c r="K694" s="55" t="n">
        <x:v>43669</x:v>
      </x:c>
      <x:c r="L694" t="str">
        <x:v>Nassau</x:v>
      </x:c>
      <x:c r="M694" t="str">
        <x:v>New York</x:v>
      </x:c>
      <x:c r="N694" t="str">
        <x:v>DOMESTIC LIMITED LIABILITY COMPANY</x:v>
      </x:c>
      <x:c r="O694" t="str">
        <x:v>1293-1296-1298 CHISHOLM PROPERTIES LLC</x:v>
      </x:c>
      <x:c r="P694" t="str">
        <x:v>100 MERRICK ROAD, SUITE 400E, ROCKVILLE CENTRE, NY, 11570</x:v>
      </x:c>
      <x:c r="Q694" t="str"/>
      <x:c r="R694" t="str"/>
      <x:c r="S694" t="str"/>
      <x:c r="T694" t="str"/>
      <x:c r="U694" t="str"/>
      <x:c r="V694" t="str"/>
      <x:c r="W694" t="str"/>
      <x:c r="X694" t="str"/>
      <x:c r="Y694" t="str">
        <x:v>https://data.ny.gov/Economic-Development/Active-Corporations-Beginning-1800/n9v6-gdp6</x:v>
      </x:c>
    </x:row>
    <x:row r="695">
      <x:c r="A695" t="str">
        <x:v>DOS-4-099</x:v>
      </x:c>
      <x:c r="B695" t="n">
        <x:v>4</x:v>
      </x:c>
      <x:c r="C695" t="str">
        <x:v>100 MERRICK RD STE 400E, ROCKVILLE CENTRE, NY, 115704882, US</x:v>
      </x:c>
      <x:c r="D695" t="str">
        <x:v>3405 BRUNER AVE LLC</x:v>
      </x:c>
      <x:c r="E695" t="str">
        <x:v>3405 BRUNER AVE LLC</x:v>
      </x:c>
      <x:c r="F695" t="str">
        <x:v>Active name match</x:v>
      </x:c>
      <x:c r="G695" t="n">
        <x:v>1</x:v>
      </x:c>
      <x:c r="H695" t="n">
        <x:v>1</x:v>
      </x:c>
      <x:c r="I695" t="str">
        <x:v>5706273</x:v>
      </x:c>
      <x:c r="J695" t="str">
        <x:v>3405 BRUNER AVE LLC</x:v>
      </x:c>
      <x:c r="K695" s="55" t="n">
        <x:v>43872</x:v>
      </x:c>
      <x:c r="L695" t="str">
        <x:v>Nassau</x:v>
      </x:c>
      <x:c r="M695" t="str">
        <x:v>New York</x:v>
      </x:c>
      <x:c r="N695" t="str">
        <x:v>DOMESTIC LIMITED LIABILITY COMPANY</x:v>
      </x:c>
      <x:c r="O695" t="str">
        <x:v>3405 BRUNER AVE LLC</x:v>
      </x:c>
      <x:c r="P695" t="str">
        <x:v>100 MERRICK ROAD, SUITE 400E, ROCKVILLE CENTER, NY, 11570</x:v>
      </x:c>
      <x:c r="Q695" t="str"/>
      <x:c r="R695" t="str"/>
      <x:c r="S695" t="str"/>
      <x:c r="T695" t="str"/>
      <x:c r="U695" t="str"/>
      <x:c r="V695" t="str"/>
      <x:c r="W695" t="str"/>
      <x:c r="X695" t="str"/>
      <x:c r="Y695" t="str">
        <x:v>https://data.ny.gov/Economic-Development/Active-Corporations-Beginning-1800/n9v6-gdp6</x:v>
      </x:c>
    </x:row>
    <x:row r="696">
      <x:c r="A696" t="str">
        <x:v>DOS-4-099</x:v>
      </x:c>
      <x:c r="B696" t="n">
        <x:v>4</x:v>
      </x:c>
      <x:c r="C696" t="str">
        <x:v>100 MERRICK RD STE 400E, ROCKVILLE CENTRE, NY, 115704882, US</x:v>
      </x:c>
      <x:c r="D696" t="str">
        <x:v>626 HOLDING LLC</x:v>
      </x:c>
      <x:c r="E696" t="str">
        <x:v>626 HOLDING LLC</x:v>
      </x:c>
      <x:c r="F696" t="str">
        <x:v>Active name match</x:v>
      </x:c>
      <x:c r="G696" t="n">
        <x:v>1</x:v>
      </x:c>
      <x:c r="H696" t="n">
        <x:v>1</x:v>
      </x:c>
      <x:c r="I696" t="str">
        <x:v>7819819</x:v>
      </x:c>
      <x:c r="J696" t="str">
        <x:v>626 HOLDING LLC</x:v>
      </x:c>
      <x:c r="K696" s="55" t="n">
        <x:v>46051</x:v>
      </x:c>
      <x:c r="L696" t="str">
        <x:v>Albany</x:v>
      </x:c>
      <x:c r="M696" t="str">
        <x:v>New York</x:v>
      </x:c>
      <x:c r="N696" t="str">
        <x:v>DOMESTIC LIMITED LIABILITY COMPANY</x:v>
      </x:c>
      <x:c r="O696" t="str">
        <x:v>YUVAL HAROSH</x:v>
      </x:c>
      <x:c r="P696" t="str">
        <x:v>100 MERRICK ROAD STE 400E, ROCKVILLE CENTRE, NY, 11570</x:v>
      </x:c>
      <x:c r="Q696" t="str"/>
      <x:c r="R696" t="str"/>
      <x:c r="S696" t="str"/>
      <x:c r="T696" t="str"/>
      <x:c r="U696" t="str"/>
      <x:c r="V696" t="str"/>
      <x:c r="W696" t="str"/>
      <x:c r="X696" t="str"/>
      <x:c r="Y696" t="str">
        <x:v>https://data.ny.gov/Economic-Development/Active-Corporations-Beginning-1800/n9v6-gdp6</x:v>
      </x:c>
    </x:row>
    <x:row r="697">
      <x:c r="A697" t="str">
        <x:v>DOS-4-099</x:v>
      </x:c>
      <x:c r="B697" t="n">
        <x:v>4</x:v>
      </x:c>
      <x:c r="C697" t="str">
        <x:v>100 MERRICK RD STE 400E, ROCKVILLE CENTRE, NY, 115704882, US</x:v>
      </x:c>
      <x:c r="D697" t="str">
        <x:v>HR RESERVOIR LLC</x:v>
      </x:c>
      <x:c r="E697" t="str">
        <x:v>HR RESERVOIR LLC</x:v>
      </x:c>
      <x:c r="F697" t="str">
        <x:v>Active name match</x:v>
      </x:c>
      <x:c r="G697" t="n">
        <x:v>1</x:v>
      </x:c>
      <x:c r="H697" t="n">
        <x:v>0</x:v>
      </x:c>
      <x:c r="I697" t="str">
        <x:v>6740135</x:v>
      </x:c>
      <x:c r="J697" t="str">
        <x:v>HR RESERVOIR LLC</x:v>
      </x:c>
      <x:c r="K697" s="55" t="n">
        <x:v>44980</x:v>
      </x:c>
      <x:c r="L697" t="str">
        <x:v>Nassau</x:v>
      </x:c>
      <x:c r="M697" t="str">
        <x:v>New York</x:v>
      </x:c>
      <x:c r="N697" t="str">
        <x:v>DOMESTIC LIMITED LIABILITY COMPANY</x:v>
      </x:c>
      <x:c r="O697" t="str">
        <x:v>REZA ARDEBILI</x:v>
      </x:c>
      <x:c r="P697" t="str">
        <x:v>PO BOX 1183, ALPINE, NJ, 07620</x:v>
      </x:c>
      <x:c r="Q697" t="str"/>
      <x:c r="R697" t="str"/>
      <x:c r="S697" t="str"/>
      <x:c r="T697" t="str"/>
      <x:c r="U697" t="str"/>
      <x:c r="V697" t="str"/>
      <x:c r="W697" t="str"/>
      <x:c r="X697" t="str"/>
      <x:c r="Y697" t="str">
        <x:v>https://data.ny.gov/Economic-Development/Active-Corporations-Beginning-1800/n9v6-gdp6</x:v>
      </x:c>
    </x:row>
    <x:row r="698">
      <x:c r="A698" t="str">
        <x:v>DOS-4-100</x:v>
      </x:c>
      <x:c r="B698" t="n">
        <x:v>4</x:v>
      </x:c>
      <x:c r="C698" t="str">
        <x:v>101 RICHARDSON STREET, BROOKLYN, NY, 11211, US</x:v>
      </x:c>
      <x:c r="D698" t="str">
        <x:v>180 COOK STREET LLC</x:v>
      </x:c>
      <x:c r="E698" t="str">
        <x:v>180 COOK STREET LLC</x:v>
      </x:c>
      <x:c r="F698" t="str">
        <x:v>Address-corroborated active match</x:v>
      </x:c>
      <x:c r="G698" t="n">
        <x:v>1</x:v>
      </x:c>
      <x:c r="H698" t="n">
        <x:v>2</x:v>
      </x:c>
      <x:c r="I698" t="str">
        <x:v>4979377</x:v>
      </x:c>
      <x:c r="J698" t="str">
        <x:v>180 COOK STREET LLC</x:v>
      </x:c>
      <x:c r="K698" s="55" t="n">
        <x:v>42570</x:v>
      </x:c>
      <x:c r="L698" t="str">
        <x:v>Kings</x:v>
      </x:c>
      <x:c r="M698" t="str">
        <x:v>New York</x:v>
      </x:c>
      <x:c r="N698" t="str">
        <x:v>DOMESTIC LIMITED LIABILITY COMPANY</x:v>
      </x:c>
      <x:c r="O698" t="str">
        <x:v>180 COOK STREET LLC</x:v>
      </x:c>
      <x:c r="P698" t="str">
        <x:v>101 RICHARDSON STREET, BROOKLYN, NY, 11211</x:v>
      </x:c>
      <x:c r="Q698" t="str"/>
      <x:c r="R698" t="str"/>
      <x:c r="S698" t="str"/>
      <x:c r="T698" t="str"/>
      <x:c r="U698" t="str"/>
      <x:c r="V698" t="str"/>
      <x:c r="W698" t="str"/>
      <x:c r="X698" t="str"/>
      <x:c r="Y698" t="str">
        <x:v>https://data.ny.gov/Economic-Development/Active-Corporations-Beginning-1800/n9v6-gdp6</x:v>
      </x:c>
    </x:row>
    <x:row r="699">
      <x:c r="A699" t="str">
        <x:v>DOS-4-100</x:v>
      </x:c>
      <x:c r="B699" t="n">
        <x:v>4</x:v>
      </x:c>
      <x:c r="C699" t="str">
        <x:v>101 RICHARDSON STREET, BROOKLYN, NY, 11211, US</x:v>
      </x:c>
      <x:c r="D699" t="str">
        <x:v>RICHARDSON STREET LLC</x:v>
      </x:c>
      <x:c r="E699" t="str">
        <x:v>RICHARDSON STREET, LLC</x:v>
      </x:c>
      <x:c r="F699" t="str">
        <x:v>Address-corroborated active match</x:v>
      </x:c>
      <x:c r="G699" t="n">
        <x:v>1</x:v>
      </x:c>
      <x:c r="H699" t="n">
        <x:v>2</x:v>
      </x:c>
      <x:c r="I699" t="str">
        <x:v>3980839</x:v>
      </x:c>
      <x:c r="J699" t="str">
        <x:v>RICHARDSON STREET, LLC</x:v>
      </x:c>
      <x:c r="K699" s="55" t="n">
        <x:v>40394</x:v>
      </x:c>
      <x:c r="L699" t="str">
        <x:v>Kings</x:v>
      </x:c>
      <x:c r="M699" t="str">
        <x:v>New York</x:v>
      </x:c>
      <x:c r="N699" t="str">
        <x:v>DOMESTIC LIMITED LIABILITY COMPANY</x:v>
      </x:c>
      <x:c r="O699" t="str">
        <x:v>RICHARDSON STREET, LLC</x:v>
      </x:c>
      <x:c r="P699" t="str">
        <x:v>101 RICHARDSON STREET, BROOKLYN, NY, 11211</x:v>
      </x:c>
      <x:c r="Q699" t="str"/>
      <x:c r="R699" t="str"/>
      <x:c r="S699" t="str"/>
      <x:c r="T699" t="str"/>
      <x:c r="U699" t="str"/>
      <x:c r="V699" t="str"/>
      <x:c r="W699" t="str"/>
      <x:c r="X699" t="str"/>
      <x:c r="Y699" t="str">
        <x:v>https://data.ny.gov/Economic-Development/Active-Corporations-Beginning-1800/n9v6-gdp6</x:v>
      </x:c>
    </x:row>
    <x:row r="700">
      <x:c r="A700" t="str">
        <x:v>DOS-4-100</x:v>
      </x:c>
      <x:c r="B700" t="n">
        <x:v>4</x:v>
      </x:c>
      <x:c r="C700" t="str">
        <x:v>101 RICHARDSON STREET, BROOKLYN, NY, 11211, US</x:v>
      </x:c>
      <x:c r="D700" t="str">
        <x:v>TEN EYCK ASSOCIATES LLC</x:v>
      </x:c>
      <x:c r="E700" t="str">
        <x:v>TEN EYCK ASSOCIATES LLC</x:v>
      </x:c>
      <x:c r="F700" t="str">
        <x:v>Address-corroborated active match</x:v>
      </x:c>
      <x:c r="G700" t="n">
        <x:v>1</x:v>
      </x:c>
      <x:c r="H700" t="n">
        <x:v>2</x:v>
      </x:c>
      <x:c r="I700" t="str">
        <x:v>5194420</x:v>
      </x:c>
      <x:c r="J700" t="str">
        <x:v>TEN EYCK ASSOCIATES LLC</x:v>
      </x:c>
      <x:c r="K700" s="55" t="n">
        <x:v>42977</x:v>
      </x:c>
      <x:c r="L700" t="str">
        <x:v>Albany</x:v>
      </x:c>
      <x:c r="M700" t="str">
        <x:v>New York</x:v>
      </x:c>
      <x:c r="N700" t="str">
        <x:v>DOMESTIC LIMITED LIABILITY COMPANY</x:v>
      </x:c>
      <x:c r="O700" t="str">
        <x:v>C/O KALMON DOLGIN AFFILIATES, INC.</x:v>
      </x:c>
      <x:c r="P700" t="str">
        <x:v>101 RICHARDSON STREET, BROOKLYN, NY, 11211</x:v>
      </x:c>
      <x:c r="Q700" t="str"/>
      <x:c r="R700" t="str"/>
      <x:c r="S700" t="str"/>
      <x:c r="T700" t="str"/>
      <x:c r="U700" t="str"/>
      <x:c r="V700" t="str"/>
      <x:c r="W700" t="str"/>
      <x:c r="X700" t="str"/>
      <x:c r="Y700" t="str">
        <x:v>https://data.ny.gov/Economic-Development/Active-Corporations-Beginning-1800/n9v6-gdp6</x:v>
      </x:c>
    </x:row>
    <x:row r="701">
      <x:c r="A701" t="str">
        <x:v>DOS-4-100</x:v>
      </x:c>
      <x:c r="B701" t="n">
        <x:v>4</x:v>
      </x:c>
      <x:c r="C701" t="str">
        <x:v>101 RICHARDSON STREET, BROOKLYN, NY, 11211, US</x:v>
      </x:c>
      <x:c r="D701" t="str">
        <x:v>WILLMINGTON PROPERTY ASSOCIATES LLC</x:v>
      </x:c>
      <x:c r="E701" t="str">
        <x:v>WILLMINGTON PROPERTY ASSOCIATES, LLC</x:v>
      </x:c>
      <x:c r="F701" t="str">
        <x:v>Address-corroborated active match</x:v>
      </x:c>
      <x:c r="G701" t="n">
        <x:v>1</x:v>
      </x:c>
      <x:c r="H701" t="n">
        <x:v>2</x:v>
      </x:c>
      <x:c r="I701" t="str">
        <x:v>1880492</x:v>
      </x:c>
      <x:c r="J701" t="str">
        <x:v>WILLMINGTON PROPERTY ASSOCIATES, LLC</x:v>
      </x:c>
      <x:c r="K701" s="55" t="n">
        <x:v>34698</x:v>
      </x:c>
      <x:c r="L701" t="str">
        <x:v>Suffolk</x:v>
      </x:c>
      <x:c r="M701" t="str">
        <x:v>New York</x:v>
      </x:c>
      <x:c r="N701" t="str">
        <x:v>DOMESTIC LIMITED LIABILITY COMPANY</x:v>
      </x:c>
      <x:c r="O701" t="str">
        <x:v>WILMINGTON PROPERTY ASSOCIATES, LLC</x:v>
      </x:c>
      <x:c r="P701" t="str">
        <x:v>101 RICHARDSON STREET, BROOKLYN, NY, 11211</x:v>
      </x:c>
      <x:c r="Q701" t="str"/>
      <x:c r="R701" t="str"/>
      <x:c r="S701" t="str"/>
      <x:c r="T701" t="str"/>
      <x:c r="U701" t="str"/>
      <x:c r="V701" t="str"/>
      <x:c r="W701" t="str"/>
      <x:c r="X701" t="str"/>
      <x:c r="Y701" t="str">
        <x:v>https://data.ny.gov/Economic-Development/Active-Corporations-Beginning-1800/n9v6-gdp6</x:v>
      </x:c>
    </x:row>
    <x:row r="702">
      <x:c r="A702" t="str">
        <x:v>DOS-5-001</x:v>
      </x:c>
      <x:c r="B702" t="n">
        <x:v>5</x:v>
      </x:c>
      <x:c r="C702" t="str">
        <x:v>PO BOX 180240, BROOKLYN, NY, 11218, US</x:v>
      </x:c>
      <x:c r="D702" t="str">
        <x:v>211 HEWES LLC</x:v>
      </x:c>
      <x:c r="E702" t="str">
        <x:v>211 HEWES LLC</x:v>
      </x:c>
      <x:c r="F702" t="str">
        <x:v>Active name match</x:v>
      </x:c>
      <x:c r="G702" t="n">
        <x:v>1</x:v>
      </x:c>
      <x:c r="H702" t="n">
        <x:v>1</x:v>
      </x:c>
      <x:c r="I702" t="str">
        <x:v>6480384</x:v>
      </x:c>
      <x:c r="J702" t="str">
        <x:v>211 HEWES LLC</x:v>
      </x:c>
      <x:c r="K702" s="55" t="n">
        <x:v>44690</x:v>
      </x:c>
      <x:c r="L702" t="str">
        <x:v>Rockland</x:v>
      </x:c>
      <x:c r="M702" t="str">
        <x:v>New York</x:v>
      </x:c>
      <x:c r="N702" t="str">
        <x:v>DOMESTIC LIMITED LIABILITY COMPANY</x:v>
      </x:c>
      <x:c r="O702" t="str">
        <x:v>211 HEWES LLC</x:v>
      </x:c>
      <x:c r="P702" t="str">
        <x:v>P.O. Box 180240, Brooklyn, NY, 11218</x:v>
      </x:c>
      <x:c r="Q702" t="str"/>
      <x:c r="R702" t="str"/>
      <x:c r="S702" t="str"/>
      <x:c r="T702" t="str"/>
      <x:c r="U702" t="str"/>
      <x:c r="V702" t="str"/>
      <x:c r="W702" t="str"/>
      <x:c r="X702" t="str"/>
      <x:c r="Y702" t="str">
        <x:v>https://data.ny.gov/Economic-Development/Active-Corporations-Beginning-1800/n9v6-gdp6</x:v>
      </x:c>
    </x:row>
    <x:row r="703">
      <x:c r="A703" t="str">
        <x:v>DOS-5-001</x:v>
      </x:c>
      <x:c r="B703" t="n">
        <x:v>5</x:v>
      </x:c>
      <x:c r="C703" t="str">
        <x:v>PO BOX 180240, BROOKLYN, NY, 11218, US</x:v>
      </x:c>
      <x:c r="D703" t="str">
        <x:v>BUDDIES 154 LLC</x:v>
      </x:c>
      <x:c r="E703" t="str">
        <x:v>BUDDIES 154 LLC</x:v>
      </x:c>
      <x:c r="F703" t="str">
        <x:v>Address-corroborated active match</x:v>
      </x:c>
      <x:c r="G703" t="n">
        <x:v>1</x:v>
      </x:c>
      <x:c r="H703" t="n">
        <x:v>2</x:v>
      </x:c>
      <x:c r="I703" t="str">
        <x:v>6494332</x:v>
      </x:c>
      <x:c r="J703" t="str">
        <x:v>BUDDIES 154 LLC</x:v>
      </x:c>
      <x:c r="K703" s="55" t="n">
        <x:v>44706</x:v>
      </x:c>
      <x:c r="L703" t="str">
        <x:v>Kings</x:v>
      </x:c>
      <x:c r="M703" t="str">
        <x:v>New York</x:v>
      </x:c>
      <x:c r="N703" t="str">
        <x:v>DOMESTIC LIMITED LIABILITY COMPANY</x:v>
      </x:c>
      <x:c r="O703" t="str">
        <x:v>BUDDIES 154 LLC</x:v>
      </x:c>
      <x:c r="P703" t="str">
        <x:v>PO BOX 180240, BROOKLYN, NY, 11218</x:v>
      </x:c>
      <x:c r="Q703" t="str"/>
      <x:c r="R703" t="str"/>
      <x:c r="S703" t="str"/>
      <x:c r="T703" t="str"/>
      <x:c r="U703" t="str"/>
      <x:c r="V703" t="str"/>
      <x:c r="W703" t="str"/>
      <x:c r="X703" t="str"/>
      <x:c r="Y703" t="str">
        <x:v>https://data.ny.gov/Economic-Development/Active-Corporations-Beginning-1800/n9v6-gdp6</x:v>
      </x:c>
    </x:row>
    <x:row r="704">
      <x:c r="A704" t="str">
        <x:v>DOS-5-001</x:v>
      </x:c>
      <x:c r="B704" t="n">
        <x:v>5</x:v>
      </x:c>
      <x:c r="C704" t="str">
        <x:v>PO BOX 180240, BROOKLYN, NY, 11218, US</x:v>
      </x:c>
      <x:c r="D704" t="str">
        <x:v>BUDDIES BRO LLC</x:v>
      </x:c>
      <x:c r="E704" t="str">
        <x:v>BUDDIES BRO LLC</x:v>
      </x:c>
      <x:c r="F704" t="str">
        <x:v>Address-corroborated active match</x:v>
      </x:c>
      <x:c r="G704" t="n">
        <x:v>1</x:v>
      </x:c>
      <x:c r="H704" t="n">
        <x:v>2</x:v>
      </x:c>
      <x:c r="I704" t="str">
        <x:v>5283405</x:v>
      </x:c>
      <x:c r="J704" t="str">
        <x:v>BUDDIES BRO LLC</x:v>
      </x:c>
      <x:c r="K704" s="55" t="n">
        <x:v>43139</x:v>
      </x:c>
      <x:c r="L704" t="str">
        <x:v>Kings</x:v>
      </x:c>
      <x:c r="M704" t="str">
        <x:v>New York</x:v>
      </x:c>
      <x:c r="N704" t="str">
        <x:v>DOMESTIC LIMITED LIABILITY COMPANY</x:v>
      </x:c>
      <x:c r="O704" t="str">
        <x:v>BUDDIES BRO LLC</x:v>
      </x:c>
      <x:c r="P704" t="str">
        <x:v>PO BOX 180240, BROOKLYN, NY, 11218</x:v>
      </x:c>
      <x:c r="Q704" t="str"/>
      <x:c r="R704" t="str"/>
      <x:c r="S704" t="str"/>
      <x:c r="T704" t="str"/>
      <x:c r="U704" t="str"/>
      <x:c r="V704" t="str"/>
      <x:c r="W704" t="str"/>
      <x:c r="X704" t="str"/>
      <x:c r="Y704" t="str">
        <x:v>https://data.ny.gov/Economic-Development/Active-Corporations-Beginning-1800/n9v6-gdp6</x:v>
      </x:c>
    </x:row>
    <x:row r="705">
      <x:c r="A705" t="str">
        <x:v>DOS-5-001</x:v>
      </x:c>
      <x:c r="B705" t="n">
        <x:v>5</x:v>
      </x:c>
      <x:c r="C705" t="str">
        <x:v>PO BOX 180240, BROOKLYN, NY, 11218, US</x:v>
      </x:c>
      <x:c r="D705" t="str">
        <x:v>CRESCENT CLUB LLC</x:v>
      </x:c>
      <x:c r="E705" t="str">
        <x:v>CRESCENT CLUB LLC</x:v>
      </x:c>
      <x:c r="F705" t="str">
        <x:v>Address-corroborated active match</x:v>
      </x:c>
      <x:c r="G705" t="n">
        <x:v>1</x:v>
      </x:c>
      <x:c r="H705" t="n">
        <x:v>2</x:v>
      </x:c>
      <x:c r="I705" t="str">
        <x:v>4813129</x:v>
      </x:c>
      <x:c r="J705" t="str">
        <x:v>CRESCENT CLUB LLC</x:v>
      </x:c>
      <x:c r="K705" s="55" t="n">
        <x:v>42247</x:v>
      </x:c>
      <x:c r="L705" t="str">
        <x:v>Kings</x:v>
      </x:c>
      <x:c r="M705" t="str">
        <x:v>New York</x:v>
      </x:c>
      <x:c r="N705" t="str">
        <x:v>DOMESTIC LIMITED LIABILITY COMPANY</x:v>
      </x:c>
      <x:c r="O705" t="str">
        <x:v>CRESCENT CLUB LLC</x:v>
      </x:c>
      <x:c r="P705" t="str">
        <x:v>PO BOX 180240, BROOKLYN, NY, 11218</x:v>
      </x:c>
      <x:c r="Q705" t="str"/>
      <x:c r="R705" t="str"/>
      <x:c r="S705" t="str"/>
      <x:c r="T705" t="str"/>
      <x:c r="U705" t="str"/>
      <x:c r="V705" t="str"/>
      <x:c r="W705" t="str"/>
      <x:c r="X705" t="str"/>
      <x:c r="Y705" t="str">
        <x:v>https://data.ny.gov/Economic-Development/Active-Corporations-Beginning-1800/n9v6-gdp6</x:v>
      </x:c>
    </x:row>
    <x:row r="706">
      <x:c r="A706" t="str">
        <x:v>DOS-5-001</x:v>
      </x:c>
      <x:c r="B706" t="n">
        <x:v>5</x:v>
      </x:c>
      <x:c r="C706" t="str">
        <x:v>PO BOX 180240, BROOKLYN, NY, 11218, US</x:v>
      </x:c>
      <x:c r="D706" t="str">
        <x:v>LEFFERTS PROPERTY LLC</x:v>
      </x:c>
      <x:c r="E706" t="str">
        <x:v>LEFFERTS PROPERTY LLC</x:v>
      </x:c>
      <x:c r="F706" t="str">
        <x:v>Active name match</x:v>
      </x:c>
      <x:c r="G706" t="n">
        <x:v>1</x:v>
      </x:c>
      <x:c r="H706" t="n">
        <x:v>1</x:v>
      </x:c>
      <x:c r="I706" t="str">
        <x:v>5101132</x:v>
      </x:c>
      <x:c r="J706" t="str">
        <x:v>LEFFERTS PROPERTY LLC</x:v>
      </x:c>
      <x:c r="K706" s="55" t="n">
        <x:v>42807</x:v>
      </x:c>
      <x:c r="L706" t="str">
        <x:v>Rockland</x:v>
      </x:c>
      <x:c r="M706" t="str">
        <x:v>New York</x:v>
      </x:c>
      <x:c r="N706" t="str">
        <x:v>DOMESTIC LIMITED LIABILITY COMPANY</x:v>
      </x:c>
      <x:c r="O706" t="str">
        <x:v>LEFFERTS PROPERTY LLC</x:v>
      </x:c>
      <x:c r="P706" t="str">
        <x:v>P.O. BOX 180240, BROOKLYN, NY, 11218</x:v>
      </x:c>
      <x:c r="Q706" t="str"/>
      <x:c r="R706" t="str"/>
      <x:c r="S706" t="str"/>
      <x:c r="T706" t="str"/>
      <x:c r="U706" t="str"/>
      <x:c r="V706" t="str"/>
      <x:c r="W706" t="str"/>
      <x:c r="X706" t="str"/>
      <x:c r="Y706" t="str">
        <x:v>https://data.ny.gov/Economic-Development/Active-Corporations-Beginning-1800/n9v6-gdp6</x:v>
      </x:c>
    </x:row>
    <x:row r="707">
      <x:c r="A707" t="str">
        <x:v>DOS-5-002</x:v>
      </x:c>
      <x:c r="B707" t="n">
        <x:v>5</x:v>
      </x:c>
      <x:c r="C707" t="str">
        <x:v>1836 GILFORD AVENUE, NEW HYDE PARK, NY, 11040, US</x:v>
      </x:c>
      <x:c r="D707" t="str">
        <x:v>21ST STREET ASTORIA REALTY LLC</x:v>
      </x:c>
      <x:c r="E707" t="str">
        <x:v>21ST STREET ASTORIA REALTY, LLC</x:v>
      </x:c>
      <x:c r="F707" t="str">
        <x:v>Address-corroborated active match</x:v>
      </x:c>
      <x:c r="G707" t="n">
        <x:v>1</x:v>
      </x:c>
      <x:c r="H707" t="n">
        <x:v>2</x:v>
      </x:c>
      <x:c r="I707" t="str">
        <x:v>4857803</x:v>
      </x:c>
      <x:c r="J707" t="str">
        <x:v>21ST STREET ASTORIA REALTY, LLC</x:v>
      </x:c>
      <x:c r="K707" s="55" t="n">
        <x:v>42340</x:v>
      </x:c>
      <x:c r="L707" t="str">
        <x:v>Nassau</x:v>
      </x:c>
      <x:c r="M707" t="str">
        <x:v>New York</x:v>
      </x:c>
      <x:c r="N707" t="str">
        <x:v>DOMESTIC LIMITED LIABILITY COMPANY</x:v>
      </x:c>
      <x:c r="O707" t="str">
        <x:v>21ST STREET ASTORIA REALTY LLC</x:v>
      </x:c>
      <x:c r="P707" t="str">
        <x:v>1836 GILFORD AVENUE, NEW HYDE PARK, NY, 11040</x:v>
      </x:c>
      <x:c r="Q707" t="str"/>
      <x:c r="R707" t="str"/>
      <x:c r="S707" t="str"/>
      <x:c r="T707" t="str"/>
      <x:c r="U707" t="str"/>
      <x:c r="V707" t="str"/>
      <x:c r="W707" t="str"/>
      <x:c r="X707" t="str"/>
      <x:c r="Y707" t="str">
        <x:v>https://data.ny.gov/Economic-Development/Active-Corporations-Beginning-1800/n9v6-gdp6</x:v>
      </x:c>
    </x:row>
    <x:row r="708">
      <x:c r="A708" t="str">
        <x:v>DOS-5-002</x:v>
      </x:c>
      <x:c r="B708" t="n">
        <x:v>5</x:v>
      </x:c>
      <x:c r="C708" t="str">
        <x:v>1836 GILFORD AVENUE, NEW HYDE PARK, NY, 11040, US</x:v>
      </x:c>
      <x:c r="D708" t="str">
        <x:v>23 25 RGB LLC</x:v>
      </x:c>
      <x:c r="E708" t="str">
        <x:v>23-25 RGB LLC</x:v>
      </x:c>
      <x:c r="F708" t="str">
        <x:v>Address-corroborated active match</x:v>
      </x:c>
      <x:c r="G708" t="n">
        <x:v>1</x:v>
      </x:c>
      <x:c r="H708" t="n">
        <x:v>2</x:v>
      </x:c>
      <x:c r="I708" t="str">
        <x:v>4988760</x:v>
      </x:c>
      <x:c r="J708" t="str">
        <x:v>23-25 RGB LLC</x:v>
      </x:c>
      <x:c r="K708" s="55" t="n">
        <x:v>42587</x:v>
      </x:c>
      <x:c r="L708" t="str">
        <x:v>Nassau</x:v>
      </x:c>
      <x:c r="M708" t="str">
        <x:v>New York</x:v>
      </x:c>
      <x:c r="N708" t="str">
        <x:v>DOMESTIC LIMITED LIABILITY COMPANY</x:v>
      </x:c>
      <x:c r="O708" t="str">
        <x:v>23-25 RGB LLC</x:v>
      </x:c>
      <x:c r="P708" t="str">
        <x:v>1836 GILFORD AVE, NEW HYDE PARK, NY, 11040</x:v>
      </x:c>
      <x:c r="Q708" t="str"/>
      <x:c r="R708" t="str"/>
      <x:c r="S708" t="str"/>
      <x:c r="T708" t="str"/>
      <x:c r="U708" t="str"/>
      <x:c r="V708" t="str"/>
      <x:c r="W708" t="str"/>
      <x:c r="X708" t="str"/>
      <x:c r="Y708" t="str">
        <x:v>https://data.ny.gov/Economic-Development/Active-Corporations-Beginning-1800/n9v6-gdp6</x:v>
      </x:c>
    </x:row>
    <x:row r="709">
      <x:c r="A709" t="str">
        <x:v>DOS-5-002</x:v>
      </x:c>
      <x:c r="B709" t="n">
        <x:v>5</x:v>
      </x:c>
      <x:c r="C709" t="str">
        <x:v>1836 GILFORD AVENUE, NEW HYDE PARK, NY, 11040, US</x:v>
      </x:c>
      <x:c r="D709" t="str">
        <x:v>23 33 31ST AVENUE LLC</x:v>
      </x:c>
      <x:c r="E709" t="str">
        <x:v>23-33 31ST AVENUE LLC</x:v>
      </x:c>
      <x:c r="F709" t="str">
        <x:v>Address-corroborated active match</x:v>
      </x:c>
      <x:c r="G709" t="n">
        <x:v>1</x:v>
      </x:c>
      <x:c r="H709" t="n">
        <x:v>2</x:v>
      </x:c>
      <x:c r="I709" t="str">
        <x:v>4988753</x:v>
      </x:c>
      <x:c r="J709" t="str">
        <x:v>23-33 31ST AVENUE LLC</x:v>
      </x:c>
      <x:c r="K709" s="55" t="n">
        <x:v>42587</x:v>
      </x:c>
      <x:c r="L709" t="str">
        <x:v>Nassau</x:v>
      </x:c>
      <x:c r="M709" t="str">
        <x:v>New York</x:v>
      </x:c>
      <x:c r="N709" t="str">
        <x:v>DOMESTIC LIMITED LIABILITY COMPANY</x:v>
      </x:c>
      <x:c r="O709" t="str">
        <x:v>23-33 31ST AVENUE LLC</x:v>
      </x:c>
      <x:c r="P709" t="str">
        <x:v>1836 GILFORD AVE, NEW HYDE PARK, NY, 11040</x:v>
      </x:c>
      <x:c r="Q709" t="str"/>
      <x:c r="R709" t="str"/>
      <x:c r="S709" t="str"/>
      <x:c r="T709" t="str"/>
      <x:c r="U709" t="str"/>
      <x:c r="V709" t="str"/>
      <x:c r="W709" t="str"/>
      <x:c r="X709" t="str"/>
      <x:c r="Y709" t="str">
        <x:v>https://data.ny.gov/Economic-Development/Active-Corporations-Beginning-1800/n9v6-gdp6</x:v>
      </x:c>
    </x:row>
    <x:row r="710">
      <x:c r="A710" t="str">
        <x:v>DOS-5-002</x:v>
      </x:c>
      <x:c r="B710" t="n">
        <x:v>5</x:v>
      </x:c>
      <x:c r="C710" t="str">
        <x:v>1836 GILFORD AVENUE, NEW HYDE PARK, NY, 11040, US</x:v>
      </x:c>
      <x:c r="D710" t="str">
        <x:v>NEWTOWN AVENUE ASSOCIATES LLC</x:v>
      </x:c>
      <x:c r="E710" t="str">
        <x:v>NEWTOWN AVENUE ASSOCIATES, LLC</x:v>
      </x:c>
      <x:c r="F710" t="str">
        <x:v>Address-corroborated active match</x:v>
      </x:c>
      <x:c r="G710" t="n">
        <x:v>1</x:v>
      </x:c>
      <x:c r="H710" t="n">
        <x:v>2</x:v>
      </x:c>
      <x:c r="I710" t="str">
        <x:v>6528426</x:v>
      </x:c>
      <x:c r="J710" t="str">
        <x:v>NEWTOWN AVENUE ASSOCIATES, LLC</x:v>
      </x:c>
      <x:c r="K710" s="55" t="n">
        <x:v>44743</x:v>
      </x:c>
      <x:c r="L710" t="str">
        <x:v>Nassau</x:v>
      </x:c>
      <x:c r="M710" t="str">
        <x:v>New York</x:v>
      </x:c>
      <x:c r="N710" t="str">
        <x:v>DOMESTIC LIMITED LIABILITY COMPANY</x:v>
      </x:c>
      <x:c r="O710" t="str">
        <x:v>NEWTOWN AVENUE ASSOCIATES, LLC</x:v>
      </x:c>
      <x:c r="P710" t="str">
        <x:v>1836 Gilford Ave, New Hyde Park, NY, 11040</x:v>
      </x:c>
      <x:c r="Q710" t="str"/>
      <x:c r="R710" t="str"/>
      <x:c r="S710" t="str"/>
      <x:c r="T710" t="str"/>
      <x:c r="U710" t="str"/>
      <x:c r="V710" t="str"/>
      <x:c r="W710" t="str"/>
      <x:c r="X710" t="str"/>
      <x:c r="Y710" t="str">
        <x:v>https://data.ny.gov/Economic-Development/Active-Corporations-Beginning-1800/n9v6-gdp6</x:v>
      </x:c>
    </x:row>
    <x:row r="711">
      <x:c r="A711" t="str">
        <x:v>DOS-5-002</x:v>
      </x:c>
      <x:c r="B711" t="n">
        <x:v>5</x:v>
      </x:c>
      <x:c r="C711" t="str">
        <x:v>1836 GILFORD AVENUE, NEW HYDE PARK, NY, 11040, US</x:v>
      </x:c>
      <x:c r="D711" t="str">
        <x:v>VERONA 31ST AVE HOLDINGS LLC</x:v>
      </x:c>
      <x:c r="E711" t="str">
        <x:v>VERONA 31ST AVE HOLDINGS LLC</x:v>
      </x:c>
      <x:c r="F711" t="str">
        <x:v>Address-corroborated active match</x:v>
      </x:c>
      <x:c r="G711" t="n">
        <x:v>1</x:v>
      </x:c>
      <x:c r="H711" t="n">
        <x:v>2</x:v>
      </x:c>
      <x:c r="I711" t="str">
        <x:v>5382066</x:v>
      </x:c>
      <x:c r="J711" t="str">
        <x:v>VERONA 31ST AVE HOLDINGS LLC</x:v>
      </x:c>
      <x:c r="K711" s="55" t="n">
        <x:v>43306</x:v>
      </x:c>
      <x:c r="L711" t="str">
        <x:v>Nassau</x:v>
      </x:c>
      <x:c r="M711" t="str">
        <x:v>New York</x:v>
      </x:c>
      <x:c r="N711" t="str">
        <x:v>DOMESTIC LIMITED LIABILITY COMPANY</x:v>
      </x:c>
      <x:c r="O711" t="str">
        <x:v>VERONA 31ST AVE HOLDINGS LLC</x:v>
      </x:c>
      <x:c r="P711" t="str">
        <x:v>1836 GILFORD AVENUE, NEW HYDE PARK, NY, 11040</x:v>
      </x:c>
      <x:c r="Q711" t="str"/>
      <x:c r="R711" t="str"/>
      <x:c r="S711" t="str"/>
      <x:c r="T711" t="str"/>
      <x:c r="U711" t="str"/>
      <x:c r="V711" t="str"/>
      <x:c r="W711" t="str"/>
      <x:c r="X711" t="str"/>
      <x:c r="Y711" t="str">
        <x:v>https://data.ny.gov/Economic-Development/Active-Corporations-Beginning-1800/n9v6-gdp6</x:v>
      </x:c>
    </x:row>
    <x:row r="712">
      <x:c r="A712" t="str">
        <x:v>DOS-5-003</x:v>
      </x:c>
      <x:c r="B712" t="n">
        <x:v>5</x:v>
      </x:c>
      <x:c r="C712" t="str">
        <x:v>199 LEE AVENUE SUITE 103, BROOKLYN, NY, 11211, US | 199 LEE AVENUE, SUITE 103, BROOKLYN, NY, 11211, US</x:v>
      </x:c>
      <x:c r="D712" t="str">
        <x:v>115 STANWIX REALTY LLC</x:v>
      </x:c>
      <x:c r="E712" t="str">
        <x:v>115 STANWIX REALTY LLC</x:v>
      </x:c>
      <x:c r="F712" t="str">
        <x:v>Active name match</x:v>
      </x:c>
      <x:c r="G712" t="n">
        <x:v>1</x:v>
      </x:c>
      <x:c r="H712" t="n">
        <x:v>1</x:v>
      </x:c>
      <x:c r="I712" t="str">
        <x:v>5079162</x:v>
      </x:c>
      <x:c r="J712" t="str">
        <x:v>115 STANWIX REALTY LLC</x:v>
      </x:c>
      <x:c r="K712" s="55" t="n">
        <x:v>42768</x:v>
      </x:c>
      <x:c r="L712" t="str">
        <x:v>Kings</x:v>
      </x:c>
      <x:c r="M712" t="str">
        <x:v>New York</x:v>
      </x:c>
      <x:c r="N712" t="str">
        <x:v>DOMESTIC LIMITED LIABILITY COMPANY</x:v>
      </x:c>
      <x:c r="O712" t="str">
        <x:v>115 STANWIX REALTY LLC</x:v>
      </x:c>
      <x:c r="P712" t="str">
        <x:v>199 LEE AVENUE, PMB 1088, BROOKLYN, NY, 11211</x:v>
      </x:c>
      <x:c r="Q712" t="str"/>
      <x:c r="R712" t="str"/>
      <x:c r="S712" t="str"/>
      <x:c r="T712" t="str"/>
      <x:c r="U712" t="str"/>
      <x:c r="V712" t="str"/>
      <x:c r="W712" t="str"/>
      <x:c r="X712" t="str"/>
      <x:c r="Y712" t="str">
        <x:v>https://data.ny.gov/Economic-Development/Active-Corporations-Beginning-1800/n9v6-gdp6</x:v>
      </x:c>
    </x:row>
    <x:row r="713">
      <x:c r="A713" t="str">
        <x:v>DOS-5-003</x:v>
      </x:c>
      <x:c r="B713" t="n">
        <x:v>5</x:v>
      </x:c>
      <x:c r="C713" t="str">
        <x:v>199 LEE AVENUE SUITE 103, BROOKLYN, NY, 11211, US | 199 LEE AVENUE, SUITE 103, BROOKLYN, NY, 11211, US</x:v>
      </x:c>
      <x:c r="D713" t="str">
        <x:v>221 SPENCER STREET HOLDINGS LLC</x:v>
      </x:c>
      <x:c r="E713" t="str">
        <x:v>221 SPENCER STREET HOLDINGS LLC</x:v>
      </x:c>
      <x:c r="F713" t="str">
        <x:v>Active name match</x:v>
      </x:c>
      <x:c r="G713" t="n">
        <x:v>1</x:v>
      </x:c>
      <x:c r="H713" t="n">
        <x:v>1</x:v>
      </x:c>
      <x:c r="I713" t="str">
        <x:v>4442114</x:v>
      </x:c>
      <x:c r="J713" t="str">
        <x:v>221 SPENCER STREET HOLDINGS LLC</x:v>
      </x:c>
      <x:c r="K713" s="55" t="n">
        <x:v>41493</x:v>
      </x:c>
      <x:c r="L713" t="str">
        <x:v>Kings</x:v>
      </x:c>
      <x:c r="M713" t="str">
        <x:v>New York</x:v>
      </x:c>
      <x:c r="N713" t="str">
        <x:v>DOMESTIC LIMITED LIABILITY COMPANY</x:v>
      </x:c>
      <x:c r="O713" t="str">
        <x:v>221 SPENCER STREET HOLDINGS LLC</x:v>
      </x:c>
      <x:c r="P713" t="str">
        <x:v>199 LEE AVENUE, PMB 103, BROOKLYN, NY, 11211</x:v>
      </x:c>
      <x:c r="Q713" t="str"/>
      <x:c r="R713" t="str"/>
      <x:c r="S713" t="str"/>
      <x:c r="T713" t="str"/>
      <x:c r="U713" t="str"/>
      <x:c r="V713" t="str"/>
      <x:c r="W713" t="str"/>
      <x:c r="X713" t="str"/>
      <x:c r="Y713" t="str">
        <x:v>https://data.ny.gov/Economic-Development/Active-Corporations-Beginning-1800/n9v6-gdp6</x:v>
      </x:c>
    </x:row>
    <x:row r="714">
      <x:c r="A714" t="str">
        <x:v>DOS-5-003</x:v>
      </x:c>
      <x:c r="B714" t="n">
        <x:v>5</x:v>
      </x:c>
      <x:c r="C714" t="str">
        <x:v>199 LEE AVENUE SUITE 103, BROOKLYN, NY, 11211, US | 199 LEE AVENUE, SUITE 103, BROOKLYN, NY, 11211, US</x:v>
      </x:c>
      <x:c r="D714" t="str">
        <x:v>239 HAWTHORNE REALTY LLC</x:v>
      </x:c>
      <x:c r="E714" t="str">
        <x:v>239 HAWTHORNE REALTY LLC</x:v>
      </x:c>
      <x:c r="F714" t="str">
        <x:v>Address-corroborated active match</x:v>
      </x:c>
      <x:c r="G714" t="n">
        <x:v>1</x:v>
      </x:c>
      <x:c r="H714" t="n">
        <x:v>2</x:v>
      </x:c>
      <x:c r="I714" t="str">
        <x:v>5038536</x:v>
      </x:c>
      <x:c r="J714" t="str">
        <x:v>239 HAWTHORNE REALTY LLC</x:v>
      </x:c>
      <x:c r="K714" s="55" t="n">
        <x:v>42689</x:v>
      </x:c>
      <x:c r="L714" t="str">
        <x:v>Kings</x:v>
      </x:c>
      <x:c r="M714" t="str">
        <x:v>New York</x:v>
      </x:c>
      <x:c r="N714" t="str">
        <x:v>DOMESTIC LIMITED LIABILITY COMPANY</x:v>
      </x:c>
      <x:c r="O714" t="str">
        <x:v>239 HAWTHORNE REALTY LLC</x:v>
      </x:c>
      <x:c r="P714" t="str">
        <x:v>199 LEE AVENUE, SUITE 103, BROOKLYN, NY, 11211</x:v>
      </x:c>
      <x:c r="Q714" t="str"/>
      <x:c r="R714" t="str"/>
      <x:c r="S714" t="str"/>
      <x:c r="T714" t="str"/>
      <x:c r="U714" t="str"/>
      <x:c r="V714" t="str"/>
      <x:c r="W714" t="str"/>
      <x:c r="X714" t="str"/>
      <x:c r="Y714" t="str">
        <x:v>https://data.ny.gov/Economic-Development/Active-Corporations-Beginning-1800/n9v6-gdp6</x:v>
      </x:c>
    </x:row>
    <x:row r="715">
      <x:c r="A715" t="str">
        <x:v>DOS-5-003</x:v>
      </x:c>
      <x:c r="B715" t="n">
        <x:v>5</x:v>
      </x:c>
      <x:c r="C715" t="str">
        <x:v>199 LEE AVENUE SUITE 103, BROOKLYN, NY, 11211, US | 199 LEE AVENUE, SUITE 103, BROOKLYN, NY, 11211, US</x:v>
      </x:c>
      <x:c r="D715" t="str">
        <x:v>900 FLUSHING AVE LLC</x:v>
      </x:c>
      <x:c r="E715" t="str">
        <x:v>900 FLUSHING AVE LLC</x:v>
      </x:c>
      <x:c r="F715" t="str">
        <x:v>Address-corroborated active match</x:v>
      </x:c>
      <x:c r="G715" t="n">
        <x:v>1</x:v>
      </x:c>
      <x:c r="H715" t="n">
        <x:v>2</x:v>
      </x:c>
      <x:c r="I715" t="str">
        <x:v>5220667</x:v>
      </x:c>
      <x:c r="J715" t="str">
        <x:v>900 FLUSHING AVE LLC</x:v>
      </x:c>
      <x:c r="K715" s="55" t="n">
        <x:v>43027</x:v>
      </x:c>
      <x:c r="L715" t="str">
        <x:v>Kings</x:v>
      </x:c>
      <x:c r="M715" t="str">
        <x:v>New York</x:v>
      </x:c>
      <x:c r="N715" t="str">
        <x:v>DOMESTIC LIMITED LIABILITY COMPANY</x:v>
      </x:c>
      <x:c r="O715" t="str">
        <x:v>900 FLUSHING AVE LLC</x:v>
      </x:c>
      <x:c r="P715" t="str">
        <x:v>199 LEE AVENUE SUITE 103, BROOKLYN, NY, 11211</x:v>
      </x:c>
      <x:c r="Q715" t="str"/>
      <x:c r="R715" t="str"/>
      <x:c r="S715" t="str"/>
      <x:c r="T715" t="str"/>
      <x:c r="U715" t="str"/>
      <x:c r="V715" t="str"/>
      <x:c r="W715" t="str"/>
      <x:c r="X715" t="str"/>
      <x:c r="Y715" t="str">
        <x:v>https://data.ny.gov/Economic-Development/Active-Corporations-Beginning-1800/n9v6-gdp6</x:v>
      </x:c>
    </x:row>
    <x:row r="716">
      <x:c r="A716" t="str">
        <x:v>DOS-5-003</x:v>
      </x:c>
      <x:c r="B716" t="n">
        <x:v>5</x:v>
      </x:c>
      <x:c r="C716" t="str">
        <x:v>199 LEE AVENUE SUITE 103, BROOKLYN, NY, 11211, US | 199 LEE AVENUE, SUITE 103, BROOKLYN, NY, 11211, US</x:v>
      </x:c>
      <x:c r="D716" t="str">
        <x:v>CHESS REALTY LIC LLC</x:v>
      </x:c>
      <x:c r="E716" t="str">
        <x:v>CHESS REALTY LIC LLC</x:v>
      </x:c>
      <x:c r="F716" t="str">
        <x:v>Active name match</x:v>
      </x:c>
      <x:c r="G716" t="n">
        <x:v>1</x:v>
      </x:c>
      <x:c r="H716" t="n">
        <x:v>1</x:v>
      </x:c>
      <x:c r="I716" t="str">
        <x:v>4176943</x:v>
      </x:c>
      <x:c r="J716" t="str">
        <x:v>CHESS REALTY LIC LLC</x:v>
      </x:c>
      <x:c r="K716" s="55" t="n">
        <x:v>40892</x:v>
      </x:c>
      <x:c r="L716" t="str">
        <x:v>Kings</x:v>
      </x:c>
      <x:c r="M716" t="str">
        <x:v>New York</x:v>
      </x:c>
      <x:c r="N716" t="str">
        <x:v>DOMESTIC LIMITED LIABILITY COMPANY</x:v>
      </x:c>
      <x:c r="O716" t="str">
        <x:v>CHESS REALTY LIC LLC</x:v>
      </x:c>
      <x:c r="P716" t="str">
        <x:v>199 LEE AVENUE PMB 103, BROOKLYN, NY, 11211</x:v>
      </x:c>
      <x:c r="Q716" t="str"/>
      <x:c r="R716" t="str"/>
      <x:c r="S716" t="str"/>
      <x:c r="T716" t="str"/>
      <x:c r="U716" t="str"/>
      <x:c r="V716" t="str"/>
      <x:c r="W716" t="str"/>
      <x:c r="X716" t="str"/>
      <x:c r="Y716" t="str">
        <x:v>https://data.ny.gov/Economic-Development/Active-Corporations-Beginning-1800/n9v6-gdp6</x:v>
      </x:c>
    </x:row>
    <x:row r="717">
      <x:c r="A717" t="str">
        <x:v>DOS-5-004</x:v>
      </x:c>
      <x:c r="B717" t="n">
        <x:v>5</x:v>
      </x:c>
      <x:c r="C717" t="str">
        <x:v>199 LEE AVENUE, PMB 103, BROOKLYN, NY, 11211, US</x:v>
      </x:c>
      <x:c r="D717" t="str">
        <x:v>259 ALBANY REALTY LLC</x:v>
      </x:c>
      <x:c r="E717" t="str">
        <x:v>259 ALBANY REALTY, LLC</x:v>
      </x:c>
      <x:c r="F717" t="str">
        <x:v>Active name match</x:v>
      </x:c>
      <x:c r="G717" t="n">
        <x:v>1</x:v>
      </x:c>
      <x:c r="H717" t="n">
        <x:v>1</x:v>
      </x:c>
      <x:c r="I717" t="str">
        <x:v>4571408</x:v>
      </x:c>
      <x:c r="J717" t="str">
        <x:v>259 ALBANY REALTY LLC</x:v>
      </x:c>
      <x:c r="K717" s="55" t="n">
        <x:v>41761</x:v>
      </x:c>
      <x:c r="L717" t="str">
        <x:v>Kings</x:v>
      </x:c>
      <x:c r="M717" t="str">
        <x:v>New York</x:v>
      </x:c>
      <x:c r="N717" t="str">
        <x:v>DOMESTIC LIMITED LIABILITY COMPANY</x:v>
      </x:c>
      <x:c r="O717" t="str">
        <x:v>259 ALBANY REALTY LLC</x:v>
      </x:c>
      <x:c r="P717" t="str">
        <x:v>199 LEE AVENUE SUITE 1088, BROOKLYN, NY, 11211</x:v>
      </x:c>
      <x:c r="Q717" t="str"/>
      <x:c r="R717" t="str"/>
      <x:c r="S717" t="str"/>
      <x:c r="T717" t="str"/>
      <x:c r="U717" t="str"/>
      <x:c r="V717" t="str"/>
      <x:c r="W717" t="str"/>
      <x:c r="X717" t="str"/>
      <x:c r="Y717" t="str">
        <x:v>https://data.ny.gov/Economic-Development/Active-Corporations-Beginning-1800/n9v6-gdp6</x:v>
      </x:c>
    </x:row>
    <x:row r="718">
      <x:c r="A718" t="str">
        <x:v>DOS-5-004</x:v>
      </x:c>
      <x:c r="B718" t="n">
        <x:v>5</x:v>
      </x:c>
      <x:c r="C718" t="str">
        <x:v>199 LEE AVENUE, PMB 103, BROOKLYN, NY, 11211, US</x:v>
      </x:c>
      <x:c r="D718" t="str">
        <x:v>264 ALBANY REALTY LLC</x:v>
      </x:c>
      <x:c r="E718" t="str">
        <x:v>264 ALBANY REALTY LLC</x:v>
      </x:c>
      <x:c r="F718" t="str">
        <x:v>Active name match</x:v>
      </x:c>
      <x:c r="G718" t="n">
        <x:v>1</x:v>
      </x:c>
      <x:c r="H718" t="n">
        <x:v>1</x:v>
      </x:c>
      <x:c r="I718" t="str">
        <x:v>4571413</x:v>
      </x:c>
      <x:c r="J718" t="str">
        <x:v>264 ALBANY REALTY LLC</x:v>
      </x:c>
      <x:c r="K718" s="55" t="n">
        <x:v>41761</x:v>
      </x:c>
      <x:c r="L718" t="str">
        <x:v>Kings</x:v>
      </x:c>
      <x:c r="M718" t="str">
        <x:v>New York</x:v>
      </x:c>
      <x:c r="N718" t="str">
        <x:v>DOMESTIC LIMITED LIABILITY COMPANY</x:v>
      </x:c>
      <x:c r="O718" t="str">
        <x:v>264 ALBANY REALTY LLC</x:v>
      </x:c>
      <x:c r="P718" t="str">
        <x:v>199 LEE AVENUE, STE 1088, BROOKLYN, NY, 11211</x:v>
      </x:c>
      <x:c r="Q718" t="str"/>
      <x:c r="R718" t="str"/>
      <x:c r="S718" t="str"/>
      <x:c r="T718" t="str"/>
      <x:c r="U718" t="str"/>
      <x:c r="V718" t="str"/>
      <x:c r="W718" t="str"/>
      <x:c r="X718" t="str"/>
      <x:c r="Y718" t="str">
        <x:v>https://data.ny.gov/Economic-Development/Active-Corporations-Beginning-1800/n9v6-gdp6</x:v>
      </x:c>
    </x:row>
    <x:row r="719">
      <x:c r="A719" t="str">
        <x:v>DOS-5-004</x:v>
      </x:c>
      <x:c r="B719" t="n">
        <x:v>5</x:v>
      </x:c>
      <x:c r="C719" t="str">
        <x:v>199 LEE AVENUE, PMB 103, BROOKLYN, NY, 11211, US</x:v>
      </x:c>
      <x:c r="D719" t="str">
        <x:v>628 PARKSIDE REALTY LLC</x:v>
      </x:c>
      <x:c r="E719" t="str">
        <x:v>628 PARKSIDE REALTY LLC</x:v>
      </x:c>
      <x:c r="F719" t="str">
        <x:v>Active name match</x:v>
      </x:c>
      <x:c r="G719" t="n">
        <x:v>1</x:v>
      </x:c>
      <x:c r="H719" t="n">
        <x:v>1</x:v>
      </x:c>
      <x:c r="I719" t="str">
        <x:v>4717055</x:v>
      </x:c>
      <x:c r="J719" t="str">
        <x:v>628 PARKSIDE REALTY LLC</x:v>
      </x:c>
      <x:c r="K719" s="55" t="n">
        <x:v>42061</x:v>
      </x:c>
      <x:c r="L719" t="str">
        <x:v>Kings</x:v>
      </x:c>
      <x:c r="M719" t="str">
        <x:v>New York</x:v>
      </x:c>
      <x:c r="N719" t="str">
        <x:v>DOMESTIC LIMITED LIABILITY COMPANY</x:v>
      </x:c>
      <x:c r="O719" t="str">
        <x:v>628 PARKSIDE REALTY LLC</x:v>
      </x:c>
      <x:c r="P719" t="str">
        <x:v>199 LEE AVE PMB 1088, BROOKLYN, NY, 11211</x:v>
      </x:c>
      <x:c r="Q719" t="str"/>
      <x:c r="R719" t="str"/>
      <x:c r="S719" t="str"/>
      <x:c r="T719" t="str"/>
      <x:c r="U719" t="str"/>
      <x:c r="V719" t="str"/>
      <x:c r="W719" t="str"/>
      <x:c r="X719" t="str"/>
      <x:c r="Y719" t="str">
        <x:v>https://data.ny.gov/Economic-Development/Active-Corporations-Beginning-1800/n9v6-gdp6</x:v>
      </x:c>
    </x:row>
    <x:row r="720">
      <x:c r="A720" t="str">
        <x:v>DOS-5-004</x:v>
      </x:c>
      <x:c r="B720" t="n">
        <x:v>5</x:v>
      </x:c>
      <x:c r="C720" t="str">
        <x:v>199 LEE AVENUE, PMB 103, BROOKLYN, NY, 11211, US</x:v>
      </x:c>
      <x:c r="D720" t="str">
        <x:v>POWERUNITS LIC LLC</x:v>
      </x:c>
      <x:c r="E720" t="str">
        <x:v>POWERUNITS LIC, LLC</x:v>
      </x:c>
      <x:c r="F720" t="str">
        <x:v>Address-corroborated active match</x:v>
      </x:c>
      <x:c r="G720" t="n">
        <x:v>1</x:v>
      </x:c>
      <x:c r="H720" t="n">
        <x:v>2</x:v>
      </x:c>
      <x:c r="I720" t="str">
        <x:v>4639009</x:v>
      </x:c>
      <x:c r="J720" t="str">
        <x:v>POWERUNITS LIC, LLC</x:v>
      </x:c>
      <x:c r="K720" s="55" t="n">
        <x:v>41901</x:v>
      </x:c>
      <x:c r="L720" t="str">
        <x:v>Queens</x:v>
      </x:c>
      <x:c r="M720" t="str">
        <x:v>New York</x:v>
      </x:c>
      <x:c r="N720" t="str">
        <x:v>DOMESTIC LIMITED LIABILITY COMPANY</x:v>
      </x:c>
      <x:c r="O720" t="str">
        <x:v>POWERUNITS LIC, LLC</x:v>
      </x:c>
      <x:c r="P720" t="str">
        <x:v>199 LEE AVENUE, PMB 103, BROOKLYN, NY, 11211</x:v>
      </x:c>
      <x:c r="Q720" t="str"/>
      <x:c r="R720" t="str"/>
      <x:c r="S720" t="str"/>
      <x:c r="T720" t="str"/>
      <x:c r="U720" t="str"/>
      <x:c r="V720" t="str"/>
      <x:c r="W720" t="str"/>
      <x:c r="X720" t="str"/>
      <x:c r="Y720" t="str">
        <x:v>https://data.ny.gov/Economic-Development/Active-Corporations-Beginning-1800/n9v6-gdp6</x:v>
      </x:c>
    </x:row>
    <x:row r="721">
      <x:c r="A721" t="str">
        <x:v>DOS-5-004</x:v>
      </x:c>
      <x:c r="B721" t="n">
        <x:v>5</x:v>
      </x:c>
      <x:c r="C721" t="str">
        <x:v>199 LEE AVENUE, PMB 103, BROOKLYN, NY, 11211, US</x:v>
      </x:c>
      <x:c r="D721" t="str">
        <x:v>V PARTNERS 414 LLC</x:v>
      </x:c>
      <x:c r="E721" t="str">
        <x:v>V PARTNERS 414, LLC</x:v>
      </x:c>
      <x:c r="F721" t="str">
        <x:v>Address-corroborated active match</x:v>
      </x:c>
      <x:c r="G721" t="n">
        <x:v>1</x:v>
      </x:c>
      <x:c r="H721" t="n">
        <x:v>2</x:v>
      </x:c>
      <x:c r="I721" t="str">
        <x:v>4075378</x:v>
      </x:c>
      <x:c r="J721" t="str">
        <x:v>V PARTNERS 414, LLC</x:v>
      </x:c>
      <x:c r="K721" s="55" t="n">
        <x:v>40633</x:v>
      </x:c>
      <x:c r="L721" t="str">
        <x:v>Kings</x:v>
      </x:c>
      <x:c r="M721" t="str">
        <x:v>New York</x:v>
      </x:c>
      <x:c r="N721" t="str">
        <x:v>DOMESTIC LIMITED LIABILITY COMPANY</x:v>
      </x:c>
      <x:c r="O721" t="str">
        <x:v>V PARTNERS 414, LLC</x:v>
      </x:c>
      <x:c r="P721" t="str">
        <x:v>199 LEE AVENUE, PMB 103, BROOKLYN, NY, 11211</x:v>
      </x:c>
      <x:c r="Q721" t="str"/>
      <x:c r="R721" t="str"/>
      <x:c r="S721" t="str"/>
      <x:c r="T721" t="str"/>
      <x:c r="U721" t="str"/>
      <x:c r="V721" t="str"/>
      <x:c r="W721" t="str"/>
      <x:c r="X721" t="str"/>
      <x:c r="Y721" t="str">
        <x:v>https://data.ny.gov/Economic-Development/Active-Corporations-Beginning-1800/n9v6-gdp6</x:v>
      </x:c>
    </x:row>
    <x:row r="722">
      <x:c r="A722" t="str">
        <x:v>DOS-5-005</x:v>
      </x:c>
      <x:c r="B722" t="n">
        <x:v>5</x:v>
      </x:c>
      <x:c r="C722" t="str">
        <x:v>2934 RIVERSIDE DRIVE, WANTAGH, NY, 11793, US | 2934 RIVERSIDE DRIVE,, WANTAGH, NY, 11793, US</x:v>
      </x:c>
      <x:c r="D722" t="str">
        <x:v>DEREIMER AVE 1 LLC</x:v>
      </x:c>
      <x:c r="E722" t="str">
        <x:v>DEREIMER AVE 1 LLC</x:v>
      </x:c>
      <x:c r="F722" t="str">
        <x:v>Active name match</x:v>
      </x:c>
      <x:c r="G722" t="n">
        <x:v>1</x:v>
      </x:c>
      <x:c r="H722" t="n">
        <x:v>0</x:v>
      </x:c>
      <x:c r="I722" t="str">
        <x:v>4559044</x:v>
      </x:c>
      <x:c r="J722" t="str">
        <x:v>DEREIMER AVE 1 LLC</x:v>
      </x:c>
      <x:c r="K722" s="55" t="n">
        <x:v>41738</x:v>
      </x:c>
      <x:c r="L722" t="str">
        <x:v>Nassau</x:v>
      </x:c>
      <x:c r="M722" t="str">
        <x:v>New York</x:v>
      </x:c>
      <x:c r="N722" t="str">
        <x:v>DOMESTIC LIMITED LIABILITY COMPANY</x:v>
      </x:c>
      <x:c r="O722" t="str">
        <x:v>C/O LIPTON &amp; ASSOCIATES</x:v>
      </x:c>
      <x:c r="P722" t="str">
        <x:v>760 JERICHO TURNPIKE, WESTBURY, NY, 11590</x:v>
      </x:c>
      <x:c r="Q722" t="str"/>
      <x:c r="R722" t="str"/>
      <x:c r="S722" t="str"/>
      <x:c r="T722" t="str"/>
      <x:c r="U722" t="str"/>
      <x:c r="V722" t="str"/>
      <x:c r="W722" t="str"/>
      <x:c r="X722" t="str"/>
      <x:c r="Y722" t="str">
        <x:v>https://data.ny.gov/Economic-Development/Active-Corporations-Beginning-1800/n9v6-gdp6</x:v>
      </x:c>
    </x:row>
    <x:row r="723">
      <x:c r="A723" t="str">
        <x:v>DOS-5-005</x:v>
      </x:c>
      <x:c r="B723" t="n">
        <x:v>5</x:v>
      </x:c>
      <x:c r="C723" t="str">
        <x:v>2934 RIVERSIDE DRIVE, WANTAGH, NY, 11793, US | 2934 RIVERSIDE DRIVE,, WANTAGH, NY, 11793, US</x:v>
      </x:c>
      <x:c r="D723" t="str">
        <x:v>DEREIMER AVE 2 LLC</x:v>
      </x:c>
      <x:c r="E723" t="str">
        <x:v>DEREIMER AVE 2 LLC</x:v>
      </x:c>
      <x:c r="F723" t="str">
        <x:v>Address-corroborated active match</x:v>
      </x:c>
      <x:c r="G723" t="n">
        <x:v>1</x:v>
      </x:c>
      <x:c r="H723" t="n">
        <x:v>2</x:v>
      </x:c>
      <x:c r="I723" t="str">
        <x:v>5162611</x:v>
      </x:c>
      <x:c r="J723" t="str">
        <x:v>DEREIMER AVE 2 LLC</x:v>
      </x:c>
      <x:c r="K723" s="55" t="n">
        <x:v>42914</x:v>
      </x:c>
      <x:c r="L723" t="str">
        <x:v>Nassau</x:v>
      </x:c>
      <x:c r="M723" t="str">
        <x:v>New York</x:v>
      </x:c>
      <x:c r="N723" t="str">
        <x:v>DOMESTIC LIMITED LIABILITY COMPANY</x:v>
      </x:c>
      <x:c r="O723" t="str">
        <x:v>MOSHE ZLICHA</x:v>
      </x:c>
      <x:c r="P723" t="str">
        <x:v>2934 RIVERSIDE DRIVE, WANTAGH, NY, 11793</x:v>
      </x:c>
      <x:c r="Q723" t="str"/>
      <x:c r="R723" t="str"/>
      <x:c r="S723" t="str"/>
      <x:c r="T723" t="str"/>
      <x:c r="U723" t="str"/>
      <x:c r="V723" t="str"/>
      <x:c r="W723" t="str"/>
      <x:c r="X723" t="str"/>
      <x:c r="Y723" t="str">
        <x:v>https://data.ny.gov/Economic-Development/Active-Corporations-Beginning-1800/n9v6-gdp6</x:v>
      </x:c>
    </x:row>
    <x:row r="724">
      <x:c r="A724" t="str">
        <x:v>DOS-5-005</x:v>
      </x:c>
      <x:c r="B724" t="n">
        <x:v>5</x:v>
      </x:c>
      <x:c r="C724" t="str">
        <x:v>2934 RIVERSIDE DRIVE, WANTAGH, NY, 11793, US | 2934 RIVERSIDE DRIVE,, WANTAGH, NY, 11793, US</x:v>
      </x:c>
      <x:c r="D724" t="str">
        <x:v>PUTNAM AVE WEST LLC</x:v>
      </x:c>
      <x:c r="E724" t="str">
        <x:v>PUTNAM AVE WEST LLC</x:v>
      </x:c>
      <x:c r="F724" t="str">
        <x:v>Address-corroborated active match</x:v>
      </x:c>
      <x:c r="G724" t="n">
        <x:v>1</x:v>
      </x:c>
      <x:c r="H724" t="n">
        <x:v>2</x:v>
      </x:c>
      <x:c r="I724" t="str">
        <x:v>7587507</x:v>
      </x:c>
      <x:c r="J724" t="str">
        <x:v>PUTNAM AVE WEST LLC</x:v>
      </x:c>
      <x:c r="K724" s="55" t="n">
        <x:v>45763</x:v>
      </x:c>
      <x:c r="L724" t="str">
        <x:v>Nassau</x:v>
      </x:c>
      <x:c r="M724" t="str">
        <x:v>New York</x:v>
      </x:c>
      <x:c r="N724" t="str">
        <x:v>DOMESTIC LIMITED LIABILITY COMPANY</x:v>
      </x:c>
      <x:c r="O724" t="str">
        <x:v>Putnam Ave West LLC</x:v>
      </x:c>
      <x:c r="P724" t="str">
        <x:v>2934 Riverside Drive, Wantagh, NY, 11793</x:v>
      </x:c>
      <x:c r="Q724" t="str"/>
      <x:c r="R724" t="str"/>
      <x:c r="S724" t="str"/>
      <x:c r="T724" t="str"/>
      <x:c r="U724" t="str"/>
      <x:c r="V724" t="str"/>
      <x:c r="W724" t="str"/>
      <x:c r="X724" t="str"/>
      <x:c r="Y724" t="str">
        <x:v>https://data.ny.gov/Economic-Development/Active-Corporations-Beginning-1800/n9v6-gdp6</x:v>
      </x:c>
    </x:row>
    <x:row r="725">
      <x:c r="A725" t="str">
        <x:v>DOS-5-005</x:v>
      </x:c>
      <x:c r="B725" t="n">
        <x:v>5</x:v>
      </x:c>
      <x:c r="C725" t="str">
        <x:v>2934 RIVERSIDE DRIVE, WANTAGH, NY, 11793, US | 2934 RIVERSIDE DRIVE,, WANTAGH, NY, 11793, US</x:v>
      </x:c>
      <x:c r="D725" t="str">
        <x:v>SEDGWICK AVE NY 2 LLC</x:v>
      </x:c>
      <x:c r="E725" t="str">
        <x:v>SEDGWICK AVE NY 2 LLC</x:v>
      </x:c>
      <x:c r="F725" t="str">
        <x:v>Address-corroborated active match</x:v>
      </x:c>
      <x:c r="G725" t="n">
        <x:v>1</x:v>
      </x:c>
      <x:c r="H725" t="n">
        <x:v>2</x:v>
      </x:c>
      <x:c r="I725" t="str">
        <x:v>6240470</x:v>
      </x:c>
      <x:c r="J725" t="str">
        <x:v>SEDGWICK AVE NY 2 LLC</x:v>
      </x:c>
      <x:c r="K725" s="55" t="n">
        <x:v>44418</x:v>
      </x:c>
      <x:c r="L725" t="str">
        <x:v>Albany</x:v>
      </x:c>
      <x:c r="M725" t="str">
        <x:v>New York</x:v>
      </x:c>
      <x:c r="N725" t="str">
        <x:v>DOMESTIC LIMITED LIABILITY COMPANY</x:v>
      </x:c>
      <x:c r="O725" t="str">
        <x:v>Moshe Zlicha</x:v>
      </x:c>
      <x:c r="P725" t="str">
        <x:v>2934 Riverside Drive, Wantagh, NY, 11793</x:v>
      </x:c>
      <x:c r="Q725" t="str"/>
      <x:c r="R725" t="str"/>
      <x:c r="S725" t="str"/>
      <x:c r="T725" t="str"/>
      <x:c r="U725" t="str"/>
      <x:c r="V725" t="str"/>
      <x:c r="W725" t="str"/>
      <x:c r="X725" t="str"/>
      <x:c r="Y725" t="str">
        <x:v>https://data.ny.gov/Economic-Development/Active-Corporations-Beginning-1800/n9v6-gdp6</x:v>
      </x:c>
    </x:row>
    <x:row r="726">
      <x:c r="A726" t="str">
        <x:v>DOS-5-005</x:v>
      </x:c>
      <x:c r="B726" t="n">
        <x:v>5</x:v>
      </x:c>
      <x:c r="C726" t="str">
        <x:v>2934 RIVERSIDE DRIVE, WANTAGH, NY, 11793, US | 2934 RIVERSIDE DRIVE,, WANTAGH, NY, 11793, US</x:v>
      </x:c>
      <x:c r="D726" t="str">
        <x:v>WINTHROP NY 2 LLC</x:v>
      </x:c>
      <x:c r="E726" t="str">
        <x:v>WINTHROP NY 2 LLC</x:v>
      </x:c>
      <x:c r="F726" t="str">
        <x:v>Address-corroborated active match</x:v>
      </x:c>
      <x:c r="G726" t="n">
        <x:v>1</x:v>
      </x:c>
      <x:c r="H726" t="n">
        <x:v>2</x:v>
      </x:c>
      <x:c r="I726" t="str">
        <x:v>5105319</x:v>
      </x:c>
      <x:c r="J726" t="str">
        <x:v>WINTHROP NY 2 LLC</x:v>
      </x:c>
      <x:c r="K726" s="55" t="n">
        <x:v>42815</x:v>
      </x:c>
      <x:c r="L726" t="str">
        <x:v>Kings</x:v>
      </x:c>
      <x:c r="M726" t="str">
        <x:v>New York</x:v>
      </x:c>
      <x:c r="N726" t="str">
        <x:v>DOMESTIC LIMITED LIABILITY COMPANY</x:v>
      </x:c>
      <x:c r="O726" t="str">
        <x:v>C/O ZLICHA</x:v>
      </x:c>
      <x:c r="P726" t="str">
        <x:v>2934 RIVERSIDE DRIVE, WANTAGH, NY, 11793</x:v>
      </x:c>
      <x:c r="Q726" t="str"/>
      <x:c r="R726" t="str"/>
      <x:c r="S726" t="str"/>
      <x:c r="T726" t="str"/>
      <x:c r="U726" t="str"/>
      <x:c r="V726" t="str"/>
      <x:c r="W726" t="str"/>
      <x:c r="X726" t="str"/>
      <x:c r="Y726" t="str">
        <x:v>https://data.ny.gov/Economic-Development/Active-Corporations-Beginning-1800/n9v6-gdp6</x:v>
      </x:c>
    </x:row>
    <x:row r="727">
      <x:c r="A727" t="str">
        <x:v>DOS-5-006</x:v>
      </x:c>
      <x:c r="B727" t="n">
        <x:v>5</x:v>
      </x:c>
      <x:c r="C727" t="str">
        <x:v>101 MONTGOMERY STREET, SUITE 200, SAN FRANCISCO, CA, 94104, US</x:v>
      </x:c>
      <x:c r="D727" t="str">
        <x:v>TERRENO 14605 MILLER AVE LLC</x:v>
      </x:c>
      <x:c r="E727" t="str">
        <x:v>TERRENO 14605 MILLER AVE LLC</x:v>
      </x:c>
      <x:c r="F727" t="str">
        <x:v>Active name match</x:v>
      </x:c>
      <x:c r="G727" t="n">
        <x:v>1</x:v>
      </x:c>
      <x:c r="H727" t="n">
        <x:v>0</x:v>
      </x:c>
      <x:c r="I727" t="str">
        <x:v>5485705</x:v>
      </x:c>
      <x:c r="J727" t="str">
        <x:v>TERRENO 14605 MILLER AVE LLC</x:v>
      </x:c>
      <x:c r="K727" s="55" t="n">
        <x:v>43496</x:v>
      </x:c>
      <x:c r="L727" t="str">
        <x:v>Queens</x:v>
      </x:c>
      <x:c r="M727" t="str">
        <x:v>Delaware</x:v>
      </x:c>
      <x:c r="N727" t="str">
        <x:v>FOREIGN LIMITED LIABILITY COMPANY</x:v>
      </x:c>
      <x:c r="O727" t="str">
        <x:v>TERRENO 14605 MILLER AVE LLC</x:v>
      </x:c>
      <x:c r="P727" t="str">
        <x:v>28 Liberty Street, NEW YORK, NY, 10005</x:v>
      </x:c>
      <x:c r="Q727" t="str"/>
      <x:c r="R727" t="str"/>
      <x:c r="S727" t="str">
        <x:v>C T CORPORATION SYSTEM</x:v>
      </x:c>
      <x:c r="T727" t="str">
        <x:v>28 LIBERTY STREET, NEW YORK, NEW YORK, 10005</x:v>
      </x:c>
      <x:c r="U727" t="str"/>
      <x:c r="V727" t="str"/>
      <x:c r="W727" t="str"/>
      <x:c r="X727" t="str"/>
      <x:c r="Y727" t="str">
        <x:v>https://data.ny.gov/Economic-Development/Active-Corporations-Beginning-1800/n9v6-gdp6</x:v>
      </x:c>
    </x:row>
    <x:row r="728">
      <x:c r="A728" t="str">
        <x:v>DOS-5-006</x:v>
      </x:c>
      <x:c r="B728" t="n">
        <x:v>5</x:v>
      </x:c>
      <x:c r="C728" t="str">
        <x:v>101 MONTGOMERY STREET, SUITE 200, SAN FRANCISCO, CA, 94104, US</x:v>
      </x:c>
      <x:c r="D728" t="str">
        <x:v>TERRENO 27TH STREET LLC</x:v>
      </x:c>
      <x:c r="E728" t="str">
        <x:v>TERRENO 27TH STREET LLC</x:v>
      </x:c>
      <x:c r="F728" t="str">
        <x:v>Active name match</x:v>
      </x:c>
      <x:c r="G728" t="n">
        <x:v>1</x:v>
      </x:c>
      <x:c r="H728" t="n">
        <x:v>0</x:v>
      </x:c>
      <x:c r="I728" t="str">
        <x:v>7643029</x:v>
      </x:c>
      <x:c r="J728" t="str">
        <x:v>TERRENO 27TH STREET LLC</x:v>
      </x:c>
      <x:c r="K728" s="55" t="n">
        <x:v>45828</x:v>
      </x:c>
      <x:c r="L728" t="str">
        <x:v>New York</x:v>
      </x:c>
      <x:c r="M728" t="str">
        <x:v>Delaware</x:v>
      </x:c>
      <x:c r="N728" t="str">
        <x:v>FOREIGN LIMITED LIABILITY COMPANY</x:v>
      </x:c>
      <x:c r="O728" t="str">
        <x:v>C/O C T CORPORATION SYSTEM</x:v>
      </x:c>
      <x:c r="P728" t="str">
        <x:v>28 LIBERTY STREET, NEW YORK, NY, 10005</x:v>
      </x:c>
      <x:c r="Q728" t="str"/>
      <x:c r="R728" t="str"/>
      <x:c r="S728" t="str">
        <x:v>C T CORPORATION SYSTEM</x:v>
      </x:c>
      <x:c r="T728" t="str">
        <x:v>28 LIBERTY STREET, NEW YORK, NEW YORK, 10005</x:v>
      </x:c>
      <x:c r="U728" t="str"/>
      <x:c r="V728" t="str"/>
      <x:c r="W728" t="str"/>
      <x:c r="X728" t="str"/>
      <x:c r="Y728" t="str">
        <x:v>https://data.ny.gov/Economic-Development/Active-Corporations-Beginning-1800/n9v6-gdp6</x:v>
      </x:c>
    </x:row>
    <x:row r="729">
      <x:c r="A729" t="str">
        <x:v>DOS-5-006</x:v>
      </x:c>
      <x:c r="B729" t="n">
        <x:v>5</x:v>
      </x:c>
      <x:c r="C729" t="str">
        <x:v>101 MONTGOMERY STREET, SUITE 200, SAN FRANCISCO, CA, 94104, US</x:v>
      </x:c>
      <x:c r="D729" t="str">
        <x:v>TERRENO AIRGATE LLC</x:v>
      </x:c>
      <x:c r="E729" t="str">
        <x:v>TERRENO AIRGATE LLC</x:v>
      </x:c>
      <x:c r="F729" t="str">
        <x:v>Active name match</x:v>
      </x:c>
      <x:c r="G729" t="n">
        <x:v>1</x:v>
      </x:c>
      <x:c r="H729" t="n">
        <x:v>0</x:v>
      </x:c>
      <x:c r="I729" t="str">
        <x:v>4501088</x:v>
      </x:c>
      <x:c r="J729" t="str">
        <x:v>TERRENO AIRGATE LLC</x:v>
      </x:c>
      <x:c r="K729" s="55" t="n">
        <x:v>41624</x:v>
      </x:c>
      <x:c r="L729" t="str">
        <x:v>Queens</x:v>
      </x:c>
      <x:c r="M729" t="str">
        <x:v>Delaware</x:v>
      </x:c>
      <x:c r="N729" t="str">
        <x:v>FOREIGN LIMITED LIABILITY COMPANY</x:v>
      </x:c>
      <x:c r="O729" t="str">
        <x:v>TERRENO AIRGATE LLC</x:v>
      </x:c>
      <x:c r="P729" t="str">
        <x:v>28 LIBERTY STREET, NEW YORK, NY, 10005</x:v>
      </x:c>
      <x:c r="Q729" t="str"/>
      <x:c r="R729" t="str"/>
      <x:c r="S729" t="str">
        <x:v>C T CORPORATION SYSTEM</x:v>
      </x:c>
      <x:c r="T729" t="str">
        <x:v>28 LIBERTY ST., NEW YORK, NEW YORK, 10005</x:v>
      </x:c>
      <x:c r="U729" t="str"/>
      <x:c r="V729" t="str"/>
      <x:c r="W729" t="str"/>
      <x:c r="X729" t="str"/>
      <x:c r="Y729" t="str">
        <x:v>https://data.ny.gov/Economic-Development/Active-Corporations-Beginning-1800/n9v6-gdp6</x:v>
      </x:c>
    </x:row>
    <x:row r="730">
      <x:c r="A730" t="str">
        <x:v>DOS-5-006</x:v>
      </x:c>
      <x:c r="B730" t="n">
        <x:v>5</x:v>
      </x:c>
      <x:c r="C730" t="str">
        <x:v>101 MONTGOMERY STREET, SUITE 200, SAN FRANCISCO, CA, 94104, US</x:v>
      </x:c>
      <x:c r="D730" t="str">
        <x:v>TERRENO MORGAN AVE LLC</x:v>
      </x:c>
      <x:c r="E730" t="str">
        <x:v>TERRENO MORGAN AVE, LLC</x:v>
      </x:c>
      <x:c r="F730" t="str">
        <x:v>Active name match</x:v>
      </x:c>
      <x:c r="G730" t="n">
        <x:v>1</x:v>
      </x:c>
      <x:c r="H730" t="n">
        <x:v>0</x:v>
      </x:c>
      <x:c r="I730" t="str">
        <x:v>5605450</x:v>
      </x:c>
      <x:c r="J730" t="str">
        <x:v>TERRENO MORGAN AVE LLC</x:v>
      </x:c>
      <x:c r="K730" s="55" t="n">
        <x:v>43693</x:v>
      </x:c>
      <x:c r="L730" t="str">
        <x:v>Kings</x:v>
      </x:c>
      <x:c r="M730" t="str">
        <x:v>Delaware</x:v>
      </x:c>
      <x:c r="N730" t="str">
        <x:v>FOREIGN LIMITED LIABILITY COMPANY</x:v>
      </x:c>
      <x:c r="O730" t="str">
        <x:v>C T CORPORATION SYSTEM</x:v>
      </x:c>
      <x:c r="P730" t="str">
        <x:v>28 LIBERTY STREET, NEW YORK, NY, 10005</x:v>
      </x:c>
      <x:c r="Q730" t="str"/>
      <x:c r="R730" t="str"/>
      <x:c r="S730" t="str">
        <x:v>C T CORPORATION SYSTEM</x:v>
      </x:c>
      <x:c r="T730" t="str">
        <x:v>28 LIBERTY STREET, NEW YORK, NEW YORK, 10005</x:v>
      </x:c>
      <x:c r="U730" t="str"/>
      <x:c r="V730" t="str"/>
      <x:c r="W730" t="str"/>
      <x:c r="X730" t="str"/>
      <x:c r="Y730" t="str">
        <x:v>https://data.ny.gov/Economic-Development/Active-Corporations-Beginning-1800/n9v6-gdp6</x:v>
      </x:c>
    </x:row>
    <x:row r="731">
      <x:c r="A731" t="str">
        <x:v>DOS-5-006</x:v>
      </x:c>
      <x:c r="B731" t="n">
        <x:v>5</x:v>
      </x:c>
      <x:c r="C731" t="str">
        <x:v>101 MONTGOMERY STREET, SUITE 200, SAN FRANCISCO, CA, 94104, US</x:v>
      </x:c>
      <x:c r="D731" t="str">
        <x:v>TERRENO NEW RIDGE LLC</x:v>
      </x:c>
      <x:c r="E731" t="str">
        <x:v>TERRENO NEW RIDGE LLC</x:v>
      </x:c>
      <x:c r="F731" t="str">
        <x:v>Active name match</x:v>
      </x:c>
      <x:c r="G731" t="n">
        <x:v>1</x:v>
      </x:c>
      <x:c r="H731" t="n">
        <x:v>0</x:v>
      </x:c>
      <x:c r="I731" t="str">
        <x:v>7147670</x:v>
      </x:c>
      <x:c r="J731" t="str">
        <x:v>TERRENO NEW RIDGE LLC</x:v>
      </x:c>
      <x:c r="K731" s="55" t="n">
        <x:v>45201</x:v>
      </x:c>
      <x:c r="L731" t="str">
        <x:v>Kings</x:v>
      </x:c>
      <x:c r="M731" t="str">
        <x:v>Delaware</x:v>
      </x:c>
      <x:c r="N731" t="str">
        <x:v>FOREIGN LIMITED LIABILITY COMPANY</x:v>
      </x:c>
      <x:c r="O731" t="str">
        <x:v>C T CORPORATION SYSTEM</x:v>
      </x:c>
      <x:c r="P731" t="str">
        <x:v>28 LIBERTY STREET, NEW YORK, NY, 10005</x:v>
      </x:c>
      <x:c r="Q731" t="str"/>
      <x:c r="R731" t="str"/>
      <x:c r="S731" t="str">
        <x:v>C T CORPORATION SYSTEM</x:v>
      </x:c>
      <x:c r="T731" t="str">
        <x:v>28 LIBERTY STREET, NEW YORK, NEW YORK, 10005</x:v>
      </x:c>
      <x:c r="U731" t="str"/>
      <x:c r="V731" t="str"/>
      <x:c r="W731" t="str"/>
      <x:c r="X731" t="str"/>
      <x:c r="Y731" t="str">
        <x:v>https://data.ny.gov/Economic-Development/Active-Corporations-Beginning-1800/n9v6-gdp6</x:v>
      </x:c>
    </x:row>
    <x:row r="732">
      <x:c r="A732" t="str">
        <x:v>DOS-5-007</x:v>
      </x:c>
      <x:c r="B732" t="n">
        <x:v>5</x:v>
      </x:c>
      <x:c r="C732" t="str">
        <x:v>5676 RIVERDALE AVENUE, SUITE 203, BRONX, NY, 10471, US</x:v>
      </x:c>
      <x:c r="D732" t="str">
        <x:v>232 ESTATES LLC</x:v>
      </x:c>
      <x:c r="E732" t="str">
        <x:v>232 ESTATES LLC</x:v>
      </x:c>
      <x:c r="F732" t="str">
        <x:v>Active name match</x:v>
      </x:c>
      <x:c r="G732" t="n">
        <x:v>1</x:v>
      </x:c>
      <x:c r="H732" t="n">
        <x:v>1</x:v>
      </x:c>
      <x:c r="I732" t="str">
        <x:v>7352483</x:v>
      </x:c>
      <x:c r="J732" t="str">
        <x:v>232 ESTATES LLC</x:v>
      </x:c>
      <x:c r="K732" s="55" t="n">
        <x:v>45457</x:v>
      </x:c>
      <x:c r="L732" t="str">
        <x:v>Bronx</x:v>
      </x:c>
      <x:c r="M732" t="str">
        <x:v>New York</x:v>
      </x:c>
      <x:c r="N732" t="str">
        <x:v>DOMESTIC LIMITED LIABILITY COMPANY</x:v>
      </x:c>
      <x:c r="O732" t="str">
        <x:v>232 ESTATES LLC</x:v>
      </x:c>
      <x:c r="P732" t="str">
        <x:v>5676 RIVERDALE AVE, SUITE 203, BRONX, NY, 10471</x:v>
      </x:c>
      <x:c r="Q732" t="str"/>
      <x:c r="R732" t="str"/>
      <x:c r="S732" t="str"/>
      <x:c r="T732" t="str"/>
      <x:c r="U732" t="str"/>
      <x:c r="V732" t="str"/>
      <x:c r="W732" t="str"/>
      <x:c r="X732" t="str"/>
      <x:c r="Y732" t="str">
        <x:v>https://data.ny.gov/Economic-Development/Active-Corporations-Beginning-1800/n9v6-gdp6</x:v>
      </x:c>
    </x:row>
    <x:row r="733">
      <x:c r="A733" t="str">
        <x:v>DOS-5-007</x:v>
      </x:c>
      <x:c r="B733" t="n">
        <x:v>5</x:v>
      </x:c>
      <x:c r="C733" t="str">
        <x:v>5676 RIVERDALE AVENUE, SUITE 203, BRONX, NY, 10471, US</x:v>
      </x:c>
      <x:c r="D733" t="str">
        <x:v>916 HOME REALTY LLC</x:v>
      </x:c>
      <x:c r="E733" t="str">
        <x:v>916 HOME REALTY LLC</x:v>
      </x:c>
      <x:c r="F733" t="str">
        <x:v>Active name match</x:v>
      </x:c>
      <x:c r="G733" t="n">
        <x:v>1</x:v>
      </x:c>
      <x:c r="H733" t="n">
        <x:v>0</x:v>
      </x:c>
      <x:c r="I733" t="str">
        <x:v>6676438</x:v>
      </x:c>
      <x:c r="J733" t="str">
        <x:v>916 HOME REALTY LLC</x:v>
      </x:c>
      <x:c r="K733" s="55" t="n">
        <x:v>44922</x:v>
      </x:c>
      <x:c r="L733" t="str">
        <x:v>Albany</x:v>
      </x:c>
      <x:c r="M733" t="str">
        <x:v>New York</x:v>
      </x:c>
      <x:c r="N733" t="str">
        <x:v>DOMESTIC LIMITED LIABILITY COMPANY</x:v>
      </x:c>
      <x:c r="O733" t="str">
        <x:v>916 HOME REALTY LLC</x:v>
      </x:c>
      <x:c r="P733" t="str">
        <x:v>130 Lee Ave #338, Brooklyn, NY, 11211</x:v>
      </x:c>
      <x:c r="Q733" t="str"/>
      <x:c r="R733" t="str"/>
      <x:c r="S733" t="str"/>
      <x:c r="T733" t="str"/>
      <x:c r="U733" t="str"/>
      <x:c r="V733" t="str"/>
      <x:c r="W733" t="str"/>
      <x:c r="X733" t="str"/>
      <x:c r="Y733" t="str">
        <x:v>https://data.ny.gov/Economic-Development/Active-Corporations-Beginning-1800/n9v6-gdp6</x:v>
      </x:c>
    </x:row>
    <x:row r="734">
      <x:c r="A734" t="str">
        <x:v>DOS-5-007</x:v>
      </x:c>
      <x:c r="B734" t="n">
        <x:v>5</x:v>
      </x:c>
      <x:c r="C734" t="str">
        <x:v>5676 RIVERDALE AVENUE, SUITE 203, BRONX, NY, 10471, US</x:v>
      </x:c>
      <x:c r="D734" t="str">
        <x:v>LORILLARD COMMONS LLC</x:v>
      </x:c>
      <x:c r="E734" t="str">
        <x:v>LORILLARD COMMONS LLC</x:v>
      </x:c>
      <x:c r="F734" t="str">
        <x:v>Address-corroborated active match</x:v>
      </x:c>
      <x:c r="G734" t="n">
        <x:v>1</x:v>
      </x:c>
      <x:c r="H734" t="n">
        <x:v>2</x:v>
      </x:c>
      <x:c r="I734" t="str">
        <x:v>7512621</x:v>
      </x:c>
      <x:c r="J734" t="str">
        <x:v>LORILLARD COMMONS LLC</x:v>
      </x:c>
      <x:c r="K734" s="55" t="n">
        <x:v>45677</x:v>
      </x:c>
      <x:c r="L734" t="str">
        <x:v>Bronx</x:v>
      </x:c>
      <x:c r="M734" t="str">
        <x:v>New York</x:v>
      </x:c>
      <x:c r="N734" t="str">
        <x:v>DOMESTIC LIMITED LIABILITY COMPANY</x:v>
      </x:c>
      <x:c r="O734" t="str">
        <x:v>LORILLARD COMMONS LLC</x:v>
      </x:c>
      <x:c r="P734" t="str">
        <x:v>5676 RIVERDALE AVENUE,, SUITE 203, BRONX, NY, 10471</x:v>
      </x:c>
      <x:c r="Q734" t="str"/>
      <x:c r="R734" t="str"/>
      <x:c r="S734" t="str"/>
      <x:c r="T734" t="str"/>
      <x:c r="U734" t="str"/>
      <x:c r="V734" t="str"/>
      <x:c r="W734" t="str"/>
      <x:c r="X734" t="str"/>
      <x:c r="Y734" t="str">
        <x:v>https://data.ny.gov/Economic-Development/Active-Corporations-Beginning-1800/n9v6-gdp6</x:v>
      </x:c>
    </x:row>
    <x:row r="735">
      <x:c r="A735" t="str">
        <x:v>DOS-5-007</x:v>
      </x:c>
      <x:c r="B735" t="n">
        <x:v>5</x:v>
      </x:c>
      <x:c r="C735" t="str">
        <x:v>5676 RIVERDALE AVENUE, SUITE 203, BRONX, NY, 10471, US</x:v>
      </x:c>
      <x:c r="D735" t="str">
        <x:v>OSBORN COMMONS LLC</x:v>
      </x:c>
      <x:c r="E735" t="str">
        <x:v>OSBORN COMMONS LLC</x:v>
      </x:c>
      <x:c r="F735" t="str">
        <x:v>Address-corroborated active match</x:v>
      </x:c>
      <x:c r="G735" t="n">
        <x:v>1</x:v>
      </x:c>
      <x:c r="H735" t="n">
        <x:v>2</x:v>
      </x:c>
      <x:c r="I735" t="str">
        <x:v>7516790</x:v>
      </x:c>
      <x:c r="J735" t="str">
        <x:v>OSBORN COMMONS LLC</x:v>
      </x:c>
      <x:c r="K735" s="55" t="n">
        <x:v>45681</x:v>
      </x:c>
      <x:c r="L735" t="str">
        <x:v>Bronx</x:v>
      </x:c>
      <x:c r="M735" t="str">
        <x:v>New York</x:v>
      </x:c>
      <x:c r="N735" t="str">
        <x:v>DOMESTIC LIMITED LIABILITY COMPANY</x:v>
      </x:c>
      <x:c r="O735" t="str">
        <x:v>OSBORN COMMONS LLC</x:v>
      </x:c>
      <x:c r="P735" t="str">
        <x:v>5676 RIVERDALE AVE, SUITE 203, BRONX, NY, 10471</x:v>
      </x:c>
      <x:c r="Q735" t="str"/>
      <x:c r="R735" t="str"/>
      <x:c r="S735" t="str"/>
      <x:c r="T735" t="str"/>
      <x:c r="U735" t="str"/>
      <x:c r="V735" t="str"/>
      <x:c r="W735" t="str"/>
      <x:c r="X735" t="str"/>
      <x:c r="Y735" t="str">
        <x:v>https://data.ny.gov/Economic-Development/Active-Corporations-Beginning-1800/n9v6-gdp6</x:v>
      </x:c>
    </x:row>
    <x:row r="736">
      <x:c r="A736" t="str">
        <x:v>DOS-5-007</x:v>
      </x:c>
      <x:c r="B736" t="n">
        <x:v>5</x:v>
      </x:c>
      <x:c r="C736" t="str">
        <x:v>5676 RIVERDALE AVENUE, SUITE 203, BRONX, NY, 10471, US</x:v>
      </x:c>
      <x:c r="D736" t="str">
        <x:v>WPR WESTHILL LLC</x:v>
      </x:c>
      <x:c r="E736" t="str">
        <x:v>WPR WESTHILL LLC</x:v>
      </x:c>
      <x:c r="F736" t="str">
        <x:v>Address-corroborated active match</x:v>
      </x:c>
      <x:c r="G736" t="n">
        <x:v>1</x:v>
      </x:c>
      <x:c r="H736" t="n">
        <x:v>2</x:v>
      </x:c>
      <x:c r="I736" t="str">
        <x:v>7662392</x:v>
      </x:c>
      <x:c r="J736" t="str">
        <x:v>WPR WESTHILL LLC</x:v>
      </x:c>
      <x:c r="K736" s="55" t="n">
        <x:v>45855</x:v>
      </x:c>
      <x:c r="L736" t="str">
        <x:v>Bronx</x:v>
      </x:c>
      <x:c r="M736" t="str">
        <x:v>New York</x:v>
      </x:c>
      <x:c r="N736" t="str">
        <x:v>DOMESTIC LIMITED LIABILITY COMPANY</x:v>
      </x:c>
      <x:c r="O736" t="str">
        <x:v>WPR WESTHILL LLC</x:v>
      </x:c>
      <x:c r="P736" t="str">
        <x:v>5676 RIVERDALE AVENUE, SUITE 2, BRONX, NY, 10471</x:v>
      </x:c>
      <x:c r="Q736" t="str"/>
      <x:c r="R736" t="str"/>
      <x:c r="S736" t="str"/>
      <x:c r="T736" t="str"/>
      <x:c r="U736" t="str"/>
      <x:c r="V736" t="str"/>
      <x:c r="W736" t="str"/>
      <x:c r="X736" t="str"/>
      <x:c r="Y736" t="str">
        <x:v>https://data.ny.gov/Economic-Development/Active-Corporations-Beginning-1800/n9v6-gdp6</x:v>
      </x:c>
    </x:row>
    <x:row r="737">
      <x:c r="A737" t="str">
        <x:v>DOS-5-008</x:v>
      </x:c>
      <x:c r="B737" t="n">
        <x:v>5</x:v>
      </x:c>
      <x:c r="C737" t="str">
        <x:v>700 HICKSVILLE ROAD, BETHPAGE, NY, 11714, US</x:v>
      </x:c>
      <x:c r="D737" t="str">
        <x:v>APOLLO STEEL LLC</x:v>
      </x:c>
      <x:c r="E737" t="str">
        <x:v>APOLLO STEEL LLC</x:v>
      </x:c>
      <x:c r="F737" t="str">
        <x:v>No active DOS match</x:v>
      </x:c>
      <x:c r="G737" t="n">
        <x:v>0</x:v>
      </x:c>
      <x:c r="H737" t="n">
        <x:v>0</x:v>
      </x:c>
      <x:c r="I737" t="str"/>
      <x:c r="J737" t="str"/>
      <x:c r="K737" s="55" t="str"/>
      <x:c r="L737" t="str"/>
      <x:c r="M737" t="str"/>
      <x:c r="N737" t="str"/>
      <x:c r="O737" t="str"/>
      <x:c r="P737" t="str"/>
      <x:c r="Q737" t="str"/>
      <x:c r="R737" t="str"/>
      <x:c r="S737" t="str"/>
      <x:c r="T737" t="str"/>
      <x:c r="U737" t="str"/>
      <x:c r="V737" t="str"/>
      <x:c r="W737" t="str"/>
      <x:c r="X737" t="str"/>
      <x:c r="Y737" t="str">
        <x:v>https://data.ny.gov/Economic-Development/Active-Corporations-Beginning-1800/n9v6-gdp6</x:v>
      </x:c>
    </x:row>
    <x:row r="738">
      <x:c r="A738" t="str">
        <x:v>DOS-5-008</x:v>
      </x:c>
      <x:c r="B738" t="n">
        <x:v>5</x:v>
      </x:c>
      <x:c r="C738" t="str">
        <x:v>700 HICKSVILLE ROAD, BETHPAGE, NY, 11714, US</x:v>
      </x:c>
      <x:c r="D738" t="str">
        <x:v>PAIDGE STEEL LLC</x:v>
      </x:c>
      <x:c r="E738" t="str">
        <x:v>PAIDGE STEEL, LLC</x:v>
      </x:c>
      <x:c r="F738" t="str">
        <x:v>Active name match</x:v>
      </x:c>
      <x:c r="G738" t="n">
        <x:v>1</x:v>
      </x:c>
      <x:c r="H738" t="n">
        <x:v>1</x:v>
      </x:c>
      <x:c r="I738" t="str">
        <x:v>3396715</x:v>
      </x:c>
      <x:c r="J738" t="str">
        <x:v>PAIDGE STEEL LLC</x:v>
      </x:c>
      <x:c r="K738" s="55" t="n">
        <x:v>38933</x:v>
      </x:c>
      <x:c r="L738" t="str">
        <x:v>Nassau</x:v>
      </x:c>
      <x:c r="M738" t="str">
        <x:v>Delaware</x:v>
      </x:c>
      <x:c r="N738" t="str">
        <x:v>FOREIGN LIMITED LIABILITY COMPANY</x:v>
      </x:c>
      <x:c r="O738" t="str">
        <x:v>C/O STEEL EQUITIES</x:v>
      </x:c>
      <x:c r="P738" t="str">
        <x:v>999 SOUTH OYSTER BAY RD, SUITE 200, BETHPAGE, NY, 11714</x:v>
      </x:c>
      <x:c r="Q738" t="str"/>
      <x:c r="R738" t="str"/>
      <x:c r="S738" t="str"/>
      <x:c r="T738" t="str"/>
      <x:c r="U738" t="str"/>
      <x:c r="V738" t="str"/>
      <x:c r="W738" t="str"/>
      <x:c r="X738" t="str"/>
      <x:c r="Y738" t="str">
        <x:v>https://data.ny.gov/Economic-Development/Active-Corporations-Beginning-1800/n9v6-gdp6</x:v>
      </x:c>
    </x:row>
    <x:row r="739">
      <x:c r="A739" t="str">
        <x:v>DOS-5-008</x:v>
      </x:c>
      <x:c r="B739" t="n">
        <x:v>5</x:v>
      </x:c>
      <x:c r="C739" t="str">
        <x:v>700 HICKSVILLE ROAD, BETHPAGE, NY, 11714, US</x:v>
      </x:c>
      <x:c r="D739" t="str">
        <x:v>PERRY WEST HOLDINGS LLC</x:v>
      </x:c>
      <x:c r="E739" t="str">
        <x:v>PERRY WEST HOLDINGS, LLC</x:v>
      </x:c>
      <x:c r="F739" t="str">
        <x:v>Active name match</x:v>
      </x:c>
      <x:c r="G739" t="n">
        <x:v>1</x:v>
      </x:c>
      <x:c r="H739" t="n">
        <x:v>1</x:v>
      </x:c>
      <x:c r="I739" t="str">
        <x:v>4844690</x:v>
      </x:c>
      <x:c r="J739" t="str">
        <x:v>PERRY WEST HOLDINGS, LLC</x:v>
      </x:c>
      <x:c r="K739" s="55" t="n">
        <x:v>42312</x:v>
      </x:c>
      <x:c r="L739" t="str">
        <x:v>Nassau</x:v>
      </x:c>
      <x:c r="M739" t="str">
        <x:v>New York</x:v>
      </x:c>
      <x:c r="N739" t="str">
        <x:v>DOMESTIC LIMITED LIABILITY COMPANY</x:v>
      </x:c>
      <x:c r="O739" t="str">
        <x:v>PERRY WEST HOLDINGS, LLC</x:v>
      </x:c>
      <x:c r="P739" t="str">
        <x:v>999 SOUTH OYSTER BAY ROAD, SUITE 200, BETHPAGE, NY, 11714</x:v>
      </x:c>
      <x:c r="Q739" t="str"/>
      <x:c r="R739" t="str"/>
      <x:c r="S739" t="str"/>
      <x:c r="T739" t="str"/>
      <x:c r="U739" t="str"/>
      <x:c r="V739" t="str"/>
      <x:c r="W739" t="str"/>
      <x:c r="X739" t="str"/>
      <x:c r="Y739" t="str">
        <x:v>https://data.ny.gov/Economic-Development/Active-Corporations-Beginning-1800/n9v6-gdp6</x:v>
      </x:c>
    </x:row>
    <x:row r="740">
      <x:c r="A740" t="str">
        <x:v>DOS-5-008</x:v>
      </x:c>
      <x:c r="B740" t="n">
        <x:v>5</x:v>
      </x:c>
      <x:c r="C740" t="str">
        <x:v>700 HICKSVILLE ROAD, BETHPAGE, NY, 11714, US</x:v>
      </x:c>
      <x:c r="D740" t="str">
        <x:v>STEEL POINT LLC</x:v>
      </x:c>
      <x:c r="E740" t="str">
        <x:v>STEEL POINT, LLC</x:v>
      </x:c>
      <x:c r="F740" t="str">
        <x:v>Active name match</x:v>
      </x:c>
      <x:c r="G740" t="n">
        <x:v>1</x:v>
      </x:c>
      <x:c r="H740" t="n">
        <x:v>1</x:v>
      </x:c>
      <x:c r="I740" t="str">
        <x:v>4165665</x:v>
      </x:c>
      <x:c r="J740" t="str">
        <x:v>STEEL POINT, LLC</x:v>
      </x:c>
      <x:c r="K740" s="55" t="n">
        <x:v>40862</x:v>
      </x:c>
      <x:c r="L740" t="str">
        <x:v>Nassau</x:v>
      </x:c>
      <x:c r="M740" t="str">
        <x:v>Delaware</x:v>
      </x:c>
      <x:c r="N740" t="str">
        <x:v>FOREIGN LIMITED LIABILITY COMPANY</x:v>
      </x:c>
      <x:c r="O740" t="str">
        <x:v>C/O STEEL EQUITIES</x:v>
      </x:c>
      <x:c r="P740" t="str">
        <x:v>999 SOUTH OYSTER BAY RD, SUITE 200, BETHPAGE, NY, 11714</x:v>
      </x:c>
      <x:c r="Q740" t="str"/>
      <x:c r="R740" t="str"/>
      <x:c r="S740" t="str"/>
      <x:c r="T740" t="str"/>
      <x:c r="U740" t="str"/>
      <x:c r="V740" t="str"/>
      <x:c r="W740" t="str"/>
      <x:c r="X740" t="str"/>
      <x:c r="Y740" t="str">
        <x:v>https://data.ny.gov/Economic-Development/Active-Corporations-Beginning-1800/n9v6-gdp6</x:v>
      </x:c>
    </x:row>
    <x:row r="741">
      <x:c r="A741" t="str">
        <x:v>DOS-5-008</x:v>
      </x:c>
      <x:c r="B741" t="n">
        <x:v>5</x:v>
      </x:c>
      <x:c r="C741" t="str">
        <x:v>700 HICKSVILLE ROAD, BETHPAGE, NY, 11714, US</x:v>
      </x:c>
      <x:c r="D741" t="str">
        <x:v>STEEL TRIBUNE LLC</x:v>
      </x:c>
      <x:c r="E741" t="str">
        <x:v>STEEL TRIBUNE, LLC</x:v>
      </x:c>
      <x:c r="F741" t="str">
        <x:v>Active name match</x:v>
      </x:c>
      <x:c r="G741" t="n">
        <x:v>1</x:v>
      </x:c>
      <x:c r="H741" t="n">
        <x:v>1</x:v>
      </x:c>
      <x:c r="I741" t="str">
        <x:v>3845413</x:v>
      </x:c>
      <x:c r="J741" t="str">
        <x:v>STEEL TRIBUNE, LLC</x:v>
      </x:c>
      <x:c r="K741" s="55" t="n">
        <x:v>40039</x:v>
      </x:c>
      <x:c r="L741" t="str">
        <x:v>Nassau</x:v>
      </x:c>
      <x:c r="M741" t="str">
        <x:v>Delaware</x:v>
      </x:c>
      <x:c r="N741" t="str">
        <x:v>FOREIGN LIMITED LIABILITY COMPANY</x:v>
      </x:c>
      <x:c r="O741" t="str">
        <x:v>C/O STEEL EQUITIES</x:v>
      </x:c>
      <x:c r="P741" t="str">
        <x:v>999 SOUTH OYSTER BAY RD, SUITE 200, BETHPAGE, NY, 11714</x:v>
      </x:c>
      <x:c r="Q741" t="str"/>
      <x:c r="R741" t="str"/>
      <x:c r="S741" t="str"/>
      <x:c r="T741" t="str"/>
      <x:c r="U741" t="str"/>
      <x:c r="V741" t="str"/>
      <x:c r="W741" t="str"/>
      <x:c r="X741" t="str"/>
      <x:c r="Y741" t="str">
        <x:v>https://data.ny.gov/Economic-Development/Active-Corporations-Beginning-1800/n9v6-gdp6</x:v>
      </x:c>
    </x:row>
    <x:row r="742">
      <x:c r="A742" t="str">
        <x:v>DOS-5-009</x:v>
      </x:c>
      <x:c r="B742" t="n">
        <x:v>5</x:v>
      </x:c>
      <x:c r="C742" t="str">
        <x:v>217-02 JAMAICA AVENUE, QUEENS VILLAGE, NY, 11428, US</x:v>
      </x:c>
      <x:c r="D742" t="str">
        <x:v>1445 ST MARKS AVENUE LLC</x:v>
      </x:c>
      <x:c r="E742" t="str">
        <x:v>1445 ST. MARKS AVENUE LLC</x:v>
      </x:c>
      <x:c r="F742" t="str">
        <x:v>Active name match</x:v>
      </x:c>
      <x:c r="G742" t="n">
        <x:v>1</x:v>
      </x:c>
      <x:c r="H742" t="n">
        <x:v>0</x:v>
      </x:c>
      <x:c r="I742" t="str">
        <x:v>3436985</x:v>
      </x:c>
      <x:c r="J742" t="str">
        <x:v>1445 ST. MARKS AVENUE, LLC</x:v>
      </x:c>
      <x:c r="K742" s="55" t="n">
        <x:v>39034</x:v>
      </x:c>
      <x:c r="L742" t="str">
        <x:v>Suffolk</x:v>
      </x:c>
      <x:c r="M742" t="str">
        <x:v>New York</x:v>
      </x:c>
      <x:c r="N742" t="str">
        <x:v>DOMESTIC LIMITED LIABILITY COMPANY</x:v>
      </x:c>
      <x:c r="O742" t="str">
        <x:v>1445 ST. MARKS AVENUE, LLC</x:v>
      </x:c>
      <x:c r="P742" t="str">
        <x:v>1328 NEW YORK AVENUE, HUNTINGTON STATION, NY, 11746</x:v>
      </x:c>
      <x:c r="Q742" t="str"/>
      <x:c r="R742" t="str"/>
      <x:c r="S742" t="str"/>
      <x:c r="T742" t="str"/>
      <x:c r="U742" t="str"/>
      <x:c r="V742" t="str"/>
      <x:c r="W742" t="str"/>
      <x:c r="X742" t="str"/>
      <x:c r="Y742" t="str">
        <x:v>https://data.ny.gov/Economic-Development/Active-Corporations-Beginning-1800/n9v6-gdp6</x:v>
      </x:c>
    </x:row>
    <x:row r="743">
      <x:c r="A743" t="str">
        <x:v>DOS-5-009</x:v>
      </x:c>
      <x:c r="B743" t="n">
        <x:v>5</x:v>
      </x:c>
      <x:c r="C743" t="str">
        <x:v>217-02 JAMAICA AVENUE, QUEENS VILLAGE, NY, 11428, US</x:v>
      </x:c>
      <x:c r="D743" t="str">
        <x:v>BED STUY HEIGHTS LLC</x:v>
      </x:c>
      <x:c r="E743" t="str">
        <x:v>BED-STUY HEIGHTS LLC</x:v>
      </x:c>
      <x:c r="F743" t="str">
        <x:v>Active name match</x:v>
      </x:c>
      <x:c r="G743" t="n">
        <x:v>1</x:v>
      </x:c>
      <x:c r="H743" t="n">
        <x:v>1</x:v>
      </x:c>
      <x:c r="I743" t="str">
        <x:v>2975986</x:v>
      </x:c>
      <x:c r="J743" t="str">
        <x:v>BED-STUY HEIGHTS LLC</x:v>
      </x:c>
      <x:c r="K743" s="55" t="n">
        <x:v>37937</x:v>
      </x:c>
      <x:c r="L743" t="str">
        <x:v>Kings</x:v>
      </x:c>
      <x:c r="M743" t="str">
        <x:v>New York</x:v>
      </x:c>
      <x:c r="N743" t="str">
        <x:v>DOMESTIC LIMITED LIABILITY COMPANY</x:v>
      </x:c>
      <x:c r="O743" t="str">
        <x:v>C/O SHINDA MANAGEMENT CORP.</x:v>
      </x:c>
      <x:c r="P743" t="str">
        <x:v>221-10 JAMAICA AVENUE, 3RD FLR, QUEENS VILLAGE, NY, 11428</x:v>
      </x:c>
      <x:c r="Q743" t="str"/>
      <x:c r="R743" t="str"/>
      <x:c r="S743" t="str"/>
      <x:c r="T743" t="str"/>
      <x:c r="U743" t="str"/>
      <x:c r="V743" t="str"/>
      <x:c r="W743" t="str"/>
      <x:c r="X743" t="str"/>
      <x:c r="Y743" t="str">
        <x:v>https://data.ny.gov/Economic-Development/Active-Corporations-Beginning-1800/n9v6-gdp6</x:v>
      </x:c>
    </x:row>
    <x:row r="744">
      <x:c r="A744" t="str">
        <x:v>DOS-5-009</x:v>
      </x:c>
      <x:c r="B744" t="n">
        <x:v>5</x:v>
      </x:c>
      <x:c r="C744" t="str">
        <x:v>217-02 JAMAICA AVENUE, QUEENS VILLAGE, NY, 11428, US</x:v>
      </x:c>
      <x:c r="D744" t="str">
        <x:v>CHESFORD ESTATES LLC</x:v>
      </x:c>
      <x:c r="E744" t="str">
        <x:v>CHESFORD ESTATES LLC</x:v>
      </x:c>
      <x:c r="F744" t="str">
        <x:v>Active name match</x:v>
      </x:c>
      <x:c r="G744" t="n">
        <x:v>1</x:v>
      </x:c>
      <x:c r="H744" t="n">
        <x:v>1</x:v>
      </x:c>
      <x:c r="I744" t="str">
        <x:v>3370356</x:v>
      </x:c>
      <x:c r="J744" t="str">
        <x:v>CHESFORD ESTATES LLC</x:v>
      </x:c>
      <x:c r="K744" s="55" t="n">
        <x:v>38869</x:v>
      </x:c>
      <x:c r="L744" t="str">
        <x:v>Suffolk</x:v>
      </x:c>
      <x:c r="M744" t="str">
        <x:v>New York</x:v>
      </x:c>
      <x:c r="N744" t="str">
        <x:v>DOMESTIC LIMITED LIABILITY COMPANY</x:v>
      </x:c>
      <x:c r="O744" t="str">
        <x:v>CHESFORD ESTATES LLC</x:v>
      </x:c>
      <x:c r="P744" t="str">
        <x:v>221-10 JAMAICA AVENUE, 3RD FLR, QUEENS VILLAGE, NY, 11428</x:v>
      </x:c>
      <x:c r="Q744" t="str"/>
      <x:c r="R744" t="str"/>
      <x:c r="S744" t="str"/>
      <x:c r="T744" t="str"/>
      <x:c r="U744" t="str"/>
      <x:c r="V744" t="str"/>
      <x:c r="W744" t="str"/>
      <x:c r="X744" t="str"/>
      <x:c r="Y744" t="str">
        <x:v>https://data.ny.gov/Economic-Development/Active-Corporations-Beginning-1800/n9v6-gdp6</x:v>
      </x:c>
    </x:row>
    <x:row r="745">
      <x:c r="A745" t="str">
        <x:v>DOS-5-009</x:v>
      </x:c>
      <x:c r="B745" t="n">
        <x:v>5</x:v>
      </x:c>
      <x:c r="C745" t="str">
        <x:v>217-02 JAMAICA AVENUE, QUEENS VILLAGE, NY, 11428, US</x:v>
      </x:c>
      <x:c r="D745" t="str">
        <x:v>EMMANUEL 203K LLC</x:v>
      </x:c>
      <x:c r="E745" t="str">
        <x:v>EMMANUEL 203K, LLC</x:v>
      </x:c>
      <x:c r="F745" t="str">
        <x:v>Active name match</x:v>
      </x:c>
      <x:c r="G745" t="n">
        <x:v>1</x:v>
      </x:c>
      <x:c r="H745" t="n">
        <x:v>1</x:v>
      </x:c>
      <x:c r="I745" t="str">
        <x:v>2949501</x:v>
      </x:c>
      <x:c r="J745" t="str">
        <x:v>EMMANUEL 203K, LLC</x:v>
      </x:c>
      <x:c r="K745" s="55" t="n">
        <x:v>37867</x:v>
      </x:c>
      <x:c r="L745" t="str">
        <x:v>Kings</x:v>
      </x:c>
      <x:c r="M745" t="str">
        <x:v>New York</x:v>
      </x:c>
      <x:c r="N745" t="str">
        <x:v>DOMESTIC LIMITED LIABILITY COMPANY</x:v>
      </x:c>
      <x:c r="O745" t="str">
        <x:v>EMMANUEL 203K, LLC</x:v>
      </x:c>
      <x:c r="P745" t="str">
        <x:v>221-10 JAMAICA AVE, LL1, QUEENS VILLAGE, NY, 11428</x:v>
      </x:c>
      <x:c r="Q745" t="str"/>
      <x:c r="R745" t="str"/>
      <x:c r="S745" t="str"/>
      <x:c r="T745" t="str"/>
      <x:c r="U745" t="str"/>
      <x:c r="V745" t="str"/>
      <x:c r="W745" t="str"/>
      <x:c r="X745" t="str"/>
      <x:c r="Y745" t="str">
        <x:v>https://data.ny.gov/Economic-Development/Active-Corporations-Beginning-1800/n9v6-gdp6</x:v>
      </x:c>
    </x:row>
    <x:row r="746">
      <x:c r="A746" t="str">
        <x:v>DOS-5-009</x:v>
      </x:c>
      <x:c r="B746" t="n">
        <x:v>5</x:v>
      </x:c>
      <x:c r="C746" t="str">
        <x:v>217-02 JAMAICA AVENUE, QUEENS VILLAGE, NY, 11428, US</x:v>
      </x:c>
      <x:c r="D746" t="str">
        <x:v>GWB REALTY ASSOCIATES LLC</x:v>
      </x:c>
      <x:c r="E746" t="str">
        <x:v>GWB REALTY ASSOCIATES, LLC</x:v>
      </x:c>
      <x:c r="F746" t="str">
        <x:v>No active DOS match</x:v>
      </x:c>
      <x:c r="G746" t="n">
        <x:v>0</x:v>
      </x:c>
      <x:c r="H746" t="n">
        <x:v>0</x:v>
      </x:c>
      <x:c r="I746" t="str"/>
      <x:c r="J746" t="str"/>
      <x:c r="K746" s="55" t="str"/>
      <x:c r="L746" t="str"/>
      <x:c r="M746" t="str"/>
      <x:c r="N746" t="str"/>
      <x:c r="O746" t="str"/>
      <x:c r="P746" t="str"/>
      <x:c r="Q746" t="str"/>
      <x:c r="R746" t="str"/>
      <x:c r="S746" t="str"/>
      <x:c r="T746" t="str"/>
      <x:c r="U746" t="str"/>
      <x:c r="V746" t="str"/>
      <x:c r="W746" t="str"/>
      <x:c r="X746" t="str"/>
      <x:c r="Y746" t="str">
        <x:v>https://data.ny.gov/Economic-Development/Active-Corporations-Beginning-1800/n9v6-gdp6</x:v>
      </x:c>
    </x:row>
    <x:row r="747">
      <x:c r="A747" t="str">
        <x:v>DOS-5-010</x:v>
      </x:c>
      <x:c r="B747" t="n">
        <x:v>5</x:v>
      </x:c>
      <x:c r="C747" t="str">
        <x:v>34-30 COLLINS PLACE, FLUSHING, NY, 11354, US</x:v>
      </x:c>
      <x:c r="D747" t="str">
        <x:v>90 75 SUTPHIN REALTY LLC</x:v>
      </x:c>
      <x:c r="E747" t="str">
        <x:v>90-75 SUTPHIN REALTY LLC</x:v>
      </x:c>
      <x:c r="F747" t="str">
        <x:v>Address-corroborated active match</x:v>
      </x:c>
      <x:c r="G747" t="n">
        <x:v>1</x:v>
      </x:c>
      <x:c r="H747" t="n">
        <x:v>2</x:v>
      </x:c>
      <x:c r="I747" t="str">
        <x:v>4543052</x:v>
      </x:c>
      <x:c r="J747" t="str">
        <x:v>90-75 SUTPHIN REALTY LLC</x:v>
      </x:c>
      <x:c r="K747" s="55" t="n">
        <x:v>41710</x:v>
      </x:c>
      <x:c r="L747" t="str">
        <x:v>Queens</x:v>
      </x:c>
      <x:c r="M747" t="str">
        <x:v>New York</x:v>
      </x:c>
      <x:c r="N747" t="str">
        <x:v>DOMESTIC LIMITED LIABILITY COMPANY</x:v>
      </x:c>
      <x:c r="O747" t="str">
        <x:v>90-75 SUTPHIN REALTY LLC</x:v>
      </x:c>
      <x:c r="P747" t="str">
        <x:v>34-30 COLLINS PLACE, FLUSHING, NY, 11354</x:v>
      </x:c>
      <x:c r="Q747" t="str"/>
      <x:c r="R747" t="str"/>
      <x:c r="S747" t="str"/>
      <x:c r="T747" t="str"/>
      <x:c r="U747" t="str"/>
      <x:c r="V747" t="str"/>
      <x:c r="W747" t="str"/>
      <x:c r="X747" t="str"/>
      <x:c r="Y747" t="str">
        <x:v>https://data.ny.gov/Economic-Development/Active-Corporations-Beginning-1800/n9v6-gdp6</x:v>
      </x:c>
    </x:row>
    <x:row r="748">
      <x:c r="A748" t="str">
        <x:v>DOS-5-010</x:v>
      </x:c>
      <x:c r="B748" t="n">
        <x:v>5</x:v>
      </x:c>
      <x:c r="C748" t="str">
        <x:v>34-30 COLLINS PLACE, FLUSHING, NY, 11354, US</x:v>
      </x:c>
      <x:c r="D748" t="str">
        <x:v>C AND W 215 LLC</x:v>
      </x:c>
      <x:c r="E748" t="str">
        <x:v>C &amp; W 215 LLC</x:v>
      </x:c>
      <x:c r="F748" t="str">
        <x:v>Active name match</x:v>
      </x:c>
      <x:c r="G748" t="n">
        <x:v>1</x:v>
      </x:c>
      <x:c r="H748" t="n">
        <x:v>0</x:v>
      </x:c>
      <x:c r="I748" t="str">
        <x:v>5224833</x:v>
      </x:c>
      <x:c r="J748" t="str">
        <x:v>C &amp; W 215 LLC</x:v>
      </x:c>
      <x:c r="K748" s="55" t="n">
        <x:v>43034</x:v>
      </x:c>
      <x:c r="L748" t="str">
        <x:v>Queens</x:v>
      </x:c>
      <x:c r="M748" t="str">
        <x:v>New York</x:v>
      </x:c>
      <x:c r="N748" t="str">
        <x:v>DOMESTIC LIMITED LIABILITY COMPANY</x:v>
      </x:c>
      <x:c r="O748" t="str">
        <x:v>C &amp; W 215 LLC</x:v>
      </x:c>
      <x:c r="P748" t="str">
        <x:v>71-59 160 STREET CF2, FRESH MEADOWS, NY, 11365</x:v>
      </x:c>
      <x:c r="Q748" t="str"/>
      <x:c r="R748" t="str"/>
      <x:c r="S748" t="str"/>
      <x:c r="T748" t="str"/>
      <x:c r="U748" t="str"/>
      <x:c r="V748" t="str"/>
      <x:c r="W748" t="str"/>
      <x:c r="X748" t="str"/>
      <x:c r="Y748" t="str">
        <x:v>https://data.ny.gov/Economic-Development/Active-Corporations-Beginning-1800/n9v6-gdp6</x:v>
      </x:c>
    </x:row>
    <x:row r="749">
      <x:c r="A749" t="str">
        <x:v>DOS-5-010</x:v>
      </x:c>
      <x:c r="B749" t="n">
        <x:v>5</x:v>
      </x:c>
      <x:c r="C749" t="str">
        <x:v>34-30 COLLINS PLACE, FLUSHING, NY, 11354, US</x:v>
      </x:c>
      <x:c r="D749" t="str">
        <x:v>EB53 LLC</x:v>
      </x:c>
      <x:c r="E749" t="str">
        <x:v>EB53 LLC</x:v>
      </x:c>
      <x:c r="F749" t="str">
        <x:v>Active name match</x:v>
      </x:c>
      <x:c r="G749" t="n">
        <x:v>1</x:v>
      </x:c>
      <x:c r="H749" t="n">
        <x:v>1</x:v>
      </x:c>
      <x:c r="I749" t="str">
        <x:v>5413044</x:v>
      </x:c>
      <x:c r="J749" t="str">
        <x:v>EB53 LLC</x:v>
      </x:c>
      <x:c r="K749" s="55" t="n">
        <x:v>43363</x:v>
      </x:c>
      <x:c r="L749" t="str">
        <x:v>Queens</x:v>
      </x:c>
      <x:c r="M749" t="str">
        <x:v>New York</x:v>
      </x:c>
      <x:c r="N749" t="str">
        <x:v>DOMESTIC LIMITED LIABILITY COMPANY</x:v>
      </x:c>
      <x:c r="O749" t="str">
        <x:v>EB53 LLC</x:v>
      </x:c>
      <x:c r="P749" t="str">
        <x:v>35-19 Leavitt Street CF1, FLUSHING, NY, 11354</x:v>
      </x:c>
      <x:c r="Q749" t="str"/>
      <x:c r="R749" t="str"/>
      <x:c r="S749" t="str"/>
      <x:c r="T749" t="str"/>
      <x:c r="U749" t="str"/>
      <x:c r="V749" t="str"/>
      <x:c r="W749" t="str"/>
      <x:c r="X749" t="str"/>
      <x:c r="Y749" t="str">
        <x:v>https://data.ny.gov/Economic-Development/Active-Corporations-Beginning-1800/n9v6-gdp6</x:v>
      </x:c>
    </x:row>
    <x:row r="750">
      <x:c r="A750" t="str">
        <x:v>DOS-5-010</x:v>
      </x:c>
      <x:c r="B750" t="n">
        <x:v>5</x:v>
      </x:c>
      <x:c r="C750" t="str">
        <x:v>34-30 COLLINS PLACE, FLUSHING, NY, 11354, US</x:v>
      </x:c>
      <x:c r="D750" t="str">
        <x:v>NYC HENRY STREET GROUP LLC</x:v>
      </x:c>
      <x:c r="E750" t="str">
        <x:v>NYC HENRY STREET GROUP LLC</x:v>
      </x:c>
      <x:c r="F750" t="str">
        <x:v>Active name match</x:v>
      </x:c>
      <x:c r="G750" t="n">
        <x:v>1</x:v>
      </x:c>
      <x:c r="H750" t="n">
        <x:v>1</x:v>
      </x:c>
      <x:c r="I750" t="str">
        <x:v>5344133</x:v>
      </x:c>
      <x:c r="J750" t="str">
        <x:v>NYC HENRY STREET GROUP LLC</x:v>
      </x:c>
      <x:c r="K750" s="55" t="n">
        <x:v>43238</x:v>
      </x:c>
      <x:c r="L750" t="str">
        <x:v>Queens</x:v>
      </x:c>
      <x:c r="M750" t="str">
        <x:v>New York</x:v>
      </x:c>
      <x:c r="N750" t="str">
        <x:v>DOMESTIC LIMITED LIABILITY COMPANY</x:v>
      </x:c>
      <x:c r="O750" t="str">
        <x:v>NYC HENRY STREET GROUP LLC</x:v>
      </x:c>
      <x:c r="P750" t="str">
        <x:v>35-19 Leavitt Street CF1, FLUSHING, NY, 11354</x:v>
      </x:c>
      <x:c r="Q750" t="str"/>
      <x:c r="R750" t="str"/>
      <x:c r="S750" t="str"/>
      <x:c r="T750" t="str"/>
      <x:c r="U750" t="str"/>
      <x:c r="V750" t="str"/>
      <x:c r="W750" t="str"/>
      <x:c r="X750" t="str"/>
      <x:c r="Y750" t="str">
        <x:v>https://data.ny.gov/Economic-Development/Active-Corporations-Beginning-1800/n9v6-gdp6</x:v>
      </x:c>
    </x:row>
    <x:row r="751">
      <x:c r="A751" t="str">
        <x:v>DOS-5-010</x:v>
      </x:c>
      <x:c r="B751" t="n">
        <x:v>5</x:v>
      </x:c>
      <x:c r="C751" t="str">
        <x:v>34-30 COLLINS PLACE, FLUSHING, NY, 11354, US</x:v>
      </x:c>
      <x:c r="D751" t="str">
        <x:v>W38 BOUTIQUE INN LLC</x:v>
      </x:c>
      <x:c r="E751" t="str">
        <x:v>W38 BOUTIQUE INN LLC</x:v>
      </x:c>
      <x:c r="F751" t="str">
        <x:v>Active name match</x:v>
      </x:c>
      <x:c r="G751" t="n">
        <x:v>1</x:v>
      </x:c>
      <x:c r="H751" t="n">
        <x:v>0</x:v>
      </x:c>
      <x:c r="I751" t="str">
        <x:v>4446552</x:v>
      </x:c>
      <x:c r="J751" t="str">
        <x:v>W38 BOUTIQUE INN LLC</x:v>
      </x:c>
      <x:c r="K751" s="55" t="n">
        <x:v>41502</x:v>
      </x:c>
      <x:c r="L751" t="str">
        <x:v>Queens</x:v>
      </x:c>
      <x:c r="M751" t="str">
        <x:v>New York</x:v>
      </x:c>
      <x:c r="N751" t="str">
        <x:v>DOMESTIC LIMITED LIABILITY COMPANY</x:v>
      </x:c>
      <x:c r="O751" t="str">
        <x:v>W38 BOUTIQUE INN LLC</x:v>
      </x:c>
      <x:c r="P751" t="str">
        <x:v>333 W 38th Street, New York, NY, 10018</x:v>
      </x:c>
      <x:c r="Q751" t="str"/>
      <x:c r="R751" t="str"/>
      <x:c r="S751" t="str"/>
      <x:c r="T751" t="str"/>
      <x:c r="U751" t="str"/>
      <x:c r="V751" t="str"/>
      <x:c r="W751" t="str"/>
      <x:c r="X751" t="str"/>
      <x:c r="Y751" t="str">
        <x:v>https://data.ny.gov/Economic-Development/Active-Corporations-Beginning-1800/n9v6-gdp6</x:v>
      </x:c>
    </x:row>
    <x:row r="752">
      <x:c r="A752" t="str">
        <x:v>DOS-5-011</x:v>
      </x:c>
      <x:c r="B752" t="n">
        <x:v>5</x:v>
      </x:c>
      <x:c r="C752" t="str">
        <x:v>70-26 QUEENS BOULEVARD, UNIT 6A, WOODSIDE, NY, 11377, US</x:v>
      </x:c>
      <x:c r="D752" t="str">
        <x:v>NORLED 3A LLC</x:v>
      </x:c>
      <x:c r="E752" t="str">
        <x:v>NORLED 3A LLC</x:v>
      </x:c>
      <x:c r="F752" t="str">
        <x:v>Active name match</x:v>
      </x:c>
      <x:c r="G752" t="n">
        <x:v>1</x:v>
      </x:c>
      <x:c r="H752" t="n">
        <x:v>1</x:v>
      </x:c>
      <x:c r="I752" t="str">
        <x:v>7210568</x:v>
      </x:c>
      <x:c r="J752" t="str">
        <x:v>NORLED 3A LLC</x:v>
      </x:c>
      <x:c r="K752" s="55" t="n">
        <x:v>45281</x:v>
      </x:c>
      <x:c r="L752" t="str">
        <x:v>Queens</x:v>
      </x:c>
      <x:c r="M752" t="str">
        <x:v>New York</x:v>
      </x:c>
      <x:c r="N752" t="str">
        <x:v>DOMESTIC LIMITED LIABILITY COMPANY</x:v>
      </x:c>
      <x:c r="O752" t="str">
        <x:v>Norled 3A LLC</x:v>
      </x:c>
      <x:c r="P752" t="str">
        <x:v>7032 Queens BLVD Suite 6A, Flushing, NY, 11377</x:v>
      </x:c>
      <x:c r="Q752" t="str"/>
      <x:c r="R752" t="str"/>
      <x:c r="S752" t="str"/>
      <x:c r="T752" t="str"/>
      <x:c r="U752" t="str"/>
      <x:c r="V752" t="str"/>
      <x:c r="W752" t="str"/>
      <x:c r="X752" t="str"/>
      <x:c r="Y752" t="str">
        <x:v>https://data.ny.gov/Economic-Development/Active-Corporations-Beginning-1800/n9v6-gdp6</x:v>
      </x:c>
    </x:row>
    <x:row r="753">
      <x:c r="A753" t="str">
        <x:v>DOS-5-011</x:v>
      </x:c>
      <x:c r="B753" t="n">
        <x:v>5</x:v>
      </x:c>
      <x:c r="C753" t="str">
        <x:v>70-26 QUEENS BOULEVARD, UNIT 6A, WOODSIDE, NY, 11377, US</x:v>
      </x:c>
      <x:c r="D753" t="str">
        <x:v>NORLED 4A LLC</x:v>
      </x:c>
      <x:c r="E753" t="str">
        <x:v>NORLED 4A LLC</x:v>
      </x:c>
      <x:c r="F753" t="str">
        <x:v>Active name match</x:v>
      </x:c>
      <x:c r="G753" t="n">
        <x:v>1</x:v>
      </x:c>
      <x:c r="H753" t="n">
        <x:v>1</x:v>
      </x:c>
      <x:c r="I753" t="str">
        <x:v>7210577</x:v>
      </x:c>
      <x:c r="J753" t="str">
        <x:v>NORLED 4A LLC</x:v>
      </x:c>
      <x:c r="K753" s="55" t="n">
        <x:v>45281</x:v>
      </x:c>
      <x:c r="L753" t="str">
        <x:v>Queens</x:v>
      </x:c>
      <x:c r="M753" t="str">
        <x:v>New York</x:v>
      </x:c>
      <x:c r="N753" t="str">
        <x:v>DOMESTIC LIMITED LIABILITY COMPANY</x:v>
      </x:c>
      <x:c r="O753" t="str">
        <x:v>Jianxin Lin</x:v>
      </x:c>
      <x:c r="P753" t="str">
        <x:v>7032 Queens BLVD Suite 6A, Flushing, NY, 11377</x:v>
      </x:c>
      <x:c r="Q753" t="str"/>
      <x:c r="R753" t="str"/>
      <x:c r="S753" t="str"/>
      <x:c r="T753" t="str"/>
      <x:c r="U753" t="str"/>
      <x:c r="V753" t="str"/>
      <x:c r="W753" t="str"/>
      <x:c r="X753" t="str"/>
      <x:c r="Y753" t="str">
        <x:v>https://data.ny.gov/Economic-Development/Active-Corporations-Beginning-1800/n9v6-gdp6</x:v>
      </x:c>
    </x:row>
    <x:row r="754">
      <x:c r="A754" t="str">
        <x:v>DOS-5-011</x:v>
      </x:c>
      <x:c r="B754" t="n">
        <x:v>5</x:v>
      </x:c>
      <x:c r="C754" t="str">
        <x:v>70-26 QUEENS BOULEVARD, UNIT 6A, WOODSIDE, NY, 11377, US</x:v>
      </x:c>
      <x:c r="D754" t="str">
        <x:v>NORLED 6A LLC</x:v>
      </x:c>
      <x:c r="E754" t="str">
        <x:v>NORLED 6A LLC</x:v>
      </x:c>
      <x:c r="F754" t="str">
        <x:v>Active name match</x:v>
      </x:c>
      <x:c r="G754" t="n">
        <x:v>1</x:v>
      </x:c>
      <x:c r="H754" t="n">
        <x:v>0</x:v>
      </x:c>
      <x:c r="I754" t="str">
        <x:v>7210582</x:v>
      </x:c>
      <x:c r="J754" t="str">
        <x:v>NORLED 6A LLC</x:v>
      </x:c>
      <x:c r="K754" s="55" t="n">
        <x:v>45281</x:v>
      </x:c>
      <x:c r="L754" t="str">
        <x:v>Queens</x:v>
      </x:c>
      <x:c r="M754" t="str">
        <x:v>New York</x:v>
      </x:c>
      <x:c r="N754" t="str">
        <x:v>DOMESTIC LIMITED LIABILITY COMPANY</x:v>
      </x:c>
      <x:c r="O754" t="str">
        <x:v>Norled 6A LLC</x:v>
      </x:c>
      <x:c r="P754" t="str">
        <x:v>7032 Queens BLVD Suite 6A, Flushing, NY, 11354</x:v>
      </x:c>
      <x:c r="Q754" t="str"/>
      <x:c r="R754" t="str"/>
      <x:c r="S754" t="str"/>
      <x:c r="T754" t="str"/>
      <x:c r="U754" t="str"/>
      <x:c r="V754" t="str"/>
      <x:c r="W754" t="str"/>
      <x:c r="X754" t="str"/>
      <x:c r="Y754" t="str">
        <x:v>https://data.ny.gov/Economic-Development/Active-Corporations-Beginning-1800/n9v6-gdp6</x:v>
      </x:c>
    </x:row>
    <x:row r="755">
      <x:c r="A755" t="str">
        <x:v>DOS-5-011</x:v>
      </x:c>
      <x:c r="B755" t="n">
        <x:v>5</x:v>
      </x:c>
      <x:c r="C755" t="str">
        <x:v>70-26 QUEENS BOULEVARD, UNIT 6A, WOODSIDE, NY, 11377, US</x:v>
      </x:c>
      <x:c r="D755" t="str">
        <x:v>NORLED 7B LLC</x:v>
      </x:c>
      <x:c r="E755" t="str">
        <x:v>NORLED 7B LLC</x:v>
      </x:c>
      <x:c r="F755" t="str">
        <x:v>Active name match</x:v>
      </x:c>
      <x:c r="G755" t="n">
        <x:v>1</x:v>
      </x:c>
      <x:c r="H755" t="n">
        <x:v>1</x:v>
      </x:c>
      <x:c r="I755" t="str">
        <x:v>7210591</x:v>
      </x:c>
      <x:c r="J755" t="str">
        <x:v>NORLED 7B LLC</x:v>
      </x:c>
      <x:c r="K755" s="55" t="n">
        <x:v>45281</x:v>
      </x:c>
      <x:c r="L755" t="str">
        <x:v>Queens</x:v>
      </x:c>
      <x:c r="M755" t="str">
        <x:v>New York</x:v>
      </x:c>
      <x:c r="N755" t="str">
        <x:v>DOMESTIC LIMITED LIABILITY COMPANY</x:v>
      </x:c>
      <x:c r="O755" t="str">
        <x:v>Norled 7B LLC</x:v>
      </x:c>
      <x:c r="P755" t="str">
        <x:v>7032 Queens BLVD, Flushing, NY, 11377</x:v>
      </x:c>
      <x:c r="Q755" t="str"/>
      <x:c r="R755" t="str"/>
      <x:c r="S755" t="str"/>
      <x:c r="T755" t="str"/>
      <x:c r="U755" t="str"/>
      <x:c r="V755" t="str"/>
      <x:c r="W755" t="str"/>
      <x:c r="X755" t="str"/>
      <x:c r="Y755" t="str">
        <x:v>https://data.ny.gov/Economic-Development/Active-Corporations-Beginning-1800/n9v6-gdp6</x:v>
      </x:c>
    </x:row>
    <x:row r="756">
      <x:c r="A756" t="str">
        <x:v>DOS-5-011</x:v>
      </x:c>
      <x:c r="B756" t="n">
        <x:v>5</x:v>
      </x:c>
      <x:c r="C756" t="str">
        <x:v>70-26 QUEENS BOULEVARD, UNIT 6A, WOODSIDE, NY, 11377, US</x:v>
      </x:c>
      <x:c r="D756" t="str">
        <x:v>NORLED ENTERPRISE LLC</x:v>
      </x:c>
      <x:c r="E756" t="str">
        <x:v>NORLED ENTERPRISE LLC</x:v>
      </x:c>
      <x:c r="F756" t="str">
        <x:v>Active name match</x:v>
      </x:c>
      <x:c r="G756" t="n">
        <x:v>1</x:v>
      </x:c>
      <x:c r="H756" t="n">
        <x:v>1</x:v>
      </x:c>
      <x:c r="I756" t="str">
        <x:v>7324517</x:v>
      </x:c>
      <x:c r="J756" t="str">
        <x:v>NORLED ENTERPRISE LLC</x:v>
      </x:c>
      <x:c r="K756" s="55" t="n">
        <x:v>45421</x:v>
      </x:c>
      <x:c r="L756" t="str">
        <x:v>Queens</x:v>
      </x:c>
      <x:c r="M756" t="str">
        <x:v>New York</x:v>
      </x:c>
      <x:c r="N756" t="str">
        <x:v>DOMESTIC LIMITED LIABILITY COMPANY</x:v>
      </x:c>
      <x:c r="O756" t="str">
        <x:v>Norled Enterprise LLC</x:v>
      </x:c>
      <x:c r="P756" t="str">
        <x:v>7032 Queens Blvd #6A, Woodside, NY, 11377</x:v>
      </x:c>
      <x:c r="Q756" t="str"/>
      <x:c r="R756" t="str"/>
      <x:c r="S756" t="str"/>
      <x:c r="T756" t="str"/>
      <x:c r="U756" t="str"/>
      <x:c r="V756" t="str"/>
      <x:c r="W756" t="str"/>
      <x:c r="X756" t="str"/>
      <x:c r="Y756" t="str">
        <x:v>https://data.ny.gov/Economic-Development/Active-Corporations-Beginning-1800/n9v6-gdp6</x:v>
      </x:c>
    </x:row>
    <x:row r="757">
      <x:c r="A757" t="str">
        <x:v>DOS-5-012</x:v>
      </x:c>
      <x:c r="B757" t="n">
        <x:v>5</x:v>
      </x:c>
      <x:c r="C757" t="str">
        <x:v>1208 WYATT STREET, BRONX, NY, 10460, US</x:v>
      </x:c>
      <x:c r="D757" t="str">
        <x:v>390 MORRIS PARK AVENUE LLC</x:v>
      </x:c>
      <x:c r="E757" t="str">
        <x:v>390 MORRIS PARK AVENUE LLC</x:v>
      </x:c>
      <x:c r="F757" t="str">
        <x:v>Active name match</x:v>
      </x:c>
      <x:c r="G757" t="n">
        <x:v>1</x:v>
      </x:c>
      <x:c r="H757" t="n">
        <x:v>0</x:v>
      </x:c>
      <x:c r="I757" t="str">
        <x:v>3754305</x:v>
      </x:c>
      <x:c r="J757" t="str">
        <x:v>390 MORRIS PARK AVENUE LLC</x:v>
      </x:c>
      <x:c r="K757" s="55" t="n">
        <x:v>39800</x:v>
      </x:c>
      <x:c r="L757" t="str">
        <x:v>Westchester</x:v>
      </x:c>
      <x:c r="M757" t="str">
        <x:v>New York</x:v>
      </x:c>
      <x:c r="N757" t="str">
        <x:v>DOMESTIC LIMITED LIABILITY COMPANY</x:v>
      </x:c>
      <x:c r="O757" t="str">
        <x:v>390 MORRIS PARK AVENUE LLC</x:v>
      </x:c>
      <x:c r="P757" t="str">
        <x:v>287 Bowman avenue, Suite 301, PURCHASE, NY, 10577</x:v>
      </x:c>
      <x:c r="Q757" t="str"/>
      <x:c r="R757" t="str"/>
      <x:c r="S757" t="str"/>
      <x:c r="T757" t="str"/>
      <x:c r="U757" t="str"/>
      <x:c r="V757" t="str"/>
      <x:c r="W757" t="str"/>
      <x:c r="X757" t="str"/>
      <x:c r="Y757" t="str">
        <x:v>https://data.ny.gov/Economic-Development/Active-Corporations-Beginning-1800/n9v6-gdp6</x:v>
      </x:c>
    </x:row>
    <x:row r="758">
      <x:c r="A758" t="str">
        <x:v>DOS-5-012</x:v>
      </x:c>
      <x:c r="B758" t="n">
        <x:v>5</x:v>
      </x:c>
      <x:c r="C758" t="str">
        <x:v>1208 WYATT STREET, BRONX, NY, 10460, US</x:v>
      </x:c>
      <x:c r="D758" t="str">
        <x:v>535 BRUSH AVENUE LLC</x:v>
      </x:c>
      <x:c r="E758" t="str">
        <x:v>535 BRUSH AVENUE LLC</x:v>
      </x:c>
      <x:c r="F758" t="str">
        <x:v>Active name match</x:v>
      </x:c>
      <x:c r="G758" t="n">
        <x:v>1</x:v>
      </x:c>
      <x:c r="H758" t="n">
        <x:v>0</x:v>
      </x:c>
      <x:c r="I758" t="str">
        <x:v>3203592</x:v>
      </x:c>
      <x:c r="J758" t="str">
        <x:v>535 BRUSH AVENUE LLC</x:v>
      </x:c>
      <x:c r="K758" s="55" t="n">
        <x:v>38483</x:v>
      </x:c>
      <x:c r="L758" t="str">
        <x:v>Westchester</x:v>
      </x:c>
      <x:c r="M758" t="str">
        <x:v>New York</x:v>
      </x:c>
      <x:c r="N758" t="str">
        <x:v>DOMESTIC LIMITED LIABILITY COMPANY</x:v>
      </x:c>
      <x:c r="O758" t="str">
        <x:v>535 BRUSH AVENUE, LLC</x:v>
      </x:c>
      <x:c r="P758" t="str">
        <x:v>287 Bowman Avenue, Suite 301, PURCHASE, NY, 10577</x:v>
      </x:c>
      <x:c r="Q758" t="str"/>
      <x:c r="R758" t="str"/>
      <x:c r="S758" t="str"/>
      <x:c r="T758" t="str"/>
      <x:c r="U758" t="str"/>
      <x:c r="V758" t="str"/>
      <x:c r="W758" t="str"/>
      <x:c r="X758" t="str"/>
      <x:c r="Y758" t="str">
        <x:v>https://data.ny.gov/Economic-Development/Active-Corporations-Beginning-1800/n9v6-gdp6</x:v>
      </x:c>
    </x:row>
    <x:row r="759">
      <x:c r="A759" t="str">
        <x:v>DOS-5-012</x:v>
      </x:c>
      <x:c r="B759" t="n">
        <x:v>5</x:v>
      </x:c>
      <x:c r="C759" t="str">
        <x:v>1208 WYATT STREET, BRONX, NY, 10460, US</x:v>
      </x:c>
      <x:c r="D759" t="str">
        <x:v>699 BRUSH AVENUE LLC</x:v>
      </x:c>
      <x:c r="E759" t="str">
        <x:v>699 BRUSH AVENUE LLC</x:v>
      </x:c>
      <x:c r="F759" t="str">
        <x:v>Active name match</x:v>
      </x:c>
      <x:c r="G759" t="n">
        <x:v>1</x:v>
      </x:c>
      <x:c r="H759" t="n">
        <x:v>0</x:v>
      </x:c>
      <x:c r="I759" t="str">
        <x:v>3204684</x:v>
      </x:c>
      <x:c r="J759" t="str">
        <x:v>699 BRUSH AVENUE LLC</x:v>
      </x:c>
      <x:c r="K759" s="55" t="n">
        <x:v>38485</x:v>
      </x:c>
      <x:c r="L759" t="str">
        <x:v>Westchester</x:v>
      </x:c>
      <x:c r="M759" t="str">
        <x:v>New York</x:v>
      </x:c>
      <x:c r="N759" t="str">
        <x:v>DOMESTIC LIMITED LIABILITY COMPANY</x:v>
      </x:c>
      <x:c r="O759" t="str">
        <x:v>699 BRUSH AVENUE, LLC</x:v>
      </x:c>
      <x:c r="P759" t="str">
        <x:v>287 Bowman avenue, Suite 301, PURCHASE, NY, 10577</x:v>
      </x:c>
      <x:c r="Q759" t="str"/>
      <x:c r="R759" t="str"/>
      <x:c r="S759" t="str"/>
      <x:c r="T759" t="str"/>
      <x:c r="U759" t="str"/>
      <x:c r="V759" t="str"/>
      <x:c r="W759" t="str"/>
      <x:c r="X759" t="str"/>
      <x:c r="Y759" t="str">
        <x:v>https://data.ny.gov/Economic-Development/Active-Corporations-Beginning-1800/n9v6-gdp6</x:v>
      </x:c>
    </x:row>
    <x:row r="760">
      <x:c r="A760" t="str">
        <x:v>DOS-5-012</x:v>
      </x:c>
      <x:c r="B760" t="n">
        <x:v>5</x:v>
      </x:c>
      <x:c r="C760" t="str">
        <x:v>1208 WYATT STREET, BRONX, NY, 10460, US</x:v>
      </x:c>
      <x:c r="D760" t="str">
        <x:v>777 BRUSH AVENUE LLC</x:v>
      </x:c>
      <x:c r="E760" t="str">
        <x:v>777 BRUSH AVENUE LLC</x:v>
      </x:c>
      <x:c r="F760" t="str">
        <x:v>Active name match</x:v>
      </x:c>
      <x:c r="G760" t="n">
        <x:v>1</x:v>
      </x:c>
      <x:c r="H760" t="n">
        <x:v>0</x:v>
      </x:c>
      <x:c r="I760" t="str">
        <x:v>6841770</x:v>
      </x:c>
      <x:c r="J760" t="str">
        <x:v>777 BRUSH AVENUE LLC</x:v>
      </x:c>
      <x:c r="K760" s="55" t="n">
        <x:v>45069</x:v>
      </x:c>
      <x:c r="L760" t="str">
        <x:v>Westchester</x:v>
      </x:c>
      <x:c r="M760" t="str">
        <x:v>New York</x:v>
      </x:c>
      <x:c r="N760" t="str">
        <x:v>DOMESTIC LIMITED LIABILITY COMPANY</x:v>
      </x:c>
      <x:c r="O760" t="str">
        <x:v>777 BRUSH AVENUE LLC</x:v>
      </x:c>
      <x:c r="P760" t="str">
        <x:v>287 bowman avenue, suite 301, PURCHASE, NY, 10577</x:v>
      </x:c>
      <x:c r="Q760" t="str"/>
      <x:c r="R760" t="str"/>
      <x:c r="S760" t="str"/>
      <x:c r="T760" t="str"/>
      <x:c r="U760" t="str"/>
      <x:c r="V760" t="str"/>
      <x:c r="W760" t="str"/>
      <x:c r="X760" t="str"/>
      <x:c r="Y760" t="str">
        <x:v>https://data.ny.gov/Economic-Development/Active-Corporations-Beginning-1800/n9v6-gdp6</x:v>
      </x:c>
    </x:row>
    <x:row r="761">
      <x:c r="A761" t="str">
        <x:v>DOS-5-012</x:v>
      </x:c>
      <x:c r="B761" t="n">
        <x:v>5</x:v>
      </x:c>
      <x:c r="C761" t="str">
        <x:v>1208 WYATT STREET, BRONX, NY, 10460, US</x:v>
      </x:c>
      <x:c r="D761" t="str">
        <x:v>900 BUSH AVENUE LLC</x:v>
      </x:c>
      <x:c r="E761" t="str">
        <x:v>900 BUSH AVENUE LLC</x:v>
      </x:c>
      <x:c r="F761" t="str">
        <x:v>No active DOS match</x:v>
      </x:c>
      <x:c r="G761" t="n">
        <x:v>0</x:v>
      </x:c>
      <x:c r="H761" t="n">
        <x:v>0</x:v>
      </x:c>
      <x:c r="I761" t="str"/>
      <x:c r="J761" t="str"/>
      <x:c r="K761" s="55" t="str"/>
      <x:c r="L761" t="str"/>
      <x:c r="M761" t="str"/>
      <x:c r="N761" t="str"/>
      <x:c r="O761" t="str"/>
      <x:c r="P761" t="str"/>
      <x:c r="Q761" t="str"/>
      <x:c r="R761" t="str"/>
      <x:c r="S761" t="str"/>
      <x:c r="T761" t="str"/>
      <x:c r="U761" t="str"/>
      <x:c r="V761" t="str"/>
      <x:c r="W761" t="str"/>
      <x:c r="X761" t="str"/>
      <x:c r="Y761" t="str">
        <x:v>https://data.ny.gov/Economic-Development/Active-Corporations-Beginning-1800/n9v6-gdp6</x:v>
      </x:c>
    </x:row>
    <x:row r="762">
      <x:c r="A762" t="str">
        <x:v>DOS-5-013</x:v>
      </x:c>
      <x:c r="B762" t="n">
        <x:v>5</x:v>
      </x:c>
      <x:c r="C762" t="str">
        <x:v>1328 NEW YORK AVENUE, HUNTINGTON STATION, NY, 11746, US</x:v>
      </x:c>
      <x:c r="D762" t="str">
        <x:v>215 PROPERTIES LLC</x:v>
      </x:c>
      <x:c r="E762" t="str">
        <x:v>215 PROPERTIES, LLC</x:v>
      </x:c>
      <x:c r="F762" t="str">
        <x:v>Active name match</x:v>
      </x:c>
      <x:c r="G762" t="n">
        <x:v>1</x:v>
      </x:c>
      <x:c r="H762" t="n">
        <x:v>0</x:v>
      </x:c>
      <x:c r="I762" t="str">
        <x:v>3580135</x:v>
      </x:c>
      <x:c r="J762" t="str">
        <x:v>215 PROPERTIES, LLC</x:v>
      </x:c>
      <x:c r="K762" s="55" t="n">
        <x:v>39370</x:v>
      </x:c>
      <x:c r="L762" t="str">
        <x:v>Suffolk</x:v>
      </x:c>
      <x:c r="M762" t="str">
        <x:v>New York</x:v>
      </x:c>
      <x:c r="N762" t="str">
        <x:v>DOMESTIC LIMITED LIABILITY COMPANY</x:v>
      </x:c>
      <x:c r="O762" t="str">
        <x:v>215 PROPERTIES LLC</x:v>
      </x:c>
      <x:c r="P762" t="str">
        <x:v>221-10 JAMAICA AVENUE, 3RD FLOOR, QUEENS VILLAGE, NY, 11428</x:v>
      </x:c>
      <x:c r="Q762" t="str"/>
      <x:c r="R762" t="str"/>
      <x:c r="S762" t="str"/>
      <x:c r="T762" t="str"/>
      <x:c r="U762" t="str"/>
      <x:c r="V762" t="str"/>
      <x:c r="W762" t="str"/>
      <x:c r="X762" t="str"/>
      <x:c r="Y762" t="str">
        <x:v>https://data.ny.gov/Economic-Development/Active-Corporations-Beginning-1800/n9v6-gdp6</x:v>
      </x:c>
    </x:row>
    <x:row r="763">
      <x:c r="A763" t="str">
        <x:v>DOS-5-013</x:v>
      </x:c>
      <x:c r="B763" t="n">
        <x:v>5</x:v>
      </x:c>
      <x:c r="C763" t="str">
        <x:v>1328 NEW YORK AVENUE, HUNTINGTON STATION, NY, 11746, US</x:v>
      </x:c>
      <x:c r="D763" t="str">
        <x:v>767 BLAKE AVENUE LLC</x:v>
      </x:c>
      <x:c r="E763" t="str">
        <x:v>767 BLAKE AVENUE LLC</x:v>
      </x:c>
      <x:c r="F763" t="str">
        <x:v>Address-corroborated active match</x:v>
      </x:c>
      <x:c r="G763" t="n">
        <x:v>1</x:v>
      </x:c>
      <x:c r="H763" t="n">
        <x:v>2</x:v>
      </x:c>
      <x:c r="I763" t="str">
        <x:v>3399130</x:v>
      </x:c>
      <x:c r="J763" t="str">
        <x:v>767 BLAKE AVENUE LLC</x:v>
      </x:c>
      <x:c r="K763" s="55" t="n">
        <x:v>38939</x:v>
      </x:c>
      <x:c r="L763" t="str">
        <x:v>Suffolk</x:v>
      </x:c>
      <x:c r="M763" t="str">
        <x:v>New York</x:v>
      </x:c>
      <x:c r="N763" t="str">
        <x:v>DOMESTIC LIMITED LIABILITY COMPANY</x:v>
      </x:c>
      <x:c r="O763" t="str">
        <x:v>767 BLAKE AVENUE LLC</x:v>
      </x:c>
      <x:c r="P763" t="str">
        <x:v>1328 NEW YORK AVENUE, HUNTINGTON STATION, NY, 11746</x:v>
      </x:c>
      <x:c r="Q763" t="str"/>
      <x:c r="R763" t="str"/>
      <x:c r="S763" t="str"/>
      <x:c r="T763" t="str"/>
      <x:c r="U763" t="str"/>
      <x:c r="V763" t="str"/>
      <x:c r="W763" t="str"/>
      <x:c r="X763" t="str"/>
      <x:c r="Y763" t="str">
        <x:v>https://data.ny.gov/Economic-Development/Active-Corporations-Beginning-1800/n9v6-gdp6</x:v>
      </x:c>
    </x:row>
    <x:row r="764">
      <x:c r="A764" t="str">
        <x:v>DOS-5-013</x:v>
      </x:c>
      <x:c r="B764" t="n">
        <x:v>5</x:v>
      </x:c>
      <x:c r="C764" t="str">
        <x:v>1328 NEW YORK AVENUE, HUNTINGTON STATION, NY, 11746, US</x:v>
      </x:c>
      <x:c r="D764" t="str">
        <x:v>967 PUTNAM AVENUE LLC</x:v>
      </x:c>
      <x:c r="E764" t="str">
        <x:v>967 PUTNAM AVENUE, LLC</x:v>
      </x:c>
      <x:c r="F764" t="str">
        <x:v>Address-corroborated active match</x:v>
      </x:c>
      <x:c r="G764" t="n">
        <x:v>1</x:v>
      </x:c>
      <x:c r="H764" t="n">
        <x:v>2</x:v>
      </x:c>
      <x:c r="I764" t="str">
        <x:v>4378865</x:v>
      </x:c>
      <x:c r="J764" t="str">
        <x:v>967 PUTNAM AVENUE, LLC</x:v>
      </x:c>
      <x:c r="K764" s="55" t="n">
        <x:v>41358</x:v>
      </x:c>
      <x:c r="L764" t="str">
        <x:v>Suffolk</x:v>
      </x:c>
      <x:c r="M764" t="str">
        <x:v>New York</x:v>
      </x:c>
      <x:c r="N764" t="str">
        <x:v>DOMESTIC LIMITED LIABILITY COMPANY</x:v>
      </x:c>
      <x:c r="O764" t="str">
        <x:v>967 PUTNAM AVENUE, LLC</x:v>
      </x:c>
      <x:c r="P764" t="str">
        <x:v>1328 NEW YORK AVENUE, HUNTINGTON, NY, 11746</x:v>
      </x:c>
      <x:c r="Q764" t="str"/>
      <x:c r="R764" t="str"/>
      <x:c r="S764" t="str"/>
      <x:c r="T764" t="str"/>
      <x:c r="U764" t="str"/>
      <x:c r="V764" t="str"/>
      <x:c r="W764" t="str"/>
      <x:c r="X764" t="str"/>
      <x:c r="Y764" t="str">
        <x:v>https://data.ny.gov/Economic-Development/Active-Corporations-Beginning-1800/n9v6-gdp6</x:v>
      </x:c>
    </x:row>
    <x:row r="765">
      <x:c r="A765" t="str">
        <x:v>DOS-5-013</x:v>
      </x:c>
      <x:c r="B765" t="n">
        <x:v>5</x:v>
      </x:c>
      <x:c r="C765" t="str">
        <x:v>1328 NEW YORK AVENUE, HUNTINGTON STATION, NY, 11746, US</x:v>
      </x:c>
      <x:c r="D765" t="str">
        <x:v>BERGEN STREET PROPERTIES LLC</x:v>
      </x:c>
      <x:c r="E765" t="str">
        <x:v>BERGEN STREET PROPERTIES , LLC</x:v>
      </x:c>
      <x:c r="F765" t="str">
        <x:v>Active name match</x:v>
      </x:c>
      <x:c r="G765" t="n">
        <x:v>1</x:v>
      </x:c>
      <x:c r="H765" t="n">
        <x:v>0</x:v>
      </x:c>
      <x:c r="I765" t="str">
        <x:v>3332893</x:v>
      </x:c>
      <x:c r="J765" t="str">
        <x:v>BERGEN STREET PROPERTIES, LLC</x:v>
      </x:c>
      <x:c r="K765" s="55" t="n">
        <x:v>38789</x:v>
      </x:c>
      <x:c r="L765" t="str">
        <x:v>Suffolk</x:v>
      </x:c>
      <x:c r="M765" t="str">
        <x:v>New York</x:v>
      </x:c>
      <x:c r="N765" t="str">
        <x:v>DOMESTIC LIMITED LIABILITY COMPANY</x:v>
      </x:c>
      <x:c r="O765" t="str">
        <x:v>BERGEN STREET PROPERTIES, LLC</x:v>
      </x:c>
      <x:c r="P765" t="str">
        <x:v>221-10 JAMAICA AVENUE, 3RD FLOOR, QUEENS VILLAGE, NY, 11428</x:v>
      </x:c>
      <x:c r="Q765" t="str"/>
      <x:c r="R765" t="str"/>
      <x:c r="S765" t="str"/>
      <x:c r="T765" t="str"/>
      <x:c r="U765" t="str"/>
      <x:c r="V765" t="str"/>
      <x:c r="W765" t="str"/>
      <x:c r="X765" t="str"/>
      <x:c r="Y765" t="str">
        <x:v>https://data.ny.gov/Economic-Development/Active-Corporations-Beginning-1800/n9v6-gdp6</x:v>
      </x:c>
    </x:row>
    <x:row r="766">
      <x:c r="A766" t="str">
        <x:v>DOS-5-013</x:v>
      </x:c>
      <x:c r="B766" t="n">
        <x:v>5</x:v>
      </x:c>
      <x:c r="C766" t="str">
        <x:v>1328 NEW YORK AVENUE, HUNTINGTON STATION, NY, 11746, US</x:v>
      </x:c>
      <x:c r="D766" t="str">
        <x:v>LEX REX LLC</x:v>
      </x:c>
      <x:c r="E766" t="str">
        <x:v>LEX REX LLC</x:v>
      </x:c>
      <x:c r="F766" t="str">
        <x:v>Address-corroborated active match</x:v>
      </x:c>
      <x:c r="G766" t="n">
        <x:v>1</x:v>
      </x:c>
      <x:c r="H766" t="n">
        <x:v>2</x:v>
      </x:c>
      <x:c r="I766" t="str">
        <x:v>3064857</x:v>
      </x:c>
      <x:c r="J766" t="str">
        <x:v>LEX REX LLC</x:v>
      </x:c>
      <x:c r="K766" s="55" t="n">
        <x:v>38148</x:v>
      </x:c>
      <x:c r="L766" t="str">
        <x:v>Suffolk</x:v>
      </x:c>
      <x:c r="M766" t="str">
        <x:v>New York</x:v>
      </x:c>
      <x:c r="N766" t="str">
        <x:v>DOMESTIC LIMITED LIABILITY COMPANY</x:v>
      </x:c>
      <x:c r="O766" t="str">
        <x:v>LEX REX LLC</x:v>
      </x:c>
      <x:c r="P766" t="str">
        <x:v>1328 NEW YORK AVENUE, HUNTINGTON STATION, NY, 11746</x:v>
      </x:c>
      <x:c r="Q766" t="str"/>
      <x:c r="R766" t="str"/>
      <x:c r="S766" t="str"/>
      <x:c r="T766" t="str"/>
      <x:c r="U766" t="str"/>
      <x:c r="V766" t="str"/>
      <x:c r="W766" t="str"/>
      <x:c r="X766" t="str"/>
      <x:c r="Y766" t="str">
        <x:v>https://data.ny.gov/Economic-Development/Active-Corporations-Beginning-1800/n9v6-gdp6</x:v>
      </x:c>
    </x:row>
    <x:row r="767">
      <x:c r="A767" t="str">
        <x:v>DOS-5-014</x:v>
      </x:c>
      <x:c r="B767" t="n">
        <x:v>5</x:v>
      </x:c>
      <x:c r="C767" t="str">
        <x:v>1360 EAST 14TH STREET, BROOKLYN, NY, 11230, US</x:v>
      </x:c>
      <x:c r="D767" t="str">
        <x:v>BAUGHMAN REALTY LLC</x:v>
      </x:c>
      <x:c r="E767" t="str">
        <x:v>BAUGHMAN REALTY LLC</x:v>
      </x:c>
      <x:c r="F767" t="str">
        <x:v>Address-corroborated active match</x:v>
      </x:c>
      <x:c r="G767" t="n">
        <x:v>1</x:v>
      </x:c>
      <x:c r="H767" t="n">
        <x:v>2</x:v>
      </x:c>
      <x:c r="I767" t="str">
        <x:v>2923259</x:v>
      </x:c>
      <x:c r="J767" t="str">
        <x:v>BAUGHMAN REALTY LLC</x:v>
      </x:c>
      <x:c r="K767" s="55" t="n">
        <x:v>37797</x:v>
      </x:c>
      <x:c r="L767" t="str">
        <x:v>Kings</x:v>
      </x:c>
      <x:c r="M767" t="str">
        <x:v>New York</x:v>
      </x:c>
      <x:c r="N767" t="str">
        <x:v>DOMESTIC LIMITED LIABILITY COMPANY</x:v>
      </x:c>
      <x:c r="O767" t="str">
        <x:v>LEON GOLDENBERG, C/O GOLDMONT REALTY CORP.</x:v>
      </x:c>
      <x:c r="P767" t="str">
        <x:v>1360 EAST 14TH STREET, BROOKLYN, NY, 11230</x:v>
      </x:c>
      <x:c r="Q767" t="str"/>
      <x:c r="R767" t="str"/>
      <x:c r="S767" t="str"/>
      <x:c r="T767" t="str"/>
      <x:c r="U767" t="str"/>
      <x:c r="V767" t="str"/>
      <x:c r="W767" t="str"/>
      <x:c r="X767" t="str"/>
      <x:c r="Y767" t="str">
        <x:v>https://data.ny.gov/Economic-Development/Active-Corporations-Beginning-1800/n9v6-gdp6</x:v>
      </x:c>
    </x:row>
    <x:row r="768">
      <x:c r="A768" t="str">
        <x:v>DOS-5-014</x:v>
      </x:c>
      <x:c r="B768" t="n">
        <x:v>5</x:v>
      </x:c>
      <x:c r="C768" t="str">
        <x:v>1360 EAST 14TH STREET, BROOKLYN, NY, 11230, US</x:v>
      </x:c>
      <x:c r="D768" t="str">
        <x:v>ESSEX PACKAGE REALTY LLC</x:v>
      </x:c>
      <x:c r="E768" t="str">
        <x:v>ESSEX PACKAGE REALTY LLC</x:v>
      </x:c>
      <x:c r="F768" t="str">
        <x:v>Address-corroborated active match</x:v>
      </x:c>
      <x:c r="G768" t="n">
        <x:v>1</x:v>
      </x:c>
      <x:c r="H768" t="n">
        <x:v>2</x:v>
      </x:c>
      <x:c r="I768" t="str">
        <x:v>4979205</x:v>
      </x:c>
      <x:c r="J768" t="str">
        <x:v>ESSEX PACKAGE REALTY LLC</x:v>
      </x:c>
      <x:c r="K768" s="55" t="n">
        <x:v>42570</x:v>
      </x:c>
      <x:c r="L768" t="str">
        <x:v>Kings</x:v>
      </x:c>
      <x:c r="M768" t="str">
        <x:v>New York</x:v>
      </x:c>
      <x:c r="N768" t="str">
        <x:v>DOMESTIC LIMITED LIABILITY COMPANY</x:v>
      </x:c>
      <x:c r="O768" t="str">
        <x:v>ESSEX PACKAGE REALTY LLC</x:v>
      </x:c>
      <x:c r="P768" t="str">
        <x:v>1360 EAST 14TH STREET, BROOKLYN, NY, 11230</x:v>
      </x:c>
      <x:c r="Q768" t="str"/>
      <x:c r="R768" t="str"/>
      <x:c r="S768" t="str"/>
      <x:c r="T768" t="str"/>
      <x:c r="U768" t="str"/>
      <x:c r="V768" t="str"/>
      <x:c r="W768" t="str"/>
      <x:c r="X768" t="str"/>
      <x:c r="Y768" t="str">
        <x:v>https://data.ny.gov/Economic-Development/Active-Corporations-Beginning-1800/n9v6-gdp6</x:v>
      </x:c>
    </x:row>
    <x:row r="769">
      <x:c r="A769" t="str">
        <x:v>DOS-5-014</x:v>
      </x:c>
      <x:c r="B769" t="n">
        <x:v>5</x:v>
      </x:c>
      <x:c r="C769" t="str">
        <x:v>1360 EAST 14TH STREET, BROOKLYN, NY, 11230, US</x:v>
      </x:c>
      <x:c r="D769" t="str">
        <x:v>KLANSTUY REALTY LLC 25</x:v>
      </x:c>
      <x:c r="E769" t="str">
        <x:v>KLANSTUY REALTY LLC, 25%</x:v>
      </x:c>
      <x:c r="F769" t="str">
        <x:v>No active DOS match</x:v>
      </x:c>
      <x:c r="G769" t="n">
        <x:v>0</x:v>
      </x:c>
      <x:c r="H769" t="n">
        <x:v>0</x:v>
      </x:c>
      <x:c r="I769" t="str"/>
      <x:c r="J769" t="str"/>
      <x:c r="K769" s="55" t="str"/>
      <x:c r="L769" t="str"/>
      <x:c r="M769" t="str"/>
      <x:c r="N769" t="str"/>
      <x:c r="O769" t="str"/>
      <x:c r="P769" t="str"/>
      <x:c r="Q769" t="str"/>
      <x:c r="R769" t="str"/>
      <x:c r="S769" t="str"/>
      <x:c r="T769" t="str"/>
      <x:c r="U769" t="str"/>
      <x:c r="V769" t="str"/>
      <x:c r="W769" t="str"/>
      <x:c r="X769" t="str"/>
      <x:c r="Y769" t="str">
        <x:v>https://data.ny.gov/Economic-Development/Active-Corporations-Beginning-1800/n9v6-gdp6</x:v>
      </x:c>
    </x:row>
    <x:row r="770">
      <x:c r="A770" t="str">
        <x:v>DOS-5-014</x:v>
      </x:c>
      <x:c r="B770" t="n">
        <x:v>5</x:v>
      </x:c>
      <x:c r="C770" t="str">
        <x:v>1360 EAST 14TH STREET, BROOKLYN, NY, 11230, US</x:v>
      </x:c>
      <x:c r="D770" t="str">
        <x:v>PACIFIC STREET EQUITIES LLC</x:v>
      </x:c>
      <x:c r="E770" t="str">
        <x:v>PACIFIC STREET EQUITIES LLC</x:v>
      </x:c>
      <x:c r="F770" t="str">
        <x:v>Address-corroborated active match</x:v>
      </x:c>
      <x:c r="G770" t="n">
        <x:v>1</x:v>
      </x:c>
      <x:c r="H770" t="n">
        <x:v>2</x:v>
      </x:c>
      <x:c r="I770" t="str">
        <x:v>3511825</x:v>
      </x:c>
      <x:c r="J770" t="str">
        <x:v>PACIFIC STREET EQUITIES LLC</x:v>
      </x:c>
      <x:c r="K770" s="55" t="n">
        <x:v>39205</x:v>
      </x:c>
      <x:c r="L770" t="str">
        <x:v>Kings</x:v>
      </x:c>
      <x:c r="M770" t="str">
        <x:v>New York</x:v>
      </x:c>
      <x:c r="N770" t="str">
        <x:v>DOMESTIC LIMITED LIABILITY COMPANY</x:v>
      </x:c>
      <x:c r="O770" t="str">
        <x:v>GOLDMONT REALTY CORP.</x:v>
      </x:c>
      <x:c r="P770" t="str">
        <x:v>1360 EAST 14TH STREET, BROOKLYN, NY, 11230</x:v>
      </x:c>
      <x:c r="Q770" t="str"/>
      <x:c r="R770" t="str"/>
      <x:c r="S770" t="str"/>
      <x:c r="T770" t="str"/>
      <x:c r="U770" t="str"/>
      <x:c r="V770" t="str"/>
      <x:c r="W770" t="str"/>
      <x:c r="X770" t="str"/>
      <x:c r="Y770" t="str">
        <x:v>https://data.ny.gov/Economic-Development/Active-Corporations-Beginning-1800/n9v6-gdp6</x:v>
      </x:c>
    </x:row>
    <x:row r="771">
      <x:c r="A771" t="str">
        <x:v>DOS-5-014</x:v>
      </x:c>
      <x:c r="B771" t="n">
        <x:v>5</x:v>
      </x:c>
      <x:c r="C771" t="str">
        <x:v>1360 EAST 14TH STREET, BROOKLYN, NY, 11230, US</x:v>
      </x:c>
      <x:c r="D771" t="str">
        <x:v>THREE BROTHERS PROPERTIES LLC</x:v>
      </x:c>
      <x:c r="E771" t="str">
        <x:v>THREE BROTHERS PROPERTIES, LLC</x:v>
      </x:c>
      <x:c r="F771" t="str">
        <x:v>Address-corroborated active match</x:v>
      </x:c>
      <x:c r="G771" t="n">
        <x:v>1</x:v>
      </x:c>
      <x:c r="H771" t="n">
        <x:v>2</x:v>
      </x:c>
      <x:c r="I771" t="str">
        <x:v>3060585</x:v>
      </x:c>
      <x:c r="J771" t="str">
        <x:v>THREE BROTHERS PROPERTIES LLC</x:v>
      </x:c>
      <x:c r="K771" s="55" t="n">
        <x:v>38139</x:v>
      </x:c>
      <x:c r="L771" t="str">
        <x:v>Kings</x:v>
      </x:c>
      <x:c r="M771" t="str">
        <x:v>New York</x:v>
      </x:c>
      <x:c r="N771" t="str">
        <x:v>DOMESTIC LIMITED LIABILITY COMPANY</x:v>
      </x:c>
      <x:c r="O771" t="str">
        <x:v>LEON GOLDENBERG</x:v>
      </x:c>
      <x:c r="P771" t="str">
        <x:v>1360 EAST 14TH STREET, SUITE 101, BROOKLYN, NY, 11230</x:v>
      </x:c>
      <x:c r="Q771" t="str"/>
      <x:c r="R771" t="str"/>
      <x:c r="S771" t="str"/>
      <x:c r="T771" t="str"/>
      <x:c r="U771" t="str"/>
      <x:c r="V771" t="str"/>
      <x:c r="W771" t="str"/>
      <x:c r="X771" t="str"/>
      <x:c r="Y771" t="str">
        <x:v>https://data.ny.gov/Economic-Development/Active-Corporations-Beginning-1800/n9v6-gdp6</x:v>
      </x:c>
    </x:row>
    <x:row r="772">
      <x:c r="A772" t="str">
        <x:v>DOS-5-015</x:v>
      </x:c>
      <x:c r="B772" t="n">
        <x:v>5</x:v>
      </x:c>
      <x:c r="C772" t="str">
        <x:v>14 GARDEN STREET, GREAT NECK, NY, 11021, US</x:v>
      </x:c>
      <x:c r="D772" t="str">
        <x:v>1162 GREENE AVE LLC</x:v>
      </x:c>
      <x:c r="E772" t="str">
        <x:v>1162 GREENE AVE LLC</x:v>
      </x:c>
      <x:c r="F772" t="str">
        <x:v>Active name match</x:v>
      </x:c>
      <x:c r="G772" t="n">
        <x:v>1</x:v>
      </x:c>
      <x:c r="H772" t="n">
        <x:v>0</x:v>
      </x:c>
      <x:c r="I772" t="str">
        <x:v>4155352</x:v>
      </x:c>
      <x:c r="J772" t="str">
        <x:v>1162 GREENE AVE LLC</x:v>
      </x:c>
      <x:c r="K772" s="55" t="n">
        <x:v>40835</x:v>
      </x:c>
      <x:c r="L772" t="str">
        <x:v>Nassau</x:v>
      </x:c>
      <x:c r="M772" t="str">
        <x:v>New York</x:v>
      </x:c>
      <x:c r="N772" t="str">
        <x:v>DOMESTIC LIMITED LIABILITY COMPANY</x:v>
      </x:c>
      <x:c r="O772" t="str">
        <x:v>1162 GREENE AVE LLC</x:v>
      </x:c>
      <x:c r="P772" t="str">
        <x:v>PO BOX 521, HEWLETT, NY, 11557</x:v>
      </x:c>
      <x:c r="Q772" t="str"/>
      <x:c r="R772" t="str"/>
      <x:c r="S772" t="str"/>
      <x:c r="T772" t="str"/>
      <x:c r="U772" t="str"/>
      <x:c r="V772" t="str"/>
      <x:c r="W772" t="str"/>
      <x:c r="X772" t="str"/>
      <x:c r="Y772" t="str">
        <x:v>https://data.ny.gov/Economic-Development/Active-Corporations-Beginning-1800/n9v6-gdp6</x:v>
      </x:c>
    </x:row>
    <x:row r="773">
      <x:c r="A773" t="str">
        <x:v>DOS-5-015</x:v>
      </x:c>
      <x:c r="B773" t="n">
        <x:v>5</x:v>
      </x:c>
      <x:c r="C773" t="str">
        <x:v>14 GARDEN STREET, GREAT NECK, NY, 11021, US</x:v>
      </x:c>
      <x:c r="D773" t="str">
        <x:v>REZNIK CAPITAL LLC</x:v>
      </x:c>
      <x:c r="E773" t="str">
        <x:v>REZNIK CAPITAL LLC</x:v>
      </x:c>
      <x:c r="F773" t="str">
        <x:v>Active name match</x:v>
      </x:c>
      <x:c r="G773" t="n">
        <x:v>1</x:v>
      </x:c>
      <x:c r="H773" t="n">
        <x:v>0</x:v>
      </x:c>
      <x:c r="I773" t="str">
        <x:v>6486841</x:v>
      </x:c>
      <x:c r="J773" t="str">
        <x:v>REZNIK CAPITAL LLC</x:v>
      </x:c>
      <x:c r="K773" s="55" t="n">
        <x:v>44698</x:v>
      </x:c>
      <x:c r="L773" t="str">
        <x:v>Nassau</x:v>
      </x:c>
      <x:c r="M773" t="str">
        <x:v>New York</x:v>
      </x:c>
      <x:c r="N773" t="str">
        <x:v>DOMESTIC LIMITED LIABILITY COMPANY</x:v>
      </x:c>
      <x:c r="O773" t="str">
        <x:v>MIKE REZNIK</x:v>
      </x:c>
      <x:c r="P773" t="str">
        <x:v>PO Box 2063, Great Neck, NY, 11022</x:v>
      </x:c>
      <x:c r="Q773" t="str"/>
      <x:c r="R773" t="str"/>
      <x:c r="S773" t="str"/>
      <x:c r="T773" t="str"/>
      <x:c r="U773" t="str"/>
      <x:c r="V773" t="str"/>
      <x:c r="W773" t="str"/>
      <x:c r="X773" t="str"/>
      <x:c r="Y773" t="str">
        <x:v>https://data.ny.gov/Economic-Development/Active-Corporations-Beginning-1800/n9v6-gdp6</x:v>
      </x:c>
    </x:row>
    <x:row r="774">
      <x:c r="A774" t="str">
        <x:v>DOS-5-015</x:v>
      </x:c>
      <x:c r="B774" t="n">
        <x:v>5</x:v>
      </x:c>
      <x:c r="C774" t="str">
        <x:v>14 GARDEN STREET, GREAT NECK, NY, 11021, US</x:v>
      </x:c>
      <x:c r="D774" t="str">
        <x:v>WH CAPITAL 171 LLC</x:v>
      </x:c>
      <x:c r="E774" t="str">
        <x:v>WH CAPITAL 171 LLC</x:v>
      </x:c>
      <x:c r="F774" t="str">
        <x:v>Address-corroborated active match</x:v>
      </x:c>
      <x:c r="G774" t="n">
        <x:v>1</x:v>
      </x:c>
      <x:c r="H774" t="n">
        <x:v>2</x:v>
      </x:c>
      <x:c r="I774" t="str">
        <x:v>7380283</x:v>
      </x:c>
      <x:c r="J774" t="str">
        <x:v>WH CAPITAL 171 LLC</x:v>
      </x:c>
      <x:c r="K774" s="55" t="n">
        <x:v>45496</x:v>
      </x:c>
      <x:c r="L774" t="str">
        <x:v>Nassau</x:v>
      </x:c>
      <x:c r="M774" t="str">
        <x:v>New York</x:v>
      </x:c>
      <x:c r="N774" t="str">
        <x:v>DOMESTIC LIMITED LIABILITY COMPANY</x:v>
      </x:c>
      <x:c r="O774" t="str">
        <x:v>MICHAEL REZNIK</x:v>
      </x:c>
      <x:c r="P774" t="str">
        <x:v>14 Garden St, Great Neck, NY, 11021</x:v>
      </x:c>
      <x:c r="Q774" t="str"/>
      <x:c r="R774" t="str"/>
      <x:c r="S774" t="str"/>
      <x:c r="T774" t="str"/>
      <x:c r="U774" t="str"/>
      <x:c r="V774" t="str"/>
      <x:c r="W774" t="str"/>
      <x:c r="X774" t="str"/>
      <x:c r="Y774" t="str">
        <x:v>https://data.ny.gov/Economic-Development/Active-Corporations-Beginning-1800/n9v6-gdp6</x:v>
      </x:c>
    </x:row>
    <x:row r="775">
      <x:c r="A775" t="str">
        <x:v>DOS-5-015</x:v>
      </x:c>
      <x:c r="B775" t="n">
        <x:v>5</x:v>
      </x:c>
      <x:c r="C775" t="str">
        <x:v>14 GARDEN STREET, GREAT NECK, NY, 11021, US</x:v>
      </x:c>
      <x:c r="D775" t="str">
        <x:v>WH CAPITAL LLC</x:v>
      </x:c>
      <x:c r="E775" t="str">
        <x:v>WH CAPITAL LLC</x:v>
      </x:c>
      <x:c r="F775" t="str">
        <x:v>Address-corroborated active match</x:v>
      </x:c>
      <x:c r="G775" t="n">
        <x:v>1</x:v>
      </x:c>
      <x:c r="H775" t="n">
        <x:v>2</x:v>
      </x:c>
      <x:c r="I775" t="str">
        <x:v>6326790</x:v>
      </x:c>
      <x:c r="J775" t="str">
        <x:v>WH CAPITAL LLC</x:v>
      </x:c>
      <x:c r="K775" s="55" t="n">
        <x:v>44512</x:v>
      </x:c>
      <x:c r="L775" t="str">
        <x:v>Nassau</x:v>
      </x:c>
      <x:c r="M775" t="str">
        <x:v>New York</x:v>
      </x:c>
      <x:c r="N775" t="str">
        <x:v>DOMESTIC LIMITED LIABILITY COMPANY</x:v>
      </x:c>
      <x:c r="O775" t="str">
        <x:v>MICHAEL REZNIK</x:v>
      </x:c>
      <x:c r="P775" t="str">
        <x:v>14 Garden St, Great Neck, NY, 11021</x:v>
      </x:c>
      <x:c r="Q775" t="str"/>
      <x:c r="R775" t="str"/>
      <x:c r="S775" t="str"/>
      <x:c r="T775" t="str"/>
      <x:c r="U775" t="str"/>
      <x:c r="V775" t="str"/>
      <x:c r="W775" t="str"/>
      <x:c r="X775" t="str"/>
      <x:c r="Y775" t="str">
        <x:v>https://data.ny.gov/Economic-Development/Active-Corporations-Beginning-1800/n9v6-gdp6</x:v>
      </x:c>
    </x:row>
    <x:row r="776">
      <x:c r="A776" t="str">
        <x:v>DOS-5-015</x:v>
      </x:c>
      <x:c r="B776" t="n">
        <x:v>5</x:v>
      </x:c>
      <x:c r="C776" t="str">
        <x:v>14 GARDEN STREET, GREAT NECK, NY, 11021, US</x:v>
      </x:c>
      <x:c r="D776" t="str">
        <x:v>YSR CAPITAL LLC</x:v>
      </x:c>
      <x:c r="E776" t="str">
        <x:v>YSR CAPITAL LLC</x:v>
      </x:c>
      <x:c r="F776" t="str">
        <x:v>Active name match</x:v>
      </x:c>
      <x:c r="G776" t="n">
        <x:v>1</x:v>
      </x:c>
      <x:c r="H776" t="n">
        <x:v>0</x:v>
      </x:c>
      <x:c r="I776" t="str">
        <x:v>6694521</x:v>
      </x:c>
      <x:c r="J776" t="str">
        <x:v>YSR CAPITAL LLC</x:v>
      </x:c>
      <x:c r="K776" s="55" t="n">
        <x:v>44936</x:v>
      </x:c>
      <x:c r="L776" t="str">
        <x:v>Nassau</x:v>
      </x:c>
      <x:c r="M776" t="str">
        <x:v>New York</x:v>
      </x:c>
      <x:c r="N776" t="str">
        <x:v>DOMESTIC LIMITED LIABILITY COMPANY</x:v>
      </x:c>
      <x:c r="O776" t="str">
        <x:v>MICHA REZNIK</x:v>
      </x:c>
      <x:c r="P776" t="str">
        <x:v>P.O Box 222063, Great Neck, NY, 11022</x:v>
      </x:c>
      <x:c r="Q776" t="str"/>
      <x:c r="R776" t="str"/>
      <x:c r="S776" t="str"/>
      <x:c r="T776" t="str"/>
      <x:c r="U776" t="str"/>
      <x:c r="V776" t="str"/>
      <x:c r="W776" t="str"/>
      <x:c r="X776" t="str"/>
      <x:c r="Y776" t="str">
        <x:v>https://data.ny.gov/Economic-Development/Active-Corporations-Beginning-1800/n9v6-gdp6</x:v>
      </x:c>
    </x:row>
    <x:row r="777">
      <x:c r="A777" t="str">
        <x:v>DOS-5-016</x:v>
      </x:c>
      <x:c r="B777" t="n">
        <x:v>5</x:v>
      </x:c>
      <x:c r="C777" t="str">
        <x:v>29 BARSTOW ROAD, GREAT NECK, NY, 11021, US</x:v>
      </x:c>
      <x:c r="D777" t="str">
        <x:v>1628 SECOND AVENUE RETAIL LLC</x:v>
      </x:c>
      <x:c r="E777" t="str">
        <x:v>1628 SECOND AVENUE RETAIL, LLC</x:v>
      </x:c>
      <x:c r="F777" t="str">
        <x:v>Active name match</x:v>
      </x:c>
      <x:c r="G777" t="n">
        <x:v>1</x:v>
      </x:c>
      <x:c r="H777" t="n">
        <x:v>0</x:v>
      </x:c>
      <x:c r="I777" t="str">
        <x:v>4027583</x:v>
      </x:c>
      <x:c r="J777" t="str">
        <x:v>1628 SECOND AVENUE RETAIL, LLC</x:v>
      </x:c>
      <x:c r="K777" s="55" t="n">
        <x:v>40519</x:v>
      </x:c>
      <x:c r="L777" t="str">
        <x:v>Nassau</x:v>
      </x:c>
      <x:c r="M777" t="str">
        <x:v>New York</x:v>
      </x:c>
      <x:c r="N777" t="str">
        <x:v>DOMESTIC LIMITED LIABILITY COMPANY</x:v>
      </x:c>
      <x:c r="O777" t="str">
        <x:v>1628 SECOND AVENUE RETAIL, LLC</x:v>
      </x:c>
      <x:c r="P777" t="str">
        <x:v>30 jericho executive plaza, suite 500w, jericho, NY, 11735</x:v>
      </x:c>
      <x:c r="Q777" t="str"/>
      <x:c r="R777" t="str"/>
      <x:c r="S777" t="str"/>
      <x:c r="T777" t="str"/>
      <x:c r="U777" t="str"/>
      <x:c r="V777" t="str"/>
      <x:c r="W777" t="str"/>
      <x:c r="X777" t="str"/>
      <x:c r="Y777" t="str">
        <x:v>https://data.ny.gov/Economic-Development/Active-Corporations-Beginning-1800/n9v6-gdp6</x:v>
      </x:c>
    </x:row>
    <x:row r="778">
      <x:c r="A778" t="str">
        <x:v>DOS-5-016</x:v>
      </x:c>
      <x:c r="B778" t="n">
        <x:v>5</x:v>
      </x:c>
      <x:c r="C778" t="str">
        <x:v>29 BARSTOW ROAD, GREAT NECK, NY, 11021, US</x:v>
      </x:c>
      <x:c r="D778" t="str">
        <x:v>170 WEST 75TH STREET RETAIL LLC</x:v>
      </x:c>
      <x:c r="E778" t="str">
        <x:v>170 WEST 75TH STREET RETAIL, LLC</x:v>
      </x:c>
      <x:c r="F778" t="str">
        <x:v>Active name match</x:v>
      </x:c>
      <x:c r="G778" t="n">
        <x:v>1</x:v>
      </x:c>
      <x:c r="H778" t="n">
        <x:v>0</x:v>
      </x:c>
      <x:c r="I778" t="str">
        <x:v>4027578</x:v>
      </x:c>
      <x:c r="J778" t="str">
        <x:v>170 WEST 75TH STREET RETAIL, LLC</x:v>
      </x:c>
      <x:c r="K778" s="55" t="n">
        <x:v>40519</x:v>
      </x:c>
      <x:c r="L778" t="str">
        <x:v>Suffolk</x:v>
      </x:c>
      <x:c r="M778" t="str">
        <x:v>New York</x:v>
      </x:c>
      <x:c r="N778" t="str">
        <x:v>DOMESTIC LIMITED LIABILITY COMPANY</x:v>
      </x:c>
      <x:c r="O778" t="str">
        <x:v>170 WEST 75TH STREET RETAIL, LLC</x:v>
      </x:c>
      <x:c r="P778" t="str">
        <x:v>7110 REPUBLIC AIRPORT, 2ND FLOOR, FARMINGDALE, NY, 11735</x:v>
      </x:c>
      <x:c r="Q778" t="str"/>
      <x:c r="R778" t="str"/>
      <x:c r="S778" t="str"/>
      <x:c r="T778" t="str"/>
      <x:c r="U778" t="str"/>
      <x:c r="V778" t="str"/>
      <x:c r="W778" t="str"/>
      <x:c r="X778" t="str"/>
      <x:c r="Y778" t="str">
        <x:v>https://data.ny.gov/Economic-Development/Active-Corporations-Beginning-1800/n9v6-gdp6</x:v>
      </x:c>
    </x:row>
    <x:row r="779">
      <x:c r="A779" t="str">
        <x:v>DOS-5-016</x:v>
      </x:c>
      <x:c r="B779" t="n">
        <x:v>5</x:v>
      </x:c>
      <x:c r="C779" t="str">
        <x:v>29 BARSTOW ROAD, GREAT NECK, NY, 11021, US</x:v>
      </x:c>
      <x:c r="D779" t="str">
        <x:v>203 WEST 90TH STREET RETAIL LLC</x:v>
      </x:c>
      <x:c r="E779" t="str">
        <x:v>203 WEST 90TH STREET RETAIL, LLC</x:v>
      </x:c>
      <x:c r="F779" t="str">
        <x:v>Active name match</x:v>
      </x:c>
      <x:c r="G779" t="n">
        <x:v>1</x:v>
      </x:c>
      <x:c r="H779" t="n">
        <x:v>0</x:v>
      </x:c>
      <x:c r="I779" t="str">
        <x:v>4027574</x:v>
      </x:c>
      <x:c r="J779" t="str">
        <x:v>203 WEST 90TH STREET RETAIL, LLC</x:v>
      </x:c>
      <x:c r="K779" s="55" t="n">
        <x:v>40519</x:v>
      </x:c>
      <x:c r="L779" t="str">
        <x:v>Suffolk</x:v>
      </x:c>
      <x:c r="M779" t="str">
        <x:v>New York</x:v>
      </x:c>
      <x:c r="N779" t="str">
        <x:v>DOMESTIC LIMITED LIABILITY COMPANY</x:v>
      </x:c>
      <x:c r="O779" t="str">
        <x:v>203 WEST 90TH STREET RETAIL, LLC</x:v>
      </x:c>
      <x:c r="P779" t="str">
        <x:v>7110 REPUBLIC AIRPORT, 2ND FLOOR, FARMINGDALE, NY, 11735</x:v>
      </x:c>
      <x:c r="Q779" t="str"/>
      <x:c r="R779" t="str"/>
      <x:c r="S779" t="str"/>
      <x:c r="T779" t="str"/>
      <x:c r="U779" t="str"/>
      <x:c r="V779" t="str"/>
      <x:c r="W779" t="str"/>
      <x:c r="X779" t="str"/>
      <x:c r="Y779" t="str">
        <x:v>https://data.ny.gov/Economic-Development/Active-Corporations-Beginning-1800/n9v6-gdp6</x:v>
      </x:c>
    </x:row>
    <x:row r="780">
      <x:c r="A780" t="str">
        <x:v>DOS-5-016</x:v>
      </x:c>
      <x:c r="B780" t="n">
        <x:v>5</x:v>
      </x:c>
      <x:c r="C780" t="str">
        <x:v>29 BARSTOW ROAD, GREAT NECK, NY, 11021, US</x:v>
      </x:c>
      <x:c r="D780" t="str">
        <x:v>215 WEST 90TH STREET RETAIL LLC</x:v>
      </x:c>
      <x:c r="E780" t="str">
        <x:v>215 WEST 90TH STREET RETAIL, LLC</x:v>
      </x:c>
      <x:c r="F780" t="str">
        <x:v>Active name match</x:v>
      </x:c>
      <x:c r="G780" t="n">
        <x:v>1</x:v>
      </x:c>
      <x:c r="H780" t="n">
        <x:v>0</x:v>
      </x:c>
      <x:c r="I780" t="str">
        <x:v>4027521</x:v>
      </x:c>
      <x:c r="J780" t="str">
        <x:v>215 WEST 90TH STREET RETAIL, LLC</x:v>
      </x:c>
      <x:c r="K780" s="55" t="n">
        <x:v>40519</x:v>
      </x:c>
      <x:c r="L780" t="str">
        <x:v>Nassau</x:v>
      </x:c>
      <x:c r="M780" t="str">
        <x:v>New York</x:v>
      </x:c>
      <x:c r="N780" t="str">
        <x:v>DOMESTIC LIMITED LIABILITY COMPANY</x:v>
      </x:c>
      <x:c r="O780" t="str">
        <x:v>215 WEST 90TH STREET RETAIL, LLC</x:v>
      </x:c>
      <x:c r="P780" t="str">
        <x:v>30 JERICHO EXECUTIVE PLAZA, SUITE 500W, JERICHO, NY, 11753</x:v>
      </x:c>
      <x:c r="Q780" t="str"/>
      <x:c r="R780" t="str"/>
      <x:c r="S780" t="str"/>
      <x:c r="T780" t="str"/>
      <x:c r="U780" t="str"/>
      <x:c r="V780" t="str"/>
      <x:c r="W780" t="str"/>
      <x:c r="X780" t="str"/>
      <x:c r="Y780" t="str">
        <x:v>https://data.ny.gov/Economic-Development/Active-Corporations-Beginning-1800/n9v6-gdp6</x:v>
      </x:c>
    </x:row>
    <x:row r="781">
      <x:c r="A781" t="str">
        <x:v>DOS-5-016</x:v>
      </x:c>
      <x:c r="B781" t="n">
        <x:v>5</x:v>
      </x:c>
      <x:c r="C781" t="str">
        <x:v>29 BARSTOW ROAD, GREAT NECK, NY, 11021, US</x:v>
      </x:c>
      <x:c r="D781" t="str">
        <x:v>235 WEST 102ND STREET RETAIL LLC</x:v>
      </x:c>
      <x:c r="E781" t="str">
        <x:v>235 WEST 102ND STREET RETAIL, LLC</x:v>
      </x:c>
      <x:c r="F781" t="str">
        <x:v>Active name match</x:v>
      </x:c>
      <x:c r="G781" t="n">
        <x:v>1</x:v>
      </x:c>
      <x:c r="H781" t="n">
        <x:v>0</x:v>
      </x:c>
      <x:c r="I781" t="str">
        <x:v>4027505</x:v>
      </x:c>
      <x:c r="J781" t="str">
        <x:v>235 WEST 102ND STREET RETAIL, LLC</x:v>
      </x:c>
      <x:c r="K781" s="55" t="n">
        <x:v>40519</x:v>
      </x:c>
      <x:c r="L781" t="str">
        <x:v>Nassau</x:v>
      </x:c>
      <x:c r="M781" t="str">
        <x:v>New York</x:v>
      </x:c>
      <x:c r="N781" t="str">
        <x:v>DOMESTIC LIMITED LIABILITY COMPANY</x:v>
      </x:c>
      <x:c r="O781" t="str">
        <x:v>235 WEST 102ND STREET RETAIL, LLC</x:v>
      </x:c>
      <x:c r="P781" t="str">
        <x:v>30 jericho executive plaza, suite 500w, jericho, NY, 11735</x:v>
      </x:c>
      <x:c r="Q781" t="str"/>
      <x:c r="R781" t="str"/>
      <x:c r="S781" t="str"/>
      <x:c r="T781" t="str"/>
      <x:c r="U781" t="str"/>
      <x:c r="V781" t="str"/>
      <x:c r="W781" t="str"/>
      <x:c r="X781" t="str"/>
      <x:c r="Y781" t="str">
        <x:v>https://data.ny.gov/Economic-Development/Active-Corporations-Beginning-1800/n9v6-gdp6</x:v>
      </x:c>
    </x:row>
    <x:row r="782">
      <x:c r="A782" t="str">
        <x:v>DOS-5-017</x:v>
      </x:c>
      <x:c r="B782" t="n">
        <x:v>5</x:v>
      </x:c>
      <x:c r="C782" t="str">
        <x:v>60 CUTTERMILL ROAD SUITE 405, GREAT NECK, NY, 11021, US | 60 CUTTERMILL ROAD, SUITE 405, GREAT NECK, NY, 11021, US</x:v>
      </x:c>
      <x:c r="D782" t="str">
        <x:v>46 34 11 ST HOLDING LLC</x:v>
      </x:c>
      <x:c r="E782" t="str">
        <x:v>46-34 11 ST HOLDING LLC</x:v>
      </x:c>
      <x:c r="F782" t="str">
        <x:v>Address-corroborated active match</x:v>
      </x:c>
      <x:c r="G782" t="n">
        <x:v>1</x:v>
      </x:c>
      <x:c r="H782" t="n">
        <x:v>2</x:v>
      </x:c>
      <x:c r="I782" t="str">
        <x:v>7483388</x:v>
      </x:c>
      <x:c r="J782" t="str">
        <x:v>46-34 11 ST HOLDING LLC</x:v>
      </x:c>
      <x:c r="K782" s="55" t="n">
        <x:v>45637</x:v>
      </x:c>
      <x:c r="L782" t="str">
        <x:v>Nassau</x:v>
      </x:c>
      <x:c r="M782" t="str">
        <x:v>New York</x:v>
      </x:c>
      <x:c r="N782" t="str">
        <x:v>DOMESTIC LIMITED LIABILITY COMPANY</x:v>
      </x:c>
      <x:c r="O782" t="str">
        <x:v>46-34 11 ST HOLDING LLC</x:v>
      </x:c>
      <x:c r="P782" t="str">
        <x:v>60 Cuttermill Road Suite 405, Great Neck, NY, 11021</x:v>
      </x:c>
      <x:c r="Q782" t="str"/>
      <x:c r="R782" t="str"/>
      <x:c r="S782" t="str"/>
      <x:c r="T782" t="str"/>
      <x:c r="U782" t="str"/>
      <x:c r="V782" t="str"/>
      <x:c r="W782" t="str"/>
      <x:c r="X782" t="str"/>
      <x:c r="Y782" t="str">
        <x:v>https://data.ny.gov/Economic-Development/Active-Corporations-Beginning-1800/n9v6-gdp6</x:v>
      </x:c>
    </x:row>
    <x:row r="783">
      <x:c r="A783" t="str">
        <x:v>DOS-5-017</x:v>
      </x:c>
      <x:c r="B783" t="n">
        <x:v>5</x:v>
      </x:c>
      <x:c r="C783" t="str">
        <x:v>60 CUTTERMILL ROAD SUITE 405, GREAT NECK, NY, 11021, US | 60 CUTTERMILL ROAD, SUITE 405, GREAT NECK, NY, 11021, US</x:v>
      </x:c>
      <x:c r="D783" t="str">
        <x:v>JACKSON 2524 RETAIL LLC</x:v>
      </x:c>
      <x:c r="E783" t="str">
        <x:v>JACKSON 2524 RETAIL LLC</x:v>
      </x:c>
      <x:c r="F783" t="str">
        <x:v>Address-corroborated active match</x:v>
      </x:c>
      <x:c r="G783" t="n">
        <x:v>1</x:v>
      </x:c>
      <x:c r="H783" t="n">
        <x:v>2</x:v>
      </x:c>
      <x:c r="I783" t="str">
        <x:v>7541385</x:v>
      </x:c>
      <x:c r="J783" t="str">
        <x:v>JACKSON 2524 RETAIL LLC</x:v>
      </x:c>
      <x:c r="K783" s="55" t="n">
        <x:v>45712</x:v>
      </x:c>
      <x:c r="L783" t="str">
        <x:v>Nassau</x:v>
      </x:c>
      <x:c r="M783" t="str">
        <x:v>New York</x:v>
      </x:c>
      <x:c r="N783" t="str">
        <x:v>DOMESTIC LIMITED LIABILITY COMPANY</x:v>
      </x:c>
      <x:c r="O783" t="str">
        <x:v>Jackson 2524 Retail LLC</x:v>
      </x:c>
      <x:c r="P783" t="str">
        <x:v>60 Cuttermill Road, Suite 405, Great Neck, NY, 11021</x:v>
      </x:c>
      <x:c r="Q783" t="str"/>
      <x:c r="R783" t="str"/>
      <x:c r="S783" t="str"/>
      <x:c r="T783" t="str"/>
      <x:c r="U783" t="str"/>
      <x:c r="V783" t="str"/>
      <x:c r="W783" t="str"/>
      <x:c r="X783" t="str"/>
      <x:c r="Y783" t="str">
        <x:v>https://data.ny.gov/Economic-Development/Active-Corporations-Beginning-1800/n9v6-gdp6</x:v>
      </x:c>
    </x:row>
    <x:row r="784">
      <x:c r="A784" t="str">
        <x:v>DOS-5-017</x:v>
      </x:c>
      <x:c r="B784" t="n">
        <x:v>5</x:v>
      </x:c>
      <x:c r="C784" t="str">
        <x:v>60 CUTTERMILL ROAD SUITE 405, GREAT NECK, NY, 11021, US | 60 CUTTERMILL ROAD, SUITE 405, GREAT NECK, NY, 11021, US</x:v>
      </x:c>
      <x:c r="D784" t="str">
        <x:v>SWU LLC</x:v>
      </x:c>
      <x:c r="E784" t="str">
        <x:v>SWU LLC</x:v>
      </x:c>
      <x:c r="F784" t="str">
        <x:v>Address-corroborated active match</x:v>
      </x:c>
      <x:c r="G784" t="n">
        <x:v>1</x:v>
      </x:c>
      <x:c r="H784" t="n">
        <x:v>2</x:v>
      </x:c>
      <x:c r="I784" t="str">
        <x:v>7220745</x:v>
      </x:c>
      <x:c r="J784" t="str">
        <x:v>SWU LLC</x:v>
      </x:c>
      <x:c r="K784" s="55" t="n">
        <x:v>45295</x:v>
      </x:c>
      <x:c r="L784" t="str">
        <x:v>Nassau</x:v>
      </x:c>
      <x:c r="M784" t="str"/>
      <x:c r="N784" t="str">
        <x:v>DOMESTIC LIMITED LIABILITY COMPANY</x:v>
      </x:c>
      <x:c r="O784" t="str">
        <x:v>SUSAN WU</x:v>
      </x:c>
      <x:c r="P784" t="str">
        <x:v>60 Cuttermill Road, 405, Great Neck, NY, 11021</x:v>
      </x:c>
      <x:c r="Q784" t="str"/>
      <x:c r="R784" t="str"/>
      <x:c r="S784" t="str"/>
      <x:c r="T784" t="str"/>
      <x:c r="U784" t="str"/>
      <x:c r="V784" t="str"/>
      <x:c r="W784" t="str"/>
      <x:c r="X784" t="str"/>
      <x:c r="Y784" t="str">
        <x:v>https://data.ny.gov/Economic-Development/Active-Corporations-Beginning-1800/n9v6-gdp6</x:v>
      </x:c>
    </x:row>
    <x:row r="785">
      <x:c r="A785" t="str">
        <x:v>DOS-5-017</x:v>
      </x:c>
      <x:c r="B785" t="n">
        <x:v>5</x:v>
      </x:c>
      <x:c r="C785" t="str">
        <x:v>60 CUTTERMILL ROAD SUITE 405, GREAT NECK, NY, 11021, US | 60 CUTTERMILL ROAD, SUITE 405, GREAT NECK, NY, 11021, US</x:v>
      </x:c>
      <x:c r="D785" t="str">
        <x:v>ZDJ DAVIS 45 LLC</x:v>
      </x:c>
      <x:c r="E785" t="str">
        <x:v>ZDJ DAVIS 45 LLC</x:v>
      </x:c>
      <x:c r="F785" t="str">
        <x:v>Address-corroborated active match</x:v>
      </x:c>
      <x:c r="G785" t="n">
        <x:v>1</x:v>
      </x:c>
      <x:c r="H785" t="n">
        <x:v>2</x:v>
      </x:c>
      <x:c r="I785" t="str">
        <x:v>7613663</x:v>
      </x:c>
      <x:c r="J785" t="str">
        <x:v>ZDJ DAVIS 45 LLC</x:v>
      </x:c>
      <x:c r="K785" s="55" t="n">
        <x:v>45793</x:v>
      </x:c>
      <x:c r="L785" t="str">
        <x:v>Nassau</x:v>
      </x:c>
      <x:c r="M785" t="str">
        <x:v>New York</x:v>
      </x:c>
      <x:c r="N785" t="str">
        <x:v>DOMESTIC LIMITED LIABILITY COMPANY</x:v>
      </x:c>
      <x:c r="O785" t="str">
        <x:v>ZDJ DAVIS 45 LLC</x:v>
      </x:c>
      <x:c r="P785" t="str">
        <x:v>60 CUTTERMILL ROAD, SUITE 405, GREAT NECK, NY, 11021</x:v>
      </x:c>
      <x:c r="Q785" t="str"/>
      <x:c r="R785" t="str"/>
      <x:c r="S785" t="str"/>
      <x:c r="T785" t="str"/>
      <x:c r="U785" t="str"/>
      <x:c r="V785" t="str"/>
      <x:c r="W785" t="str"/>
      <x:c r="X785" t="str"/>
      <x:c r="Y785" t="str">
        <x:v>https://data.ny.gov/Economic-Development/Active-Corporations-Beginning-1800/n9v6-gdp6</x:v>
      </x:c>
    </x:row>
    <x:row r="786">
      <x:c r="A786" t="str">
        <x:v>DOS-5-017</x:v>
      </x:c>
      <x:c r="B786" t="n">
        <x:v>5</x:v>
      </x:c>
      <x:c r="C786" t="str">
        <x:v>60 CUTTERMILL ROAD SUITE 405, GREAT NECK, NY, 11021, US | 60 CUTTERMILL ROAD, SUITE 405, GREAT NECK, NY, 11021, US</x:v>
      </x:c>
      <x:c r="D786" t="str">
        <x:v>ZDJ GREENPOINT LLC</x:v>
      </x:c>
      <x:c r="E786" t="str">
        <x:v>ZDJ GREENPOINT LLC</x:v>
      </x:c>
      <x:c r="F786" t="str">
        <x:v>Address-corroborated active match</x:v>
      </x:c>
      <x:c r="G786" t="n">
        <x:v>1</x:v>
      </x:c>
      <x:c r="H786" t="n">
        <x:v>2</x:v>
      </x:c>
      <x:c r="I786" t="str">
        <x:v>7356039</x:v>
      </x:c>
      <x:c r="J786" t="str">
        <x:v>ZDJ GREENPOINT LLC</x:v>
      </x:c>
      <x:c r="K786" s="55" t="n">
        <x:v>45463</x:v>
      </x:c>
      <x:c r="L786" t="str">
        <x:v>Nassau</x:v>
      </x:c>
      <x:c r="M786" t="str">
        <x:v>New York</x:v>
      </x:c>
      <x:c r="N786" t="str">
        <x:v>DOMESTIC LIMITED LIABILITY COMPANY</x:v>
      </x:c>
      <x:c r="O786" t="str">
        <x:v>ZDJ GREENPOINT LLC</x:v>
      </x:c>
      <x:c r="P786" t="str">
        <x:v>60 Cuttermill Road Suite 405, Great Neck, NY, 11021</x:v>
      </x:c>
      <x:c r="Q786" t="str"/>
      <x:c r="R786" t="str"/>
      <x:c r="S786" t="str"/>
      <x:c r="T786" t="str"/>
      <x:c r="U786" t="str"/>
      <x:c r="V786" t="str"/>
      <x:c r="W786" t="str"/>
      <x:c r="X786" t="str"/>
      <x:c r="Y786" t="str">
        <x:v>https://data.ny.gov/Economic-Development/Active-Corporations-Beginning-1800/n9v6-gdp6</x:v>
      </x:c>
    </x:row>
    <x:row r="787">
      <x:c r="A787" t="str">
        <x:v>DOS-5-018</x:v>
      </x:c>
      <x:c r="B787" t="n">
        <x:v>5</x:v>
      </x:c>
      <x:c r="C787" t="str">
        <x:v>18-20 COLLEGE POINT BLVD, COLLEGE POINT, NY, 11356, US</x:v>
      </x:c>
      <x:c r="D787" t="str">
        <x:v>116 CP LLC</x:v>
      </x:c>
      <x:c r="E787" t="str">
        <x:v>116 CP, LLC</x:v>
      </x:c>
      <x:c r="F787" t="str">
        <x:v>Active name match</x:v>
      </x:c>
      <x:c r="G787" t="n">
        <x:v>1</x:v>
      </x:c>
      <x:c r="H787" t="n">
        <x:v>1</x:v>
      </x:c>
      <x:c r="I787" t="str">
        <x:v>4846814</x:v>
      </x:c>
      <x:c r="J787" t="str">
        <x:v>116 CP, LLC</x:v>
      </x:c>
      <x:c r="K787" s="55" t="n">
        <x:v>42317</x:v>
      </x:c>
      <x:c r="L787" t="str">
        <x:v>Queens</x:v>
      </x:c>
      <x:c r="M787" t="str">
        <x:v>New York</x:v>
      </x:c>
      <x:c r="N787" t="str">
        <x:v>DOMESTIC LIMITED LIABILITY COMPANY</x:v>
      </x:c>
      <x:c r="O787" t="str">
        <x:v>JENNIFER C IP</x:v>
      </x:c>
      <x:c r="P787" t="str">
        <x:v>18-20 COLLEGE POINT BOULEVARD, COLLEGE POINT, NY, 11356</x:v>
      </x:c>
      <x:c r="Q787" t="str"/>
      <x:c r="R787" t="str"/>
      <x:c r="S787" t="str"/>
      <x:c r="T787" t="str"/>
      <x:c r="U787" t="str"/>
      <x:c r="V787" t="str"/>
      <x:c r="W787" t="str"/>
      <x:c r="X787" t="str"/>
      <x:c r="Y787" t="str">
        <x:v>https://data.ny.gov/Economic-Development/Active-Corporations-Beginning-1800/n9v6-gdp6</x:v>
      </x:c>
    </x:row>
    <x:row r="788">
      <x:c r="A788" t="str">
        <x:v>DOS-5-018</x:v>
      </x:c>
      <x:c r="B788" t="n">
        <x:v>5</x:v>
      </x:c>
      <x:c r="C788" t="str">
        <x:v>18-20 COLLEGE POINT BLVD, COLLEGE POINT, NY, 11356, US</x:v>
      </x:c>
      <x:c r="D788" t="str">
        <x:v>122 COLLEGE POINT LLC</x:v>
      </x:c>
      <x:c r="E788" t="str">
        <x:v>122 COLLEGE POINT, LLC</x:v>
      </x:c>
      <x:c r="F788" t="str">
        <x:v>Address-corroborated active match</x:v>
      </x:c>
      <x:c r="G788" t="n">
        <x:v>1</x:v>
      </x:c>
      <x:c r="H788" t="n">
        <x:v>2</x:v>
      </x:c>
      <x:c r="I788" t="str">
        <x:v>3137456</x:v>
      </x:c>
      <x:c r="J788" t="str">
        <x:v>122 COLLEGE POINT, LLC</x:v>
      </x:c>
      <x:c r="K788" s="55" t="n">
        <x:v>38335</x:v>
      </x:c>
      <x:c r="L788" t="str">
        <x:v>Queens</x:v>
      </x:c>
      <x:c r="M788" t="str">
        <x:v>New York</x:v>
      </x:c>
      <x:c r="N788" t="str">
        <x:v>DOMESTIC LIMITED LIABILITY COMPANY</x:v>
      </x:c>
      <x:c r="O788" t="str">
        <x:v>JAMES IP</x:v>
      </x:c>
      <x:c r="P788" t="str">
        <x:v>18-20 COLLEGE POINT BLVD, COLLEGE POINT, NY, 11356</x:v>
      </x:c>
      <x:c r="Q788" t="str"/>
      <x:c r="R788" t="str"/>
      <x:c r="S788" t="str"/>
      <x:c r="T788" t="str"/>
      <x:c r="U788" t="str"/>
      <x:c r="V788" t="str"/>
      <x:c r="W788" t="str"/>
      <x:c r="X788" t="str"/>
      <x:c r="Y788" t="str">
        <x:v>https://data.ny.gov/Economic-Development/Active-Corporations-Beginning-1800/n9v6-gdp6</x:v>
      </x:c>
    </x:row>
    <x:row r="789">
      <x:c r="A789" t="str">
        <x:v>DOS-5-018</x:v>
      </x:c>
      <x:c r="B789" t="n">
        <x:v>5</x:v>
      </x:c>
      <x:c r="C789" t="str">
        <x:v>18-20 COLLEGE POINT BLVD, COLLEGE POINT, NY, 11356, US</x:v>
      </x:c>
      <x:c r="D789" t="str">
        <x:v>182 COLLEGE POINT LLC</x:v>
      </x:c>
      <x:c r="E789" t="str">
        <x:v>182 COLLEGE POINT, LLC</x:v>
      </x:c>
      <x:c r="F789" t="str">
        <x:v>Address-corroborated active match</x:v>
      </x:c>
      <x:c r="G789" t="n">
        <x:v>1</x:v>
      </x:c>
      <x:c r="H789" t="n">
        <x:v>2</x:v>
      </x:c>
      <x:c r="I789" t="str">
        <x:v>3137424</x:v>
      </x:c>
      <x:c r="J789" t="str">
        <x:v>182 COLLEGE POINT, LLC</x:v>
      </x:c>
      <x:c r="K789" s="55" t="n">
        <x:v>38335</x:v>
      </x:c>
      <x:c r="L789" t="str">
        <x:v>Queens</x:v>
      </x:c>
      <x:c r="M789" t="str">
        <x:v>New York</x:v>
      </x:c>
      <x:c r="N789" t="str">
        <x:v>DOMESTIC LIMITED LIABILITY COMPANY</x:v>
      </x:c>
      <x:c r="O789" t="str">
        <x:v>JAMES IP</x:v>
      </x:c>
      <x:c r="P789" t="str">
        <x:v>18-20 COLLEGE POINT BLVD, COLLEGE POINT, NY, 11356</x:v>
      </x:c>
      <x:c r="Q789" t="str"/>
      <x:c r="R789" t="str"/>
      <x:c r="S789" t="str"/>
      <x:c r="T789" t="str"/>
      <x:c r="U789" t="str"/>
      <x:c r="V789" t="str"/>
      <x:c r="W789" t="str"/>
      <x:c r="X789" t="str"/>
      <x:c r="Y789" t="str">
        <x:v>https://data.ny.gov/Economic-Development/Active-Corporations-Beginning-1800/n9v6-gdp6</x:v>
      </x:c>
    </x:row>
    <x:row r="790">
      <x:c r="A790" t="str">
        <x:v>DOS-5-018</x:v>
      </x:c>
      <x:c r="B790" t="n">
        <x:v>5</x:v>
      </x:c>
      <x:c r="C790" t="str">
        <x:v>18-20 COLLEGE POINT BLVD, COLLEGE POINT, NY, 11356, US</x:v>
      </x:c>
      <x:c r="D790" t="str">
        <x:v>201 COLLEGE POINT LLC</x:v>
      </x:c>
      <x:c r="E790" t="str">
        <x:v>201 COLLEGE POINT, LLC</x:v>
      </x:c>
      <x:c r="F790" t="str">
        <x:v>Address-corroborated active match</x:v>
      </x:c>
      <x:c r="G790" t="n">
        <x:v>1</x:v>
      </x:c>
      <x:c r="H790" t="n">
        <x:v>2</x:v>
      </x:c>
      <x:c r="I790" t="str">
        <x:v>3137452</x:v>
      </x:c>
      <x:c r="J790" t="str">
        <x:v>201 COLLEGE POINT, LLC</x:v>
      </x:c>
      <x:c r="K790" s="55" t="n">
        <x:v>38335</x:v>
      </x:c>
      <x:c r="L790" t="str">
        <x:v>Queens</x:v>
      </x:c>
      <x:c r="M790" t="str">
        <x:v>New York</x:v>
      </x:c>
      <x:c r="N790" t="str">
        <x:v>DOMESTIC LIMITED LIABILITY COMPANY</x:v>
      </x:c>
      <x:c r="O790" t="str">
        <x:v>JAMES IP</x:v>
      </x:c>
      <x:c r="P790" t="str">
        <x:v>18-20 COLLEGE POINT BLVD, COLLEGE POINT, NY, 11356</x:v>
      </x:c>
      <x:c r="Q790" t="str"/>
      <x:c r="R790" t="str"/>
      <x:c r="S790" t="str"/>
      <x:c r="T790" t="str"/>
      <x:c r="U790" t="str"/>
      <x:c r="V790" t="str"/>
      <x:c r="W790" t="str"/>
      <x:c r="X790" t="str"/>
      <x:c r="Y790" t="str">
        <x:v>https://data.ny.gov/Economic-Development/Active-Corporations-Beginning-1800/n9v6-gdp6</x:v>
      </x:c>
    </x:row>
    <x:row r="791">
      <x:c r="A791" t="str">
        <x:v>DOS-5-018</x:v>
      </x:c>
      <x:c r="B791" t="n">
        <x:v>5</x:v>
      </x:c>
      <x:c r="C791" t="str">
        <x:v>18-20 COLLEGE POINT BLVD, COLLEGE POINT, NY, 11356, US</x:v>
      </x:c>
      <x:c r="D791" t="str">
        <x:v>870 ELMHURST LLC</x:v>
      </x:c>
      <x:c r="E791" t="str">
        <x:v>870 ELMHURST, LLC</x:v>
      </x:c>
      <x:c r="F791" t="str">
        <x:v>Address-corroborated active match</x:v>
      </x:c>
      <x:c r="G791" t="n">
        <x:v>1</x:v>
      </x:c>
      <x:c r="H791" t="n">
        <x:v>2</x:v>
      </x:c>
      <x:c r="I791" t="str">
        <x:v>3137413</x:v>
      </x:c>
      <x:c r="J791" t="str">
        <x:v>870 ELMHURST, LLC</x:v>
      </x:c>
      <x:c r="K791" s="55" t="n">
        <x:v>38335</x:v>
      </x:c>
      <x:c r="L791" t="str">
        <x:v>Queens</x:v>
      </x:c>
      <x:c r="M791" t="str">
        <x:v>New York</x:v>
      </x:c>
      <x:c r="N791" t="str">
        <x:v>DOMESTIC LIMITED LIABILITY COMPANY</x:v>
      </x:c>
      <x:c r="O791" t="str">
        <x:v>JAMES IP</x:v>
      </x:c>
      <x:c r="P791" t="str">
        <x:v>18-20 COLLEGE POINT BLVD, COLLEGE POINT, NY, 11356</x:v>
      </x:c>
      <x:c r="Q791" t="str"/>
      <x:c r="R791" t="str"/>
      <x:c r="S791" t="str"/>
      <x:c r="T791" t="str"/>
      <x:c r="U791" t="str"/>
      <x:c r="V791" t="str"/>
      <x:c r="W791" t="str"/>
      <x:c r="X791" t="str"/>
      <x:c r="Y791" t="str">
        <x:v>https://data.ny.gov/Economic-Development/Active-Corporations-Beginning-1800/n9v6-gdp6</x:v>
      </x:c>
    </x:row>
    <x:row r="792">
      <x:c r="A792" t="str">
        <x:v>DOS-5-019</x:v>
      </x:c>
      <x:c r="B792" t="n">
        <x:v>5</x:v>
      </x:c>
      <x:c r="C792" t="str">
        <x:v>2201 EAST 5TH STREET, BROOKLYN, NY, 11223, US</x:v>
      </x:c>
      <x:c r="D792" t="str">
        <x:v>100 VAN BRUNT HOLDING LLC</x:v>
      </x:c>
      <x:c r="E792" t="str">
        <x:v>100 VAN BRUNT HOLDING LLC</x:v>
      </x:c>
      <x:c r="F792" t="str">
        <x:v>Active name match</x:v>
      </x:c>
      <x:c r="G792" t="n">
        <x:v>1</x:v>
      </x:c>
      <x:c r="H792" t="n">
        <x:v>0</x:v>
      </x:c>
      <x:c r="I792" t="str">
        <x:v>5998327</x:v>
      </x:c>
      <x:c r="J792" t="str">
        <x:v>100 VAN BRUNT HOLDING LLC</x:v>
      </x:c>
      <x:c r="K792" s="55" t="n">
        <x:v>44312</x:v>
      </x:c>
      <x:c r="L792" t="str">
        <x:v>Kings</x:v>
      </x:c>
      <x:c r="M792" t="str">
        <x:v>New York</x:v>
      </x:c>
      <x:c r="N792" t="str">
        <x:v>DOMESTIC LIMITED LIABILITY COMPANY</x:v>
      </x:c>
      <x:c r="O792" t="str">
        <x:v>LAW OFFICE OF ALAN J. SASSON, P.C.</x:v>
      </x:c>
      <x:c r="P792" t="str">
        <x:v>2102 AVENUE Z, SUITE 201, BROOKLYN, NY, 11235</x:v>
      </x:c>
      <x:c r="Q792" t="str"/>
      <x:c r="R792" t="str"/>
      <x:c r="S792" t="str"/>
      <x:c r="T792" t="str"/>
      <x:c r="U792" t="str"/>
      <x:c r="V792" t="str"/>
      <x:c r="W792" t="str"/>
      <x:c r="X792" t="str"/>
      <x:c r="Y792" t="str">
        <x:v>https://data.ny.gov/Economic-Development/Active-Corporations-Beginning-1800/n9v6-gdp6</x:v>
      </x:c>
    </x:row>
    <x:row r="793">
      <x:c r="A793" t="str">
        <x:v>DOS-5-019</x:v>
      </x:c>
      <x:c r="B793" t="n">
        <x:v>5</x:v>
      </x:c>
      <x:c r="C793" t="str">
        <x:v>2201 EAST 5TH STREET, BROOKLYN, NY, 11223, US</x:v>
      </x:c>
      <x:c r="D793" t="str">
        <x:v>502 AVE U LLC</x:v>
      </x:c>
      <x:c r="E793" t="str">
        <x:v>502 AVE U LLC</x:v>
      </x:c>
      <x:c r="F793" t="str">
        <x:v>Active name match</x:v>
      </x:c>
      <x:c r="G793" t="n">
        <x:v>1</x:v>
      </x:c>
      <x:c r="H793" t="n">
        <x:v>0</x:v>
      </x:c>
      <x:c r="I793" t="str">
        <x:v>5998013</x:v>
      </x:c>
      <x:c r="J793" t="str">
        <x:v>502 AVE U LLC</x:v>
      </x:c>
      <x:c r="K793" s="55" t="n">
        <x:v>44312</x:v>
      </x:c>
      <x:c r="L793" t="str">
        <x:v>Kings</x:v>
      </x:c>
      <x:c r="M793" t="str">
        <x:v>New York</x:v>
      </x:c>
      <x:c r="N793" t="str">
        <x:v>DOMESTIC LIMITED LIABILITY COMPANY</x:v>
      </x:c>
      <x:c r="O793" t="str">
        <x:v>LAW OFFICE OF ALAN J. SASSON, P.C.</x:v>
      </x:c>
      <x:c r="P793" t="str">
        <x:v>2102 AVENUE Z, SUITE 201, BROOKLYN, NY, 11235</x:v>
      </x:c>
      <x:c r="Q793" t="str"/>
      <x:c r="R793" t="str"/>
      <x:c r="S793" t="str"/>
      <x:c r="T793" t="str"/>
      <x:c r="U793" t="str"/>
      <x:c r="V793" t="str"/>
      <x:c r="W793" t="str"/>
      <x:c r="X793" t="str"/>
      <x:c r="Y793" t="str">
        <x:v>https://data.ny.gov/Economic-Development/Active-Corporations-Beginning-1800/n9v6-gdp6</x:v>
      </x:c>
    </x:row>
    <x:row r="794">
      <x:c r="A794" t="str">
        <x:v>DOS-5-019</x:v>
      </x:c>
      <x:c r="B794" t="n">
        <x:v>5</x:v>
      </x:c>
      <x:c r="C794" t="str">
        <x:v>2201 EAST 5TH STREET, BROOKLYN, NY, 11223, US</x:v>
      </x:c>
      <x:c r="D794" t="str">
        <x:v>72 VAN DYKE HOLDINGS LLC</x:v>
      </x:c>
      <x:c r="E794" t="str">
        <x:v>72 VAN DYKE HOLDINGS LLC</x:v>
      </x:c>
      <x:c r="F794" t="str">
        <x:v>Active name match</x:v>
      </x:c>
      <x:c r="G794" t="n">
        <x:v>1</x:v>
      </x:c>
      <x:c r="H794" t="n">
        <x:v>0</x:v>
      </x:c>
      <x:c r="I794" t="str">
        <x:v>7404460</x:v>
      </x:c>
      <x:c r="J794" t="str">
        <x:v>72 VAN DYKE HOLDINGS LLC</x:v>
      </x:c>
      <x:c r="K794" s="55" t="n">
        <x:v>45527</x:v>
      </x:c>
      <x:c r="L794" t="str">
        <x:v>Kings</x:v>
      </x:c>
      <x:c r="M794" t="str">
        <x:v>New York</x:v>
      </x:c>
      <x:c r="N794" t="str">
        <x:v>DOMESTIC LIMITED LIABILITY COMPANY</x:v>
      </x:c>
      <x:c r="O794" t="str">
        <x:v>Law Office of Alan J. Sasson, PC</x:v>
      </x:c>
      <x:c r="P794" t="str">
        <x:v>2102 AVENUE Z, SUITE 201, BROOKLYN, NY, 11235</x:v>
      </x:c>
      <x:c r="Q794" t="str"/>
      <x:c r="R794" t="str"/>
      <x:c r="S794" t="str"/>
      <x:c r="T794" t="str"/>
      <x:c r="U794" t="str"/>
      <x:c r="V794" t="str"/>
      <x:c r="W794" t="str"/>
      <x:c r="X794" t="str"/>
      <x:c r="Y794" t="str">
        <x:v>https://data.ny.gov/Economic-Development/Active-Corporations-Beginning-1800/n9v6-gdp6</x:v>
      </x:c>
    </x:row>
    <x:row r="795">
      <x:c r="A795" t="str">
        <x:v>DOS-5-019</x:v>
      </x:c>
      <x:c r="B795" t="n">
        <x:v>5</x:v>
      </x:c>
      <x:c r="C795" t="str">
        <x:v>2201 EAST 5TH STREET, BROOKLYN, NY, 11223, US</x:v>
      </x:c>
      <x:c r="D795" t="str">
        <x:v>75 VAN BRUNT HOLDINGS LLC</x:v>
      </x:c>
      <x:c r="E795" t="str">
        <x:v>75 VAN BRUNT HOLDINGS LLC</x:v>
      </x:c>
      <x:c r="F795" t="str">
        <x:v>Active name match</x:v>
      </x:c>
      <x:c r="G795" t="n">
        <x:v>1</x:v>
      </x:c>
      <x:c r="H795" t="n">
        <x:v>0</x:v>
      </x:c>
      <x:c r="I795" t="str">
        <x:v>6024697</x:v>
      </x:c>
      <x:c r="J795" t="str">
        <x:v>75 VAN BRUNT HOLDINGS LLC</x:v>
      </x:c>
      <x:c r="K795" s="55" t="n">
        <x:v>44344</x:v>
      </x:c>
      <x:c r="L795" t="str">
        <x:v>Kings</x:v>
      </x:c>
      <x:c r="M795" t="str">
        <x:v>New York</x:v>
      </x:c>
      <x:c r="N795" t="str">
        <x:v>DOMESTIC LIMITED LIABILITY COMPANY</x:v>
      </x:c>
      <x:c r="O795" t="str">
        <x:v>LAW OFFICE OF ALAN J. SASSON, P.C.</x:v>
      </x:c>
      <x:c r="P795" t="str">
        <x:v>2102 AVENUE Z, SUITE 201, BROOKLYN, NY, 11235</x:v>
      </x:c>
      <x:c r="Q795" t="str"/>
      <x:c r="R795" t="str"/>
      <x:c r="S795" t="str"/>
      <x:c r="T795" t="str"/>
      <x:c r="U795" t="str"/>
      <x:c r="V795" t="str"/>
      <x:c r="W795" t="str"/>
      <x:c r="X795" t="str"/>
      <x:c r="Y795" t="str">
        <x:v>https://data.ny.gov/Economic-Development/Active-Corporations-Beginning-1800/n9v6-gdp6</x:v>
      </x:c>
    </x:row>
    <x:row r="796">
      <x:c r="A796" t="str">
        <x:v>DOS-5-019</x:v>
      </x:c>
      <x:c r="B796" t="n">
        <x:v>5</x:v>
      </x:c>
      <x:c r="C796" t="str">
        <x:v>2201 EAST 5TH STREET, BROOKLYN, NY, 11223, US</x:v>
      </x:c>
      <x:c r="D796" t="str">
        <x:v>85 COFFEY STREET LLC</x:v>
      </x:c>
      <x:c r="E796" t="str">
        <x:v>85 COFFEY STREET LLC</x:v>
      </x:c>
      <x:c r="F796" t="str">
        <x:v>Active name match</x:v>
      </x:c>
      <x:c r="G796" t="n">
        <x:v>1</x:v>
      </x:c>
      <x:c r="H796" t="n">
        <x:v>0</x:v>
      </x:c>
      <x:c r="I796" t="str">
        <x:v>6935933</x:v>
      </x:c>
      <x:c r="J796" t="str">
        <x:v>85 COFFEY STREET LLC</x:v>
      </x:c>
      <x:c r="K796" s="55" t="n">
        <x:v>45121</x:v>
      </x:c>
      <x:c r="L796" t="str">
        <x:v>Kings</x:v>
      </x:c>
      <x:c r="M796" t="str">
        <x:v>New York</x:v>
      </x:c>
      <x:c r="N796" t="str">
        <x:v>DOMESTIC LIMITED LIABILITY COMPANY</x:v>
      </x:c>
      <x:c r="O796" t="str">
        <x:v>Law Office of Alan J Sasson</x:v>
      </x:c>
      <x:c r="P796" t="str">
        <x:v>2102 AVENUE Z, SUITE 201, Brooklyn, NY, 11235</x:v>
      </x:c>
      <x:c r="Q796" t="str"/>
      <x:c r="R796" t="str"/>
      <x:c r="S796" t="str"/>
      <x:c r="T796" t="str"/>
      <x:c r="U796" t="str"/>
      <x:c r="V796" t="str"/>
      <x:c r="W796" t="str"/>
      <x:c r="X796" t="str"/>
      <x:c r="Y796" t="str">
        <x:v>https://data.ny.gov/Economic-Development/Active-Corporations-Beginning-1800/n9v6-gdp6</x:v>
      </x:c>
    </x:row>
    <x:row r="797">
      <x:c r="A797" t="str">
        <x:v>DOS-5-020</x:v>
      </x:c>
      <x:c r="B797" t="n">
        <x:v>5</x:v>
      </x:c>
      <x:c r="C797" t="str">
        <x:v>100 FRONT ST STE 350, CONSHOHOCKEN, PA, 194282889, US</x:v>
      </x:c>
      <x:c r="D797" t="str">
        <x:v>1108 ZEREGA AVE LLC</x:v>
      </x:c>
      <x:c r="E797" t="str">
        <x:v>1108 ZEREGA AVE LLC</x:v>
      </x:c>
      <x:c r="F797" t="str">
        <x:v>Active name match</x:v>
      </x:c>
      <x:c r="G797" t="n">
        <x:v>1</x:v>
      </x:c>
      <x:c r="H797" t="n">
        <x:v>0</x:v>
      </x:c>
      <x:c r="I797" t="str">
        <x:v>6002449</x:v>
      </x:c>
      <x:c r="J797" t="str">
        <x:v>1108 ZEREGA AVE LLC</x:v>
      </x:c>
      <x:c r="K797" s="55" t="n">
        <x:v>44316</x:v>
      </x:c>
      <x:c r="L797" t="str">
        <x:v>Bronx</x:v>
      </x:c>
      <x:c r="M797" t="str">
        <x:v>Delaware</x:v>
      </x:c>
      <x:c r="N797" t="str">
        <x:v>FOREIGN LIMITED LIABILITY COMPANY</x:v>
      </x:c>
      <x:c r="O797" t="str">
        <x:v>C/O CORPORATION SERVICE COMPANY</x:v>
      </x:c>
      <x:c r="P797" t="str">
        <x:v>80 STATE STREET, ALBANY, NY, 12207</x:v>
      </x:c>
      <x:c r="Q797" t="str"/>
      <x:c r="R797" t="str"/>
      <x:c r="S797" t="str"/>
      <x:c r="T797" t="str"/>
      <x:c r="U797" t="str"/>
      <x:c r="V797" t="str"/>
      <x:c r="W797" t="str"/>
      <x:c r="X797" t="str"/>
      <x:c r="Y797" t="str">
        <x:v>https://data.ny.gov/Economic-Development/Active-Corporations-Beginning-1800/n9v6-gdp6</x:v>
      </x:c>
    </x:row>
    <x:row r="798">
      <x:c r="A798" t="str">
        <x:v>DOS-5-020</x:v>
      </x:c>
      <x:c r="B798" t="n">
        <x:v>5</x:v>
      </x:c>
      <x:c r="C798" t="str">
        <x:v>100 FRONT ST STE 350, CONSHOHOCKEN, PA, 194282889, US</x:v>
      </x:c>
      <x:c r="D798" t="str">
        <x:v>SPG 250 JOHNSON AVE LLC</x:v>
      </x:c>
      <x:c r="E798" t="str">
        <x:v>SPG 250 JOHNSON AVE LLC</x:v>
      </x:c>
      <x:c r="F798" t="str">
        <x:v>Active name match</x:v>
      </x:c>
      <x:c r="G798" t="n">
        <x:v>1</x:v>
      </x:c>
      <x:c r="H798" t="n">
        <x:v>0</x:v>
      </x:c>
      <x:c r="I798" t="str">
        <x:v>6039966</x:v>
      </x:c>
      <x:c r="J798" t="str">
        <x:v>SPG 250 JOHNSON AVE LLC</x:v>
      </x:c>
      <x:c r="K798" s="55" t="n">
        <x:v>44365</x:v>
      </x:c>
      <x:c r="L798" t="str">
        <x:v>Kings</x:v>
      </x:c>
      <x:c r="M798" t="str">
        <x:v>Delaware</x:v>
      </x:c>
      <x:c r="N798" t="str">
        <x:v>FOREIGN LIMITED LIABILITY COMPANY</x:v>
      </x:c>
      <x:c r="O798" t="str">
        <x:v>C/O CORPORATION SERVICE COMPANY</x:v>
      </x:c>
      <x:c r="P798" t="str">
        <x:v>80 STATE STREET, ALBANY, NY, 12207</x:v>
      </x:c>
      <x:c r="Q798" t="str"/>
      <x:c r="R798" t="str"/>
      <x:c r="S798" t="str"/>
      <x:c r="T798" t="str"/>
      <x:c r="U798" t="str"/>
      <x:c r="V798" t="str"/>
      <x:c r="W798" t="str"/>
      <x:c r="X798" t="str"/>
      <x:c r="Y798" t="str">
        <x:v>https://data.ny.gov/Economic-Development/Active-Corporations-Beginning-1800/n9v6-gdp6</x:v>
      </x:c>
    </x:row>
    <x:row r="799">
      <x:c r="A799" t="str">
        <x:v>DOS-5-020</x:v>
      </x:c>
      <x:c r="B799" t="n">
        <x:v>5</x:v>
      </x:c>
      <x:c r="C799" t="str">
        <x:v>100 FRONT ST STE 350, CONSHOHOCKEN, PA, 194282889, US</x:v>
      </x:c>
      <x:c r="D799" t="str">
        <x:v>SPG 48 55 36TH ST LLC</x:v>
      </x:c>
      <x:c r="E799" t="str">
        <x:v>SPG 48-55 36TH ST LLC</x:v>
      </x:c>
      <x:c r="F799" t="str">
        <x:v>Active name match</x:v>
      </x:c>
      <x:c r="G799" t="n">
        <x:v>1</x:v>
      </x:c>
      <x:c r="H799" t="n">
        <x:v>0</x:v>
      </x:c>
      <x:c r="I799" t="str">
        <x:v>7399089</x:v>
      </x:c>
      <x:c r="J799" t="str">
        <x:v>SPG 48-55 36TH ST LLC</x:v>
      </x:c>
      <x:c r="K799" s="55" t="n">
        <x:v>45519</x:v>
      </x:c>
      <x:c r="L799" t="str">
        <x:v>Queens</x:v>
      </x:c>
      <x:c r="M799" t="str">
        <x:v>Delaware</x:v>
      </x:c>
      <x:c r="N799" t="str">
        <x:v>FOREIGN LIMITED LIABILITY COMPANY</x:v>
      </x:c>
      <x:c r="O799" t="str">
        <x:v>C/O CORPORATION SERVICE COMPANY</x:v>
      </x:c>
      <x:c r="P799" t="str">
        <x:v>80 STATE STREET, ALBANY, NY, 12207</x:v>
      </x:c>
      <x:c r="Q799" t="str"/>
      <x:c r="R799" t="str"/>
      <x:c r="S799" t="str"/>
      <x:c r="T799" t="str"/>
      <x:c r="U799" t="str"/>
      <x:c r="V799" t="str"/>
      <x:c r="W799" t="str"/>
      <x:c r="X799" t="str"/>
      <x:c r="Y799" t="str">
        <x:v>https://data.ny.gov/Economic-Development/Active-Corporations-Beginning-1800/n9v6-gdp6</x:v>
      </x:c>
    </x:row>
    <x:row r="800">
      <x:c r="A800" t="str">
        <x:v>DOS-5-020</x:v>
      </x:c>
      <x:c r="B800" t="n">
        <x:v>5</x:v>
      </x:c>
      <x:c r="C800" t="str">
        <x:v>100 FRONT ST STE 350, CONSHOHOCKEN, PA, 194282889, US</x:v>
      </x:c>
      <x:c r="D800" t="str">
        <x:v>SPG 58 17 59TH DR LLC</x:v>
      </x:c>
      <x:c r="E800" t="str">
        <x:v>SPG 58-17 59TH DR LLC</x:v>
      </x:c>
      <x:c r="F800" t="str">
        <x:v>Active name match</x:v>
      </x:c>
      <x:c r="G800" t="n">
        <x:v>1</x:v>
      </x:c>
      <x:c r="H800" t="n">
        <x:v>0</x:v>
      </x:c>
      <x:c r="I800" t="str">
        <x:v>6011538</x:v>
      </x:c>
      <x:c r="J800" t="str">
        <x:v>SPG 58-17 59TH DR LLC</x:v>
      </x:c>
      <x:c r="K800" s="55" t="n">
        <x:v>44328</x:v>
      </x:c>
      <x:c r="L800" t="str">
        <x:v>Queens</x:v>
      </x:c>
      <x:c r="M800" t="str">
        <x:v>Delaware</x:v>
      </x:c>
      <x:c r="N800" t="str">
        <x:v>FOREIGN LIMITED LIABILITY COMPANY</x:v>
      </x:c>
      <x:c r="O800" t="str">
        <x:v>C/O CORPORATION SERVICE COMPANY</x:v>
      </x:c>
      <x:c r="P800" t="str">
        <x:v>80 STATE STREET, ALBANY, NY, 12207</x:v>
      </x:c>
      <x:c r="Q800" t="str"/>
      <x:c r="R800" t="str"/>
      <x:c r="S800" t="str"/>
      <x:c r="T800" t="str"/>
      <x:c r="U800" t="str"/>
      <x:c r="V800" t="str"/>
      <x:c r="W800" t="str"/>
      <x:c r="X800" t="str"/>
      <x:c r="Y800" t="str">
        <x:v>https://data.ny.gov/Economic-Development/Active-Corporations-Beginning-1800/n9v6-gdp6</x:v>
      </x:c>
    </x:row>
    <x:row r="801">
      <x:c r="A801" t="str">
        <x:v>DOS-5-020</x:v>
      </x:c>
      <x:c r="B801" t="n">
        <x:v>5</x:v>
      </x:c>
      <x:c r="C801" t="str">
        <x:v>100 FRONT ST STE 350, CONSHOHOCKEN, PA, 194282889, US</x:v>
      </x:c>
      <x:c r="D801" t="str">
        <x:v>SPG ROCKAWAY LLC</x:v>
      </x:c>
      <x:c r="E801" t="str">
        <x:v>SPG ROCKAWAY LLC</x:v>
      </x:c>
      <x:c r="F801" t="str">
        <x:v>Active name match</x:v>
      </x:c>
      <x:c r="G801" t="n">
        <x:v>1</x:v>
      </x:c>
      <x:c r="H801" t="n">
        <x:v>0</x:v>
      </x:c>
      <x:c r="I801" t="str">
        <x:v>5335852</x:v>
      </x:c>
      <x:c r="J801" t="str">
        <x:v>SPG ROCKAWAY LLC</x:v>
      </x:c>
      <x:c r="K801" s="55" t="n">
        <x:v>43224</x:v>
      </x:c>
      <x:c r="L801" t="str">
        <x:v>Queens</x:v>
      </x:c>
      <x:c r="M801" t="str">
        <x:v>Delaware</x:v>
      </x:c>
      <x:c r="N801" t="str">
        <x:v>FOREIGN LIMITED LIABILITY COMPANY</x:v>
      </x:c>
      <x:c r="O801" t="str">
        <x:v>CORPORATION SERVICE COMPANY</x:v>
      </x:c>
      <x:c r="P801" t="str">
        <x:v>80 STATE STREET, ALBANY, NY, 12207</x:v>
      </x:c>
      <x:c r="Q801" t="str"/>
      <x:c r="R801" t="str"/>
      <x:c r="S801" t="str">
        <x:v>CORPORATION SERVICE COMPANY</x:v>
      </x:c>
      <x:c r="T801" t="str">
        <x:v>80 STATE STREET, ALBANY, NEW YORK, 122072543</x:v>
      </x:c>
      <x:c r="U801" t="str"/>
      <x:c r="V801" t="str"/>
      <x:c r="W801" t="str"/>
      <x:c r="X801" t="str"/>
      <x:c r="Y801" t="str">
        <x:v>https://data.ny.gov/Economic-Development/Active-Corporations-Beginning-1800/n9v6-gdp6</x:v>
      </x:c>
    </x:row>
    <x:row r="802">
      <x:c r="A802" t="str">
        <x:v>DOS-5-021</x:v>
      </x:c>
      <x:c r="B802" t="n">
        <x:v>5</x:v>
      </x:c>
      <x:c r="C802" t="str">
        <x:v>1179 EASTERN PARKWAY, BROOKLYN, NY, 11213, US</x:v>
      </x:c>
      <x:c r="D802" t="str">
        <x:v>10502 VAN WHYCK EXP LLC</x:v>
      </x:c>
      <x:c r="E802" t="str">
        <x:v>10502 VAN WHYCK EXP LLC</x:v>
      </x:c>
      <x:c r="F802" t="str">
        <x:v>Address-corroborated active match</x:v>
      </x:c>
      <x:c r="G802" t="n">
        <x:v>1</x:v>
      </x:c>
      <x:c r="H802" t="n">
        <x:v>2</x:v>
      </x:c>
      <x:c r="I802" t="str">
        <x:v>6609352</x:v>
      </x:c>
      <x:c r="J802" t="str">
        <x:v>10502 VAN WHYCK EXP LLC</x:v>
      </x:c>
      <x:c r="K802" s="55" t="n">
        <x:v>44840</x:v>
      </x:c>
      <x:c r="L802" t="str">
        <x:v>Queens</x:v>
      </x:c>
      <x:c r="M802" t="str">
        <x:v>New York</x:v>
      </x:c>
      <x:c r="N802" t="str">
        <x:v>DOMESTIC LIMITED LIABILITY COMPANY</x:v>
      </x:c>
      <x:c r="O802" t="str">
        <x:v>SALIS RETIREMENT PLAN LLC</x:v>
      </x:c>
      <x:c r="P802" t="str">
        <x:v>1179 EASTERN PARKWAY, BROOKLYN, NY, 11213</x:v>
      </x:c>
      <x:c r="Q802" t="str"/>
      <x:c r="R802" t="str"/>
      <x:c r="S802" t="str"/>
      <x:c r="T802" t="str"/>
      <x:c r="U802" t="str"/>
      <x:c r="V802" t="str"/>
      <x:c r="W802" t="str"/>
      <x:c r="X802" t="str"/>
      <x:c r="Y802" t="str">
        <x:v>https://data.ny.gov/Economic-Development/Active-Corporations-Beginning-1800/n9v6-gdp6</x:v>
      </x:c>
    </x:row>
    <x:row r="803">
      <x:c r="A803" t="str">
        <x:v>DOS-5-021</x:v>
      </x:c>
      <x:c r="B803" t="n">
        <x:v>5</x:v>
      </x:c>
      <x:c r="C803" t="str">
        <x:v>1179 EASTERN PARKWAY, BROOKLYN, NY, 11213, US</x:v>
      </x:c>
      <x:c r="D803" t="str">
        <x:v>110 42 198TH ST LLC</x:v>
      </x:c>
      <x:c r="E803" t="str">
        <x:v>110-42 198TH ST LLC</x:v>
      </x:c>
      <x:c r="F803" t="str">
        <x:v>No active DOS match</x:v>
      </x:c>
      <x:c r="G803" t="n">
        <x:v>0</x:v>
      </x:c>
      <x:c r="H803" t="n">
        <x:v>0</x:v>
      </x:c>
      <x:c r="I803" t="str"/>
      <x:c r="J803" t="str"/>
      <x:c r="K803" s="55" t="str"/>
      <x:c r="L803" t="str"/>
      <x:c r="M803" t="str"/>
      <x:c r="N803" t="str"/>
      <x:c r="O803" t="str"/>
      <x:c r="P803" t="str"/>
      <x:c r="Q803" t="str"/>
      <x:c r="R803" t="str"/>
      <x:c r="S803" t="str"/>
      <x:c r="T803" t="str"/>
      <x:c r="U803" t="str"/>
      <x:c r="V803" t="str"/>
      <x:c r="W803" t="str"/>
      <x:c r="X803" t="str"/>
      <x:c r="Y803" t="str">
        <x:v>https://data.ny.gov/Economic-Development/Active-Corporations-Beginning-1800/n9v6-gdp6</x:v>
      </x:c>
    </x:row>
    <x:row r="804">
      <x:c r="A804" t="str">
        <x:v>DOS-5-021</x:v>
      </x:c>
      <x:c r="B804" t="n">
        <x:v>5</x:v>
      </x:c>
      <x:c r="C804" t="str">
        <x:v>1179 EASTERN PARKWAY, BROOKLYN, NY, 11213, US</x:v>
      </x:c>
      <x:c r="D804" t="str">
        <x:v>CROSSBORDER AMERICA PROPERTIES LLC</x:v>
      </x:c>
      <x:c r="E804" t="str">
        <x:v>CROSSBORDER AMERICA PROPERTIES LLC</x:v>
      </x:c>
      <x:c r="F804" t="str">
        <x:v>Address-corroborated active match</x:v>
      </x:c>
      <x:c r="G804" t="n">
        <x:v>1</x:v>
      </x:c>
      <x:c r="H804" t="n">
        <x:v>2</x:v>
      </x:c>
      <x:c r="I804" t="str">
        <x:v>6646038</x:v>
      </x:c>
      <x:c r="J804" t="str">
        <x:v>CROSSBORDER AMERICA PROPERTIES LLC</x:v>
      </x:c>
      <x:c r="K804" s="55" t="n">
        <x:v>44883</x:v>
      </x:c>
      <x:c r="L804" t="str">
        <x:v>Kings</x:v>
      </x:c>
      <x:c r="M804" t="str">
        <x:v>New York</x:v>
      </x:c>
      <x:c r="N804" t="str">
        <x:v>DOMESTIC LIMITED LIABILITY COMPANY</x:v>
      </x:c>
      <x:c r="O804" t="str">
        <x:v>SALIS RETIREMENT PLAN LLC</x:v>
      </x:c>
      <x:c r="P804" t="str">
        <x:v>1179 EASTERN PARKWAY, BROOKLYN, NY, 11213</x:v>
      </x:c>
      <x:c r="Q804" t="str"/>
      <x:c r="R804" t="str"/>
      <x:c r="S804" t="str">
        <x:v>SALIS RETIREMENT PLAN LLC</x:v>
      </x:c>
      <x:c r="T804" t="str">
        <x:v>1179 EASTERN PARKWAY, Brooklyn, NEW YORK, 11213</x:v>
      </x:c>
      <x:c r="U804" t="str"/>
      <x:c r="V804" t="str"/>
      <x:c r="W804" t="str"/>
      <x:c r="X804" t="str"/>
      <x:c r="Y804" t="str">
        <x:v>https://data.ny.gov/Economic-Development/Active-Corporations-Beginning-1800/n9v6-gdp6</x:v>
      </x:c>
    </x:row>
    <x:row r="805">
      <x:c r="A805" t="str">
        <x:v>DOS-5-021</x:v>
      </x:c>
      <x:c r="B805" t="n">
        <x:v>5</x:v>
      </x:c>
      <x:c r="C805" t="str">
        <x:v>1179 EASTERN PARKWAY, BROOKLYN, NY, 11213, US</x:v>
      </x:c>
      <x:c r="D805" t="str">
        <x:v>SALIS RECOVERY PLAN LLC</x:v>
      </x:c>
      <x:c r="E805" t="str">
        <x:v>SALIS RECOVERY PLAN LLC</x:v>
      </x:c>
      <x:c r="F805" t="str">
        <x:v>Address-corroborated active match</x:v>
      </x:c>
      <x:c r="G805" t="n">
        <x:v>1</x:v>
      </x:c>
      <x:c r="H805" t="n">
        <x:v>2</x:v>
      </x:c>
      <x:c r="I805" t="str">
        <x:v>5950392</x:v>
      </x:c>
      <x:c r="J805" t="str">
        <x:v>SALIS RECOVERY PLAN LLC</x:v>
      </x:c>
      <x:c r="K805" s="55" t="n">
        <x:v>44253</x:v>
      </x:c>
      <x:c r="L805" t="str">
        <x:v>Kings</x:v>
      </x:c>
      <x:c r="M805" t="str">
        <x:v>New York</x:v>
      </x:c>
      <x:c r="N805" t="str">
        <x:v>DOMESTIC LIMITED LIABILITY COMPANY</x:v>
      </x:c>
      <x:c r="O805" t="str">
        <x:v>SALIS RECOVERY PLAN LLC</x:v>
      </x:c>
      <x:c r="P805" t="str">
        <x:v>1179 EASTERN PARKWAY, BROOKLYN, NY, 11213</x:v>
      </x:c>
      <x:c r="Q805" t="str"/>
      <x:c r="R805" t="str"/>
      <x:c r="S805" t="str">
        <x:v>OWOLABI SALIS</x:v>
      </x:c>
      <x:c r="T805" t="str">
        <x:v>1179 EASTERN PARKWAY, BROOKLYN, NEW YORK, 11213</x:v>
      </x:c>
      <x:c r="U805" t="str"/>
      <x:c r="V805" t="str"/>
      <x:c r="W805" t="str"/>
      <x:c r="X805" t="str"/>
      <x:c r="Y805" t="str">
        <x:v>https://data.ny.gov/Economic-Development/Active-Corporations-Beginning-1800/n9v6-gdp6</x:v>
      </x:c>
    </x:row>
    <x:row r="806">
      <x:c r="A806" t="str">
        <x:v>DOS-5-021</x:v>
      </x:c>
      <x:c r="B806" t="n">
        <x:v>5</x:v>
      </x:c>
      <x:c r="C806" t="str">
        <x:v>1179 EASTERN PARKWAY, BROOKLYN, NY, 11213, US</x:v>
      </x:c>
      <x:c r="D806" t="str">
        <x:v>SALIS RETIREMENT AND PENSION PLAN LLC</x:v>
      </x:c>
      <x:c r="E806" t="str">
        <x:v>SALIS RETIREMENT AND PENSION PLAN LLC</x:v>
      </x:c>
      <x:c r="F806" t="str">
        <x:v>Active name match</x:v>
      </x:c>
      <x:c r="G806" t="n">
        <x:v>1</x:v>
      </x:c>
      <x:c r="H806" t="n">
        <x:v>0</x:v>
      </x:c>
      <x:c r="I806" t="str">
        <x:v>4240590</x:v>
      </x:c>
      <x:c r="J806" t="str">
        <x:v>SALIS RETIREMENT AND PENSION PLAN LLC</x:v>
      </x:c>
      <x:c r="K806" s="55" t="n">
        <x:v>41032</x:v>
      </x:c>
      <x:c r="L806" t="str">
        <x:v>New York</x:v>
      </x:c>
      <x:c r="M806" t="str">
        <x:v>New York</x:v>
      </x:c>
      <x:c r="N806" t="str">
        <x:v>DOMESTIC LIMITED LIABILITY COMPANY</x:v>
      </x:c>
      <x:c r="O806" t="str">
        <x:v>SALIS RETIREMENT AND PENSION PLAN LLC</x:v>
      </x:c>
      <x:c r="P806" t="str">
        <x:v>42 BROADWAY, ROOM 1133, NEW YORK, NY, 10004</x:v>
      </x:c>
      <x:c r="Q806" t="str"/>
      <x:c r="R806" t="str"/>
      <x:c r="S806" t="str"/>
      <x:c r="T806" t="str"/>
      <x:c r="U806" t="str"/>
      <x:c r="V806" t="str"/>
      <x:c r="W806" t="str"/>
      <x:c r="X806" t="str"/>
      <x:c r="Y806" t="str">
        <x:v>https://data.ny.gov/Economic-Development/Active-Corporations-Beginning-1800/n9v6-gdp6</x:v>
      </x:c>
    </x:row>
    <x:row r="807">
      <x:c r="A807" t="str">
        <x:v>DOS-5-022</x:v>
      </x:c>
      <x:c r="B807" t="n">
        <x:v>5</x:v>
      </x:c>
      <x:c r="C807" t="str">
        <x:v>2604 AVENUE U, BROOKLYN, NY, 11229, US</x:v>
      </x:c>
      <x:c r="D807" t="str">
        <x:v>2071 HARING REALTY LLC</x:v>
      </x:c>
      <x:c r="E807" t="str">
        <x:v>2071 HARING REALTY LLC</x:v>
      </x:c>
      <x:c r="F807" t="str">
        <x:v>Active name match</x:v>
      </x:c>
      <x:c r="G807" t="n">
        <x:v>1</x:v>
      </x:c>
      <x:c r="H807" t="n">
        <x:v>1</x:v>
      </x:c>
      <x:c r="I807" t="str">
        <x:v>4978714</x:v>
      </x:c>
      <x:c r="J807" t="str">
        <x:v>2071 HARING REALTY LLC</x:v>
      </x:c>
      <x:c r="K807" s="55" t="n">
        <x:v>42569</x:v>
      </x:c>
      <x:c r="L807" t="str">
        <x:v>Kings</x:v>
      </x:c>
      <x:c r="M807" t="str">
        <x:v>New York</x:v>
      </x:c>
      <x:c r="N807" t="str">
        <x:v>DOMESTIC LIMITED LIABILITY COMPANY</x:v>
      </x:c>
      <x:c r="O807" t="str">
        <x:v>2071 HARING REALTY LLC</x:v>
      </x:c>
      <x:c r="P807" t="str">
        <x:v>2604 AVE U, BROOKLYN, NY, 11229</x:v>
      </x:c>
      <x:c r="Q807" t="str"/>
      <x:c r="R807" t="str"/>
      <x:c r="S807" t="str"/>
      <x:c r="T807" t="str"/>
      <x:c r="U807" t="str"/>
      <x:c r="V807" t="str"/>
      <x:c r="W807" t="str"/>
      <x:c r="X807" t="str"/>
      <x:c r="Y807" t="str">
        <x:v>https://data.ny.gov/Economic-Development/Active-Corporations-Beginning-1800/n9v6-gdp6</x:v>
      </x:c>
    </x:row>
    <x:row r="808">
      <x:c r="A808" t="str">
        <x:v>DOS-5-022</x:v>
      </x:c>
      <x:c r="B808" t="n">
        <x:v>5</x:v>
      </x:c>
      <x:c r="C808" t="str">
        <x:v>2604 AVENUE U, BROOKLYN, NY, 11229, US</x:v>
      </x:c>
      <x:c r="D808" t="str">
        <x:v>2073 HARING REALTY LLC</x:v>
      </x:c>
      <x:c r="E808" t="str">
        <x:v>2073 HARING REALTY LLC</x:v>
      </x:c>
      <x:c r="F808" t="str">
        <x:v>Active name match</x:v>
      </x:c>
      <x:c r="G808" t="n">
        <x:v>1</x:v>
      </x:c>
      <x:c r="H808" t="n">
        <x:v>1</x:v>
      </x:c>
      <x:c r="I808" t="str">
        <x:v>5264770</x:v>
      </x:c>
      <x:c r="J808" t="str">
        <x:v>2073 HARING REALTY LLC</x:v>
      </x:c>
      <x:c r="K808" s="55" t="n">
        <x:v>43110</x:v>
      </x:c>
      <x:c r="L808" t="str">
        <x:v>Kings</x:v>
      </x:c>
      <x:c r="M808" t="str">
        <x:v>New York</x:v>
      </x:c>
      <x:c r="N808" t="str">
        <x:v>DOMESTIC LIMITED LIABILITY COMPANY</x:v>
      </x:c>
      <x:c r="O808" t="str">
        <x:v>2073 HARING REALTY LLC</x:v>
      </x:c>
      <x:c r="P808" t="str">
        <x:v>2604 AVE U, BROOKLYN, NY, 11229</x:v>
      </x:c>
      <x:c r="Q808" t="str"/>
      <x:c r="R808" t="str"/>
      <x:c r="S808" t="str"/>
      <x:c r="T808" t="str"/>
      <x:c r="U808" t="str"/>
      <x:c r="V808" t="str"/>
      <x:c r="W808" t="str"/>
      <x:c r="X808" t="str"/>
      <x:c r="Y808" t="str">
        <x:v>https://data.ny.gov/Economic-Development/Active-Corporations-Beginning-1800/n9v6-gdp6</x:v>
      </x:c>
    </x:row>
    <x:row r="809">
      <x:c r="A809" t="str">
        <x:v>DOS-5-022</x:v>
      </x:c>
      <x:c r="B809" t="n">
        <x:v>5</x:v>
      </x:c>
      <x:c r="C809" t="str">
        <x:v>2604 AVENUE U, BROOKLYN, NY, 11229, US</x:v>
      </x:c>
      <x:c r="D809" t="str">
        <x:v>2503 AVENUE U REALTY LLC</x:v>
      </x:c>
      <x:c r="E809" t="str">
        <x:v>2503 AVENUE U REALTY LLC</x:v>
      </x:c>
      <x:c r="F809" t="str">
        <x:v>Active name match</x:v>
      </x:c>
      <x:c r="G809" t="n">
        <x:v>1</x:v>
      </x:c>
      <x:c r="H809" t="n">
        <x:v>1</x:v>
      </x:c>
      <x:c r="I809" t="str">
        <x:v>5182153</x:v>
      </x:c>
      <x:c r="J809" t="str">
        <x:v>2503 AVENUE U REALTY LLC</x:v>
      </x:c>
      <x:c r="K809" s="55" t="n">
        <x:v>42954</x:v>
      </x:c>
      <x:c r="L809" t="str">
        <x:v>Kings</x:v>
      </x:c>
      <x:c r="M809" t="str">
        <x:v>New York</x:v>
      </x:c>
      <x:c r="N809" t="str">
        <x:v>DOMESTIC LIMITED LIABILITY COMPANY</x:v>
      </x:c>
      <x:c r="O809" t="str">
        <x:v>2503 AVENUE U REALTY LLC</x:v>
      </x:c>
      <x:c r="P809" t="str">
        <x:v>2604 AVE U, BROOKLYN, NY, 11229</x:v>
      </x:c>
      <x:c r="Q809" t="str"/>
      <x:c r="R809" t="str"/>
      <x:c r="S809" t="str"/>
      <x:c r="T809" t="str"/>
      <x:c r="U809" t="str"/>
      <x:c r="V809" t="str"/>
      <x:c r="W809" t="str"/>
      <x:c r="X809" t="str"/>
      <x:c r="Y809" t="str">
        <x:v>https://data.ny.gov/Economic-Development/Active-Corporations-Beginning-1800/n9v6-gdp6</x:v>
      </x:c>
    </x:row>
    <x:row r="810">
      <x:c r="A810" t="str">
        <x:v>DOS-5-022</x:v>
      </x:c>
      <x:c r="B810" t="n">
        <x:v>5</x:v>
      </x:c>
      <x:c r="C810" t="str">
        <x:v>2604 AVENUE U, BROOKLYN, NY, 11229, US</x:v>
      </x:c>
      <x:c r="D810" t="str">
        <x:v>2715 AVENUE U LLC</x:v>
      </x:c>
      <x:c r="E810" t="str">
        <x:v>2715 AVENUE U LLC</x:v>
      </x:c>
      <x:c r="F810" t="str">
        <x:v>No active DOS match</x:v>
      </x:c>
      <x:c r="G810" t="n">
        <x:v>0</x:v>
      </x:c>
      <x:c r="H810" t="n">
        <x:v>0</x:v>
      </x:c>
      <x:c r="I810" t="str"/>
      <x:c r="J810" t="str"/>
      <x:c r="K810" s="55" t="str"/>
      <x:c r="L810" t="str"/>
      <x:c r="M810" t="str"/>
      <x:c r="N810" t="str"/>
      <x:c r="O810" t="str"/>
      <x:c r="P810" t="str"/>
      <x:c r="Q810" t="str"/>
      <x:c r="R810" t="str"/>
      <x:c r="S810" t="str"/>
      <x:c r="T810" t="str"/>
      <x:c r="U810" t="str"/>
      <x:c r="V810" t="str"/>
      <x:c r="W810" t="str"/>
      <x:c r="X810" t="str"/>
      <x:c r="Y810" t="str">
        <x:v>https://data.ny.gov/Economic-Development/Active-Corporations-Beginning-1800/n9v6-gdp6</x:v>
      </x:c>
    </x:row>
    <x:row r="811">
      <x:c r="A811" t="str">
        <x:v>DOS-5-022</x:v>
      </x:c>
      <x:c r="B811" t="n">
        <x:v>5</x:v>
      </x:c>
      <x:c r="C811" t="str">
        <x:v>2604 AVENUE U, BROOKLYN, NY, 11229, US</x:v>
      </x:c>
      <x:c r="D811" t="str">
        <x:v>2717 AVENUE U REALTY LLC</x:v>
      </x:c>
      <x:c r="E811" t="str">
        <x:v>2717 AVENUE U REALTY LLC</x:v>
      </x:c>
      <x:c r="F811" t="str">
        <x:v>Address-corroborated active match</x:v>
      </x:c>
      <x:c r="G811" t="n">
        <x:v>1</x:v>
      </x:c>
      <x:c r="H811" t="n">
        <x:v>2</x:v>
      </x:c>
      <x:c r="I811" t="str">
        <x:v>7692665</x:v>
      </x:c>
      <x:c r="J811" t="str">
        <x:v>2717 AVENUE U REALTY LLC</x:v>
      </x:c>
      <x:c r="K811" s="55" t="n">
        <x:v>45891</x:v>
      </x:c>
      <x:c r="L811" t="str">
        <x:v>Kings</x:v>
      </x:c>
      <x:c r="M811" t="str">
        <x:v>New York</x:v>
      </x:c>
      <x:c r="N811" t="str">
        <x:v>DOMESTIC LIMITED LIABILITY COMPANY</x:v>
      </x:c>
      <x:c r="O811" t="str">
        <x:v>2717 AVENUE U REALTY LLC</x:v>
      </x:c>
      <x:c r="P811" t="str">
        <x:v>2604 Avenue U, Brooklyn, NY, 11229</x:v>
      </x:c>
      <x:c r="Q811" t="str"/>
      <x:c r="R811" t="str"/>
      <x:c r="S811" t="str"/>
      <x:c r="T811" t="str"/>
      <x:c r="U811" t="str"/>
      <x:c r="V811" t="str"/>
      <x:c r="W811" t="str"/>
      <x:c r="X811" t="str"/>
      <x:c r="Y811" t="str">
        <x:v>https://data.ny.gov/Economic-Development/Active-Corporations-Beginning-1800/n9v6-gdp6</x:v>
      </x:c>
    </x:row>
    <x:row r="812">
      <x:c r="A812" t="str">
        <x:v>DOS-5-023</x:v>
      </x:c>
      <x:c r="B812" t="n">
        <x:v>5</x:v>
      </x:c>
      <x:c r="C812" t="str">
        <x:v>263 ROBBY LANE, NEW HYDE PARK, NY, 11040, US</x:v>
      </x:c>
      <x:c r="D812" t="str">
        <x:v>49 BAY LLC</x:v>
      </x:c>
      <x:c r="E812" t="str">
        <x:v>49 BAY, LLC</x:v>
      </x:c>
      <x:c r="F812" t="str">
        <x:v>Address-corroborated active match</x:v>
      </x:c>
      <x:c r="G812" t="n">
        <x:v>1</x:v>
      </x:c>
      <x:c r="H812" t="n">
        <x:v>2</x:v>
      </x:c>
      <x:c r="I812" t="str">
        <x:v>5256496</x:v>
      </x:c>
      <x:c r="J812" t="str">
        <x:v>49 BAY LLC</x:v>
      </x:c>
      <x:c r="K812" s="55" t="n">
        <x:v>43096</x:v>
      </x:c>
      <x:c r="L812" t="str">
        <x:v>Nassau</x:v>
      </x:c>
      <x:c r="M812" t="str">
        <x:v>New York</x:v>
      </x:c>
      <x:c r="N812" t="str">
        <x:v>DOMESTIC LIMITED LIABILITY COMPANY</x:v>
      </x:c>
      <x:c r="O812" t="str">
        <x:v>49 BAY LLC</x:v>
      </x:c>
      <x:c r="P812" t="str">
        <x:v>263 ROBBY LANE, NEW HYDE PARK, NY, 11040</x:v>
      </x:c>
      <x:c r="Q812" t="str"/>
      <x:c r="R812" t="str"/>
      <x:c r="S812" t="str"/>
      <x:c r="T812" t="str"/>
      <x:c r="U812" t="str"/>
      <x:c r="V812" t="str"/>
      <x:c r="W812" t="str"/>
      <x:c r="X812" t="str"/>
      <x:c r="Y812" t="str">
        <x:v>https://data.ny.gov/Economic-Development/Active-Corporations-Beginning-1800/n9v6-gdp6</x:v>
      </x:c>
    </x:row>
    <x:row r="813">
      <x:c r="A813" t="str">
        <x:v>DOS-5-023</x:v>
      </x:c>
      <x:c r="B813" t="n">
        <x:v>5</x:v>
      </x:c>
      <x:c r="C813" t="str">
        <x:v>263 ROBBY LANE, NEW HYDE PARK, NY, 11040, US</x:v>
      </x:c>
      <x:c r="D813" t="str">
        <x:v>CEDAR MANOR HERITAGE LLC</x:v>
      </x:c>
      <x:c r="E813" t="str">
        <x:v>CEDAR MANOR HERITAGE, LLC</x:v>
      </x:c>
      <x:c r="F813" t="str">
        <x:v>Address-corroborated active match</x:v>
      </x:c>
      <x:c r="G813" t="n">
        <x:v>1</x:v>
      </x:c>
      <x:c r="H813" t="n">
        <x:v>2</x:v>
      </x:c>
      <x:c r="I813" t="str">
        <x:v>3863802</x:v>
      </x:c>
      <x:c r="J813" t="str">
        <x:v>CEDAR MANOR HERITAGE LLC</x:v>
      </x:c>
      <x:c r="K813" s="55" t="n">
        <x:v>40091</x:v>
      </x:c>
      <x:c r="L813" t="str">
        <x:v>Queens</x:v>
      </x:c>
      <x:c r="M813" t="str">
        <x:v>New York</x:v>
      </x:c>
      <x:c r="N813" t="str">
        <x:v>DOMESTIC LIMITED LIABILITY COMPANY</x:v>
      </x:c>
      <x:c r="O813" t="str">
        <x:v>CEDAR MANOR HERITAGE LLC</x:v>
      </x:c>
      <x:c r="P813" t="str">
        <x:v>263 ROBBY LANE, NEW HYDE PARK, NY, 11040</x:v>
      </x:c>
      <x:c r="Q813" t="str"/>
      <x:c r="R813" t="str"/>
      <x:c r="S813" t="str"/>
      <x:c r="T813" t="str"/>
      <x:c r="U813" t="str"/>
      <x:c r="V813" t="str"/>
      <x:c r="W813" t="str"/>
      <x:c r="X813" t="str"/>
      <x:c r="Y813" t="str">
        <x:v>https://data.ny.gov/Economic-Development/Active-Corporations-Beginning-1800/n9v6-gdp6</x:v>
      </x:c>
    </x:row>
    <x:row r="814">
      <x:c r="A814" t="str">
        <x:v>DOS-5-023</x:v>
      </x:c>
      <x:c r="B814" t="n">
        <x:v>5</x:v>
      </x:c>
      <x:c r="C814" t="str">
        <x:v>263 ROBBY LANE, NEW HYDE PARK, NY, 11040, US</x:v>
      </x:c>
      <x:c r="D814" t="str">
        <x:v>PIANO BUILDING PRODUCTS LLC</x:v>
      </x:c>
      <x:c r="E814" t="str">
        <x:v>PIANO BUILDING PRODUCTS LLC</x:v>
      </x:c>
      <x:c r="F814" t="str">
        <x:v>Address-corroborated active match</x:v>
      </x:c>
      <x:c r="G814" t="n">
        <x:v>1</x:v>
      </x:c>
      <x:c r="H814" t="n">
        <x:v>2</x:v>
      </x:c>
      <x:c r="I814" t="str">
        <x:v>4860609</x:v>
      </x:c>
      <x:c r="J814" t="str">
        <x:v>PIANO BUILDING PRODUCTS LLC</x:v>
      </x:c>
      <x:c r="K814" s="55" t="n">
        <x:v>42346</x:v>
      </x:c>
      <x:c r="L814" t="str">
        <x:v>Nassau</x:v>
      </x:c>
      <x:c r="M814" t="str">
        <x:v>New York</x:v>
      </x:c>
      <x:c r="N814" t="str">
        <x:v>DOMESTIC LIMITED LIABILITY COMPANY</x:v>
      </x:c>
      <x:c r="O814" t="str">
        <x:v>PIANO BUILDING PRODUCTS LLC</x:v>
      </x:c>
      <x:c r="P814" t="str">
        <x:v>263 ROBBY LANE, NEW HYDE PARK, NY, 11040</x:v>
      </x:c>
      <x:c r="Q814" t="str"/>
      <x:c r="R814" t="str"/>
      <x:c r="S814" t="str"/>
      <x:c r="T814" t="str"/>
      <x:c r="U814" t="str"/>
      <x:c r="V814" t="str"/>
      <x:c r="W814" t="str"/>
      <x:c r="X814" t="str"/>
      <x:c r="Y814" t="str">
        <x:v>https://data.ny.gov/Economic-Development/Active-Corporations-Beginning-1800/n9v6-gdp6</x:v>
      </x:c>
    </x:row>
    <x:row r="815">
      <x:c r="A815" t="str">
        <x:v>DOS-5-023</x:v>
      </x:c>
      <x:c r="B815" t="n">
        <x:v>5</x:v>
      </x:c>
      <x:c r="C815" t="str">
        <x:v>263 ROBBY LANE, NEW HYDE PARK, NY, 11040, US</x:v>
      </x:c>
      <x:c r="D815" t="str">
        <x:v>PRIME TIDE LLC</x:v>
      </x:c>
      <x:c r="E815" t="str">
        <x:v>PRIME TIDE, LLC</x:v>
      </x:c>
      <x:c r="F815" t="str">
        <x:v>Address-corroborated active match</x:v>
      </x:c>
      <x:c r="G815" t="n">
        <x:v>1</x:v>
      </x:c>
      <x:c r="H815" t="n">
        <x:v>2</x:v>
      </x:c>
      <x:c r="I815" t="str">
        <x:v>3863699</x:v>
      </x:c>
      <x:c r="J815" t="str">
        <x:v>PRIME TIDE LLC</x:v>
      </x:c>
      <x:c r="K815" s="55" t="n">
        <x:v>40091</x:v>
      </x:c>
      <x:c r="L815" t="str">
        <x:v>Queens</x:v>
      </x:c>
      <x:c r="M815" t="str">
        <x:v>New York</x:v>
      </x:c>
      <x:c r="N815" t="str">
        <x:v>DOMESTIC LIMITED LIABILITY COMPANY</x:v>
      </x:c>
      <x:c r="O815" t="str">
        <x:v>PRIME TIDE LLC</x:v>
      </x:c>
      <x:c r="P815" t="str">
        <x:v>263 ROBBY LANE, NEW HYDE PARK, NY, 11040</x:v>
      </x:c>
      <x:c r="Q815" t="str"/>
      <x:c r="R815" t="str"/>
      <x:c r="S815" t="str"/>
      <x:c r="T815" t="str"/>
      <x:c r="U815" t="str"/>
      <x:c r="V815" t="str"/>
      <x:c r="W815" t="str"/>
      <x:c r="X815" t="str"/>
      <x:c r="Y815" t="str">
        <x:v>https://data.ny.gov/Economic-Development/Active-Corporations-Beginning-1800/n9v6-gdp6</x:v>
      </x:c>
    </x:row>
    <x:row r="816">
      <x:c r="A816" t="str">
        <x:v>DOS-5-023</x:v>
      </x:c>
      <x:c r="B816" t="n">
        <x:v>5</x:v>
      </x:c>
      <x:c r="C816" t="str">
        <x:v>263 ROBBY LANE, NEW HYDE PARK, NY, 11040, US</x:v>
      </x:c>
      <x:c r="D816" t="str">
        <x:v>TULIP VOYAGE LLC</x:v>
      </x:c>
      <x:c r="E816" t="str">
        <x:v>TULIP VOYAGE, LLC</x:v>
      </x:c>
      <x:c r="F816" t="str">
        <x:v>Address-corroborated active match</x:v>
      </x:c>
      <x:c r="G816" t="n">
        <x:v>1</x:v>
      </x:c>
      <x:c r="H816" t="n">
        <x:v>2</x:v>
      </x:c>
      <x:c r="I816" t="str">
        <x:v>3863700</x:v>
      </x:c>
      <x:c r="J816" t="str">
        <x:v>TULIP VOYAGE LLC</x:v>
      </x:c>
      <x:c r="K816" s="55" t="n">
        <x:v>40091</x:v>
      </x:c>
      <x:c r="L816" t="str">
        <x:v>Queens</x:v>
      </x:c>
      <x:c r="M816" t="str">
        <x:v>New York</x:v>
      </x:c>
      <x:c r="N816" t="str">
        <x:v>DOMESTIC LIMITED LIABILITY COMPANY</x:v>
      </x:c>
      <x:c r="O816" t="str">
        <x:v>TULIP VOYAGE LLC</x:v>
      </x:c>
      <x:c r="P816" t="str">
        <x:v>263 ROBBY LANE, NEW HYDE PARK, NY, 11040</x:v>
      </x:c>
      <x:c r="Q816" t="str"/>
      <x:c r="R816" t="str"/>
      <x:c r="S816" t="str"/>
      <x:c r="T816" t="str"/>
      <x:c r="U816" t="str"/>
      <x:c r="V816" t="str"/>
      <x:c r="W816" t="str"/>
      <x:c r="X816" t="str"/>
      <x:c r="Y816" t="str">
        <x:v>https://data.ny.gov/Economic-Development/Active-Corporations-Beginning-1800/n9v6-gdp6</x:v>
      </x:c>
    </x:row>
    <x:row r="817">
      <x:c r="A817" t="str">
        <x:v>DOS-5-024</x:v>
      </x:c>
      <x:c r="B817" t="n">
        <x:v>5</x:v>
      </x:c>
      <x:c r="C817" t="str">
        <x:v>3016 UNION BOULEVARD, EAST ISLIP, NY, 11730, US | 3016 UNION BOULEVARD,, EAST ISLIP, NY, 11730, US</x:v>
      </x:c>
      <x:c r="D817" t="str">
        <x:v>132 12 LLC</x:v>
      </x:c>
      <x:c r="E817" t="str">
        <x:v>132-12 LLC</x:v>
      </x:c>
      <x:c r="F817" t="str">
        <x:v>Active name match</x:v>
      </x:c>
      <x:c r="G817" t="n">
        <x:v>1</x:v>
      </x:c>
      <x:c r="H817" t="n">
        <x:v>1</x:v>
      </x:c>
      <x:c r="I817" t="str">
        <x:v>3492482</x:v>
      </x:c>
      <x:c r="J817" t="str">
        <x:v>132-12 LLC</x:v>
      </x:c>
      <x:c r="K817" s="55" t="n">
        <x:v>39162</x:v>
      </x:c>
      <x:c r="L817" t="str">
        <x:v>Suffolk</x:v>
      </x:c>
      <x:c r="M817" t="str">
        <x:v>New York</x:v>
      </x:c>
      <x:c r="N817" t="str">
        <x:v>DOMESTIC LIMITED LIABILITY COMPANY</x:v>
      </x:c>
      <x:c r="O817" t="str">
        <x:v>132-12 LLC</x:v>
      </x:c>
      <x:c r="P817" t="str">
        <x:v>3016 UNION BLVD, EAST ISLIP, NY, 11730</x:v>
      </x:c>
      <x:c r="Q817" t="str"/>
      <x:c r="R817" t="str"/>
      <x:c r="S817" t="str"/>
      <x:c r="T817" t="str"/>
      <x:c r="U817" t="str"/>
      <x:c r="V817" t="str"/>
      <x:c r="W817" t="str"/>
      <x:c r="X817" t="str"/>
      <x:c r="Y817" t="str">
        <x:v>https://data.ny.gov/Economic-Development/Active-Corporations-Beginning-1800/n9v6-gdp6</x:v>
      </x:c>
    </x:row>
    <x:row r="818">
      <x:c r="A818" t="str">
        <x:v>DOS-5-024</x:v>
      </x:c>
      <x:c r="B818" t="n">
        <x:v>5</x:v>
      </x:c>
      <x:c r="C818" t="str">
        <x:v>3016 UNION BOULEVARD, EAST ISLIP, NY, 11730, US | 3016 UNION BOULEVARD,, EAST ISLIP, NY, 11730, US</x:v>
      </x:c>
      <x:c r="D818" t="str">
        <x:v>31 13 LLC</x:v>
      </x:c>
      <x:c r="E818" t="str">
        <x:v>31-13 LLC</x:v>
      </x:c>
      <x:c r="F818" t="str">
        <x:v>Address-corroborated active match</x:v>
      </x:c>
      <x:c r="G818" t="n">
        <x:v>1</x:v>
      </x:c>
      <x:c r="H818" t="n">
        <x:v>2</x:v>
      </x:c>
      <x:c r="I818" t="str">
        <x:v>4077623</x:v>
      </x:c>
      <x:c r="J818" t="str">
        <x:v>31-13 LLC</x:v>
      </x:c>
      <x:c r="K818" s="55" t="n">
        <x:v>40639</x:v>
      </x:c>
      <x:c r="L818" t="str">
        <x:v>Suffolk</x:v>
      </x:c>
      <x:c r="M818" t="str">
        <x:v>New York</x:v>
      </x:c>
      <x:c r="N818" t="str">
        <x:v>DOMESTIC LIMITED LIABILITY COMPANY</x:v>
      </x:c>
      <x:c r="O818" t="str">
        <x:v>31-13 LLC</x:v>
      </x:c>
      <x:c r="P818" t="str">
        <x:v>3016 UNION BOULEVARD, EAST ISLIP, NY, 11730</x:v>
      </x:c>
      <x:c r="Q818" t="str"/>
      <x:c r="R818" t="str"/>
      <x:c r="S818" t="str"/>
      <x:c r="T818" t="str"/>
      <x:c r="U818" t="str"/>
      <x:c r="V818" t="str"/>
      <x:c r="W818" t="str"/>
      <x:c r="X818" t="str"/>
      <x:c r="Y818" t="str">
        <x:v>https://data.ny.gov/Economic-Development/Active-Corporations-Beginning-1800/n9v6-gdp6</x:v>
      </x:c>
    </x:row>
    <x:row r="819">
      <x:c r="A819" t="str">
        <x:v>DOS-5-024</x:v>
      </x:c>
      <x:c r="B819" t="n">
        <x:v>5</x:v>
      </x:c>
      <x:c r="C819" t="str">
        <x:v>3016 UNION BOULEVARD, EAST ISLIP, NY, 11730, US | 3016 UNION BOULEVARD,, EAST ISLIP, NY, 11730, US</x:v>
      </x:c>
      <x:c r="D819" t="str">
        <x:v>9466 LLC</x:v>
      </x:c>
      <x:c r="E819" t="str">
        <x:v>9466 LLC</x:v>
      </x:c>
      <x:c r="F819" t="str">
        <x:v>Address-corroborated active match</x:v>
      </x:c>
      <x:c r="G819" t="n">
        <x:v>1</x:v>
      </x:c>
      <x:c r="H819" t="n">
        <x:v>2</x:v>
      </x:c>
      <x:c r="I819" t="str">
        <x:v>4745563</x:v>
      </x:c>
      <x:c r="J819" t="str">
        <x:v>9466 LLC</x:v>
      </x:c>
      <x:c r="K819" s="55" t="n">
        <x:v>42115</x:v>
      </x:c>
      <x:c r="L819" t="str">
        <x:v>Suffolk</x:v>
      </x:c>
      <x:c r="M819" t="str">
        <x:v>New York</x:v>
      </x:c>
      <x:c r="N819" t="str">
        <x:v>DOMESTIC LIMITED LIABILITY COMPANY</x:v>
      </x:c>
      <x:c r="O819" t="str">
        <x:v>9466 LLC</x:v>
      </x:c>
      <x:c r="P819" t="str">
        <x:v>3016 UNION BOULEVARD, EAST ISLIP, NY, 11730</x:v>
      </x:c>
      <x:c r="Q819" t="str"/>
      <x:c r="R819" t="str"/>
      <x:c r="S819" t="str"/>
      <x:c r="T819" t="str"/>
      <x:c r="U819" t="str"/>
      <x:c r="V819" t="str"/>
      <x:c r="W819" t="str"/>
      <x:c r="X819" t="str"/>
      <x:c r="Y819" t="str">
        <x:v>https://data.ny.gov/Economic-Development/Active-Corporations-Beginning-1800/n9v6-gdp6</x:v>
      </x:c>
    </x:row>
    <x:row r="820">
      <x:c r="A820" t="str">
        <x:v>DOS-5-024</x:v>
      </x:c>
      <x:c r="B820" t="n">
        <x:v>5</x:v>
      </x:c>
      <x:c r="C820" t="str">
        <x:v>3016 UNION BOULEVARD, EAST ISLIP, NY, 11730, US | 3016 UNION BOULEVARD,, EAST ISLIP, NY, 11730, US</x:v>
      </x:c>
      <x:c r="D820" t="str">
        <x:v>KLC PROPERTIES LLC</x:v>
      </x:c>
      <x:c r="E820" t="str">
        <x:v>KLC PROPERTIES LLC</x:v>
      </x:c>
      <x:c r="F820" t="str">
        <x:v>Active name match</x:v>
      </x:c>
      <x:c r="G820" t="n">
        <x:v>1</x:v>
      </x:c>
      <x:c r="H820" t="n">
        <x:v>1</x:v>
      </x:c>
      <x:c r="I820" t="str">
        <x:v>5617635</x:v>
      </x:c>
      <x:c r="J820" t="str">
        <x:v>KLC PROPERTIES LLC</x:v>
      </x:c>
      <x:c r="K820" s="55" t="n">
        <x:v>43717</x:v>
      </x:c>
      <x:c r="L820" t="str">
        <x:v>Suffolk</x:v>
      </x:c>
      <x:c r="M820" t="str">
        <x:v>New York</x:v>
      </x:c>
      <x:c r="N820" t="str">
        <x:v>DOMESTIC LIMITED LIABILITY COMPANY</x:v>
      </x:c>
      <x:c r="O820" t="str">
        <x:v>KLC PROPERTIES LLC</x:v>
      </x:c>
      <x:c r="P820" t="str">
        <x:v>3016 UNION BLVD., EAST ISLIP, NY, 11730</x:v>
      </x:c>
      <x:c r="Q820" t="str"/>
      <x:c r="R820" t="str"/>
      <x:c r="S820" t="str"/>
      <x:c r="T820" t="str"/>
      <x:c r="U820" t="str"/>
      <x:c r="V820" t="str"/>
      <x:c r="W820" t="str"/>
      <x:c r="X820" t="str"/>
      <x:c r="Y820" t="str">
        <x:v>https://data.ny.gov/Economic-Development/Active-Corporations-Beginning-1800/n9v6-gdp6</x:v>
      </x:c>
    </x:row>
    <x:row r="821">
      <x:c r="A821" t="str">
        <x:v>DOS-5-024</x:v>
      </x:c>
      <x:c r="B821" t="n">
        <x:v>5</x:v>
      </x:c>
      <x:c r="C821" t="str">
        <x:v>3016 UNION BOULEVARD, EAST ISLIP, NY, 11730, US | 3016 UNION BOULEVARD,, EAST ISLIP, NY, 11730, US</x:v>
      </x:c>
      <x:c r="D821" t="str">
        <x:v>KLC SANFORD LLC</x:v>
      </x:c>
      <x:c r="E821" t="str">
        <x:v>KLC SANFORD LLC</x:v>
      </x:c>
      <x:c r="F821" t="str">
        <x:v>Address-corroborated active match</x:v>
      </x:c>
      <x:c r="G821" t="n">
        <x:v>1</x:v>
      </x:c>
      <x:c r="H821" t="n">
        <x:v>2</x:v>
      </x:c>
      <x:c r="I821" t="str">
        <x:v>5621958</x:v>
      </x:c>
      <x:c r="J821" t="str">
        <x:v>KLC SANFORD LLC</x:v>
      </x:c>
      <x:c r="K821" s="55" t="n">
        <x:v>43724</x:v>
      </x:c>
      <x:c r="L821" t="str">
        <x:v>Suffolk</x:v>
      </x:c>
      <x:c r="M821" t="str">
        <x:v>New York</x:v>
      </x:c>
      <x:c r="N821" t="str">
        <x:v>DOMESTIC LIMITED LIABILITY COMPANY</x:v>
      </x:c>
      <x:c r="O821" t="str">
        <x:v>KLC SANFORD LLC</x:v>
      </x:c>
      <x:c r="P821" t="str">
        <x:v>3016 UNION BOULEVARD, EAST ISLIP, NY, 11730</x:v>
      </x:c>
      <x:c r="Q821" t="str"/>
      <x:c r="R821" t="str"/>
      <x:c r="S821" t="str"/>
      <x:c r="T821" t="str"/>
      <x:c r="U821" t="str"/>
      <x:c r="V821" t="str"/>
      <x:c r="W821" t="str"/>
      <x:c r="X821" t="str"/>
      <x:c r="Y821" t="str">
        <x:v>https://data.ny.gov/Economic-Development/Active-Corporations-Beginning-1800/n9v6-gdp6</x:v>
      </x:c>
    </x:row>
    <x:row r="822">
      <x:c r="A822" t="str">
        <x:v>DOS-5-025</x:v>
      </x:c>
      <x:c r="B822" t="n">
        <x:v>5</x:v>
      </x:c>
      <x:c r="C822" t="str">
        <x:v>60 MONTGOMERY BLVD, ATLANTIC BEACH, NY, 11509, US</x:v>
      </x:c>
      <x:c r="D822" t="str">
        <x:v>SBBK A LLC</x:v>
      </x:c>
      <x:c r="E822" t="str">
        <x:v>SBBK A LLC</x:v>
      </x:c>
      <x:c r="F822" t="str">
        <x:v>Active name match</x:v>
      </x:c>
      <x:c r="G822" t="n">
        <x:v>1</x:v>
      </x:c>
      <x:c r="H822" t="n">
        <x:v>0</x:v>
      </x:c>
      <x:c r="I822" t="str">
        <x:v>5276495</x:v>
      </x:c>
      <x:c r="J822" t="str">
        <x:v>SBBK A LLC</x:v>
      </x:c>
      <x:c r="K822" s="55" t="n">
        <x:v>43130</x:v>
      </x:c>
      <x:c r="L822" t="str">
        <x:v>Nassau</x:v>
      </x:c>
      <x:c r="M822" t="str">
        <x:v>New York</x:v>
      </x:c>
      <x:c r="N822" t="str">
        <x:v>DOMESTIC LIMITED LIABILITY COMPANY</x:v>
      </x:c>
      <x:c r="O822" t="str">
        <x:v>NATHANIEL M. SWERGOLD</x:v>
      </x:c>
      <x:c r="P822" t="str">
        <x:v>124 CEDARHURST AVENUE, SUITE 1, CEDARHURST, NY, 11516</x:v>
      </x:c>
      <x:c r="Q822" t="str"/>
      <x:c r="R822" t="str"/>
      <x:c r="S822" t="str"/>
      <x:c r="T822" t="str"/>
      <x:c r="U822" t="str"/>
      <x:c r="V822" t="str"/>
      <x:c r="W822" t="str"/>
      <x:c r="X822" t="str"/>
      <x:c r="Y822" t="str">
        <x:v>https://data.ny.gov/Economic-Development/Active-Corporations-Beginning-1800/n9v6-gdp6</x:v>
      </x:c>
    </x:row>
    <x:row r="823">
      <x:c r="A823" t="str">
        <x:v>DOS-5-025</x:v>
      </x:c>
      <x:c r="B823" t="n">
        <x:v>5</x:v>
      </x:c>
      <x:c r="C823" t="str">
        <x:v>60 MONTGOMERY BLVD, ATLANTIC BEACH, NY, 11509, US</x:v>
      </x:c>
      <x:c r="D823" t="str">
        <x:v>SBBK B LLC</x:v>
      </x:c>
      <x:c r="E823" t="str">
        <x:v>SBBK B LLC</x:v>
      </x:c>
      <x:c r="F823" t="str">
        <x:v>Active name match</x:v>
      </x:c>
      <x:c r="G823" t="n">
        <x:v>1</x:v>
      </x:c>
      <x:c r="H823" t="n">
        <x:v>0</x:v>
      </x:c>
      <x:c r="I823" t="str">
        <x:v>5276499</x:v>
      </x:c>
      <x:c r="J823" t="str">
        <x:v>SBBK B LLC</x:v>
      </x:c>
      <x:c r="K823" s="55" t="n">
        <x:v>43130</x:v>
      </x:c>
      <x:c r="L823" t="str">
        <x:v>Nassau</x:v>
      </x:c>
      <x:c r="M823" t="str">
        <x:v>New York</x:v>
      </x:c>
      <x:c r="N823" t="str">
        <x:v>DOMESTIC LIMITED LIABILITY COMPANY</x:v>
      </x:c>
      <x:c r="O823" t="str">
        <x:v>NATHANIEL M. SWERGOLD</x:v>
      </x:c>
      <x:c r="P823" t="str">
        <x:v>124 CEDARHURST AVENUE, SUITE 1, CEDARHURST, NY, 11516</x:v>
      </x:c>
      <x:c r="Q823" t="str"/>
      <x:c r="R823" t="str"/>
      <x:c r="S823" t="str"/>
      <x:c r="T823" t="str"/>
      <x:c r="U823" t="str"/>
      <x:c r="V823" t="str"/>
      <x:c r="W823" t="str"/>
      <x:c r="X823" t="str"/>
      <x:c r="Y823" t="str">
        <x:v>https://data.ny.gov/Economic-Development/Active-Corporations-Beginning-1800/n9v6-gdp6</x:v>
      </x:c>
    </x:row>
    <x:row r="824">
      <x:c r="A824" t="str">
        <x:v>DOS-5-025</x:v>
      </x:c>
      <x:c r="B824" t="n">
        <x:v>5</x:v>
      </x:c>
      <x:c r="C824" t="str">
        <x:v>60 MONTGOMERY BLVD, ATLANTIC BEACH, NY, 11509, US</x:v>
      </x:c>
      <x:c r="D824" t="str">
        <x:v>SBBK C LLC</x:v>
      </x:c>
      <x:c r="E824" t="str">
        <x:v>SBBK C LLC</x:v>
      </x:c>
      <x:c r="F824" t="str">
        <x:v>Active name match</x:v>
      </x:c>
      <x:c r="G824" t="n">
        <x:v>1</x:v>
      </x:c>
      <x:c r="H824" t="n">
        <x:v>0</x:v>
      </x:c>
      <x:c r="I824" t="str">
        <x:v>5276489</x:v>
      </x:c>
      <x:c r="J824" t="str">
        <x:v>SBBK C LLC</x:v>
      </x:c>
      <x:c r="K824" s="55" t="n">
        <x:v>43130</x:v>
      </x:c>
      <x:c r="L824" t="str">
        <x:v>Nassau</x:v>
      </x:c>
      <x:c r="M824" t="str">
        <x:v>New York</x:v>
      </x:c>
      <x:c r="N824" t="str">
        <x:v>DOMESTIC LIMITED LIABILITY COMPANY</x:v>
      </x:c>
      <x:c r="O824" t="str">
        <x:v>NATHANIEL M. SWERGOLD</x:v>
      </x:c>
      <x:c r="P824" t="str">
        <x:v>124 CEDARHURST AVENUE SUITE 1, CEDARHURST, NY, 11516</x:v>
      </x:c>
      <x:c r="Q824" t="str"/>
      <x:c r="R824" t="str"/>
      <x:c r="S824" t="str"/>
      <x:c r="T824" t="str"/>
      <x:c r="U824" t="str"/>
      <x:c r="V824" t="str"/>
      <x:c r="W824" t="str"/>
      <x:c r="X824" t="str"/>
      <x:c r="Y824" t="str">
        <x:v>https://data.ny.gov/Economic-Development/Active-Corporations-Beginning-1800/n9v6-gdp6</x:v>
      </x:c>
    </x:row>
    <x:row r="825">
      <x:c r="A825" t="str">
        <x:v>DOS-5-025</x:v>
      </x:c>
      <x:c r="B825" t="n">
        <x:v>5</x:v>
      </x:c>
      <x:c r="C825" t="str">
        <x:v>60 MONTGOMERY BLVD, ATLANTIC BEACH, NY, 11509, US</x:v>
      </x:c>
      <x:c r="D825" t="str">
        <x:v>SBBK D LLC</x:v>
      </x:c>
      <x:c r="E825" t="str">
        <x:v>SBBK D LLC</x:v>
      </x:c>
      <x:c r="F825" t="str">
        <x:v>Active name match</x:v>
      </x:c>
      <x:c r="G825" t="n">
        <x:v>1</x:v>
      </x:c>
      <x:c r="H825" t="n">
        <x:v>0</x:v>
      </x:c>
      <x:c r="I825" t="str">
        <x:v>5456962</x:v>
      </x:c>
      <x:c r="J825" t="str">
        <x:v>SBBK D LLC</x:v>
      </x:c>
      <x:c r="K825" s="55" t="n">
        <x:v>43445</x:v>
      </x:c>
      <x:c r="L825" t="str">
        <x:v>Nassau</x:v>
      </x:c>
      <x:c r="M825" t="str">
        <x:v>New York</x:v>
      </x:c>
      <x:c r="N825" t="str">
        <x:v>DOMESTIC LIMITED LIABILITY COMPANY</x:v>
      </x:c>
      <x:c r="O825" t="str">
        <x:v>NATHANIEL M. SWERGOLD</x:v>
      </x:c>
      <x:c r="P825" t="str">
        <x:v>124 CEDARHURST AVENUE, SUITE 1, CEDARHURST, NY, 11516</x:v>
      </x:c>
      <x:c r="Q825" t="str"/>
      <x:c r="R825" t="str"/>
      <x:c r="S825" t="str"/>
      <x:c r="T825" t="str"/>
      <x:c r="U825" t="str"/>
      <x:c r="V825" t="str"/>
      <x:c r="W825" t="str"/>
      <x:c r="X825" t="str"/>
      <x:c r="Y825" t="str">
        <x:v>https://data.ny.gov/Economic-Development/Active-Corporations-Beginning-1800/n9v6-gdp6</x:v>
      </x:c>
    </x:row>
    <x:row r="826">
      <x:c r="A826" t="str">
        <x:v>DOS-5-025</x:v>
      </x:c>
      <x:c r="B826" t="n">
        <x:v>5</x:v>
      </x:c>
      <x:c r="C826" t="str">
        <x:v>60 MONTGOMERY BLVD, ATLANTIC BEACH, NY, 11509, US</x:v>
      </x:c>
      <x:c r="D826" t="str">
        <x:v>SBBK E LLC</x:v>
      </x:c>
      <x:c r="E826" t="str">
        <x:v>SBBK E LLC</x:v>
      </x:c>
      <x:c r="F826" t="str">
        <x:v>Active name match</x:v>
      </x:c>
      <x:c r="G826" t="n">
        <x:v>1</x:v>
      </x:c>
      <x:c r="H826" t="n">
        <x:v>0</x:v>
      </x:c>
      <x:c r="I826" t="str">
        <x:v>5369633</x:v>
      </x:c>
      <x:c r="J826" t="str">
        <x:v>SBBK E LLC</x:v>
      </x:c>
      <x:c r="K826" s="55" t="n">
        <x:v>43284</x:v>
      </x:c>
      <x:c r="L826" t="str">
        <x:v>Nassau</x:v>
      </x:c>
      <x:c r="M826" t="str">
        <x:v>New York</x:v>
      </x:c>
      <x:c r="N826" t="str">
        <x:v>DOMESTIC LIMITED LIABILITY COMPANY</x:v>
      </x:c>
      <x:c r="O826" t="str">
        <x:v>NATHANIEL M. SWERGOLD</x:v>
      </x:c>
      <x:c r="P826" t="str">
        <x:v>124 CEDARHURST AVENUE, SUITE 1, CEDARHURST, NY, 11516</x:v>
      </x:c>
      <x:c r="Q826" t="str"/>
      <x:c r="R826" t="str"/>
      <x:c r="S826" t="str"/>
      <x:c r="T826" t="str"/>
      <x:c r="U826" t="str"/>
      <x:c r="V826" t="str"/>
      <x:c r="W826" t="str"/>
      <x:c r="X826" t="str"/>
      <x:c r="Y826" t="str">
        <x:v>https://data.ny.gov/Economic-Development/Active-Corporations-Beginning-1800/n9v6-gdp6</x:v>
      </x:c>
    </x:row>
    <x:row r="827">
      <x:c r="A827" t="str">
        <x:v>DOS-5-026</x:v>
      </x:c>
      <x:c r="B827" t="n">
        <x:v>5</x:v>
      </x:c>
      <x:c r="C827" t="str">
        <x:v>138-39 78TH AVENUE, FLUSHING, NY, 11367, US</x:v>
      </x:c>
      <x:c r="D827" t="str">
        <x:v>FABIO REALTY LLC</x:v>
      </x:c>
      <x:c r="E827" t="str">
        <x:v>FABIO REALTY LLC</x:v>
      </x:c>
      <x:c r="F827" t="str">
        <x:v>Active name match</x:v>
      </x:c>
      <x:c r="G827" t="n">
        <x:v>1</x:v>
      </x:c>
      <x:c r="H827" t="n">
        <x:v>1</x:v>
      </x:c>
      <x:c r="I827" t="str">
        <x:v>3817775</x:v>
      </x:c>
      <x:c r="J827" t="str">
        <x:v>FABIO REALTY LLC</x:v>
      </x:c>
      <x:c r="K827" s="55" t="n">
        <x:v>39967</x:v>
      </x:c>
      <x:c r="L827" t="str">
        <x:v>Albany</x:v>
      </x:c>
      <x:c r="M827" t="str">
        <x:v>New York</x:v>
      </x:c>
      <x:c r="N827" t="str">
        <x:v>DOMESTIC LIMITED LIABILITY COMPANY</x:v>
      </x:c>
      <x:c r="O827" t="str">
        <x:v>VLASH PEPA</x:v>
      </x:c>
      <x:c r="P827" t="str">
        <x:v>138-39 78TH AVENUE APT E, FLUSHING, NY, 11367</x:v>
      </x:c>
      <x:c r="Q827" t="str"/>
      <x:c r="R827" t="str"/>
      <x:c r="S827" t="str"/>
      <x:c r="T827" t="str"/>
      <x:c r="U827" t="str"/>
      <x:c r="V827" t="str"/>
      <x:c r="W827" t="str"/>
      <x:c r="X827" t="str"/>
      <x:c r="Y827" t="str">
        <x:v>https://data.ny.gov/Economic-Development/Active-Corporations-Beginning-1800/n9v6-gdp6</x:v>
      </x:c>
    </x:row>
    <x:row r="828">
      <x:c r="A828" t="str">
        <x:v>DOS-5-026</x:v>
      </x:c>
      <x:c r="B828" t="n">
        <x:v>5</x:v>
      </x:c>
      <x:c r="C828" t="str">
        <x:v>138-39 78TH AVENUE, FLUSHING, NY, 11367, US</x:v>
      </x:c>
      <x:c r="D828" t="str">
        <x:v>GABRIELA S REALTY LLC</x:v>
      </x:c>
      <x:c r="E828" t="str">
        <x:v>GABRIELA'S REALTY LLC</x:v>
      </x:c>
      <x:c r="F828" t="str">
        <x:v>Address-corroborated active match</x:v>
      </x:c>
      <x:c r="G828" t="n">
        <x:v>1</x:v>
      </x:c>
      <x:c r="H828" t="n">
        <x:v>2</x:v>
      </x:c>
      <x:c r="I828" t="str">
        <x:v>4702776</x:v>
      </x:c>
      <x:c r="J828" t="str">
        <x:v>GABRIELA'S REALTY LLC</x:v>
      </x:c>
      <x:c r="K828" s="55" t="n">
        <x:v>42034</x:v>
      </x:c>
      <x:c r="L828" t="str">
        <x:v>Queens</x:v>
      </x:c>
      <x:c r="M828" t="str">
        <x:v>New York</x:v>
      </x:c>
      <x:c r="N828" t="str">
        <x:v>DOMESTIC LIMITED LIABILITY COMPANY</x:v>
      </x:c>
      <x:c r="O828" t="str">
        <x:v>VLASH PEPA</x:v>
      </x:c>
      <x:c r="P828" t="str">
        <x:v>138-39 78TH AVENUE, FLUSHING, NY, 11367</x:v>
      </x:c>
      <x:c r="Q828" t="str"/>
      <x:c r="R828" t="str"/>
      <x:c r="S828" t="str"/>
      <x:c r="T828" t="str"/>
      <x:c r="U828" t="str"/>
      <x:c r="V828" t="str"/>
      <x:c r="W828" t="str"/>
      <x:c r="X828" t="str"/>
      <x:c r="Y828" t="str">
        <x:v>https://data.ny.gov/Economic-Development/Active-Corporations-Beginning-1800/n9v6-gdp6</x:v>
      </x:c>
    </x:row>
    <x:row r="829">
      <x:c r="A829" t="str">
        <x:v>DOS-5-026</x:v>
      </x:c>
      <x:c r="B829" t="n">
        <x:v>5</x:v>
      </x:c>
      <x:c r="C829" t="str">
        <x:v>138-39 78TH AVENUE, FLUSHING, NY, 11367, US</x:v>
      </x:c>
      <x:c r="D829" t="str">
        <x:v>GABRIELAS REALTY LLC</x:v>
      </x:c>
      <x:c r="E829" t="str">
        <x:v>GABRIELAS REALTY LLC</x:v>
      </x:c>
      <x:c r="F829" t="str">
        <x:v>No active DOS match</x:v>
      </x:c>
      <x:c r="G829" t="n">
        <x:v>0</x:v>
      </x:c>
      <x:c r="H829" t="n">
        <x:v>0</x:v>
      </x:c>
      <x:c r="I829" t="str"/>
      <x:c r="J829" t="str"/>
      <x:c r="K829" s="55" t="str"/>
      <x:c r="L829" t="str"/>
      <x:c r="M829" t="str"/>
      <x:c r="N829" t="str"/>
      <x:c r="O829" t="str"/>
      <x:c r="P829" t="str"/>
      <x:c r="Q829" t="str"/>
      <x:c r="R829" t="str"/>
      <x:c r="S829" t="str"/>
      <x:c r="T829" t="str"/>
      <x:c r="U829" t="str"/>
      <x:c r="V829" t="str"/>
      <x:c r="W829" t="str"/>
      <x:c r="X829" t="str"/>
      <x:c r="Y829" t="str">
        <x:v>https://data.ny.gov/Economic-Development/Active-Corporations-Beginning-1800/n9v6-gdp6</x:v>
      </x:c>
    </x:row>
    <x:row r="830">
      <x:c r="A830" t="str">
        <x:v>DOS-5-026</x:v>
      </x:c>
      <x:c r="B830" t="n">
        <x:v>5</x:v>
      </x:c>
      <x:c r="C830" t="str">
        <x:v>138-39 78TH AVENUE, FLUSHING, NY, 11367, US</x:v>
      </x:c>
      <x:c r="D830" t="str">
        <x:v>NIKOLIN REALTY LLC</x:v>
      </x:c>
      <x:c r="E830" t="str">
        <x:v>NIKOLIN REALTY LLC.</x:v>
      </x:c>
      <x:c r="F830" t="str">
        <x:v>Address-corroborated active match</x:v>
      </x:c>
      <x:c r="G830" t="n">
        <x:v>1</x:v>
      </x:c>
      <x:c r="H830" t="n">
        <x:v>2</x:v>
      </x:c>
      <x:c r="I830" t="str">
        <x:v>3863474</x:v>
      </x:c>
      <x:c r="J830" t="str">
        <x:v>NIKOLIN REALTY LLC</x:v>
      </x:c>
      <x:c r="K830" s="55" t="n">
        <x:v>40091</x:v>
      </x:c>
      <x:c r="L830" t="str">
        <x:v>Queens</x:v>
      </x:c>
      <x:c r="M830" t="str">
        <x:v>New York</x:v>
      </x:c>
      <x:c r="N830" t="str">
        <x:v>DOMESTIC LIMITED LIABILITY COMPANY</x:v>
      </x:c>
      <x:c r="O830" t="str">
        <x:v>NIKOLIN REALTY LLC</x:v>
      </x:c>
      <x:c r="P830" t="str">
        <x:v>138-39 78TH AVENUE, SUITE E, FLUSHING, NY, 11367</x:v>
      </x:c>
      <x:c r="Q830" t="str"/>
      <x:c r="R830" t="str"/>
      <x:c r="S830" t="str"/>
      <x:c r="T830" t="str"/>
      <x:c r="U830" t="str"/>
      <x:c r="V830" t="str"/>
      <x:c r="W830" t="str"/>
      <x:c r="X830" t="str"/>
      <x:c r="Y830" t="str">
        <x:v>https://data.ny.gov/Economic-Development/Active-Corporations-Beginning-1800/n9v6-gdp6</x:v>
      </x:c>
    </x:row>
    <x:row r="831">
      <x:c r="A831" t="str">
        <x:v>DOS-5-026</x:v>
      </x:c>
      <x:c r="B831" t="n">
        <x:v>5</x:v>
      </x:c>
      <x:c r="C831" t="str">
        <x:v>138-39 78TH AVENUE, FLUSHING, NY, 11367, US</x:v>
      </x:c>
      <x:c r="D831" t="str">
        <x:v>VINNY S REALTY LLC</x:v>
      </x:c>
      <x:c r="E831" t="str">
        <x:v>VINNY'S REALTY LLC</x:v>
      </x:c>
      <x:c r="F831" t="str">
        <x:v>Active name match</x:v>
      </x:c>
      <x:c r="G831" t="n">
        <x:v>1</x:v>
      </x:c>
      <x:c r="H831" t="n">
        <x:v>0</x:v>
      </x:c>
      <x:c r="I831" t="str">
        <x:v>4196069</x:v>
      </x:c>
      <x:c r="J831" t="str">
        <x:v>VINNY'S REALTY LLC</x:v>
      </x:c>
      <x:c r="K831" s="55" t="n">
        <x:v>40939</x:v>
      </x:c>
      <x:c r="L831" t="str">
        <x:v>Queens</x:v>
      </x:c>
      <x:c r="M831" t="str">
        <x:v>New York</x:v>
      </x:c>
      <x:c r="N831" t="str">
        <x:v>DOMESTIC LIMITED LIABILITY COMPANY</x:v>
      </x:c>
      <x:c r="O831" t="str">
        <x:v>VINNY'S REALTY LLC</x:v>
      </x:c>
      <x:c r="P831" t="str">
        <x:v>3-16 Parsons Blvd, Whitestone, NY, 11357</x:v>
      </x:c>
      <x:c r="Q831" t="str"/>
      <x:c r="R831" t="str"/>
      <x:c r="S831" t="str"/>
      <x:c r="T831" t="str"/>
      <x:c r="U831" t="str"/>
      <x:c r="V831" t="str"/>
      <x:c r="W831" t="str"/>
      <x:c r="X831" t="str"/>
      <x:c r="Y831" t="str">
        <x:v>https://data.ny.gov/Economic-Development/Active-Corporations-Beginning-1800/n9v6-gdp6</x:v>
      </x:c>
    </x:row>
    <x:row r="832">
      <x:c r="A832" t="str">
        <x:v>DOS-5-027</x:v>
      </x:c>
      <x:c r="B832" t="n">
        <x:v>5</x:v>
      </x:c>
      <x:c r="C832" t="str">
        <x:v>2116 FULTON STREET 1ST FLOOR, BROOKLYN, NY, 11233, US | 2116 FULTON STREET, 1ST FLOOR, BROOKLYN, NY, 11233, US</x:v>
      </x:c>
      <x:c r="D832" t="str">
        <x:v>MTEK 174 JEFFERSON LLC</x:v>
      </x:c>
      <x:c r="E832" t="str">
        <x:v>MTEK 174 JEFFERSON LLC</x:v>
      </x:c>
      <x:c r="F832" t="str">
        <x:v>Address-corroborated active match</x:v>
      </x:c>
      <x:c r="G832" t="n">
        <x:v>1</x:v>
      </x:c>
      <x:c r="H832" t="n">
        <x:v>2</x:v>
      </x:c>
      <x:c r="I832" t="str">
        <x:v>7636313</x:v>
      </x:c>
      <x:c r="J832" t="str">
        <x:v>MTEK 174 JEFFERSON LLC</x:v>
      </x:c>
      <x:c r="K832" s="55" t="n">
        <x:v>45821</x:v>
      </x:c>
      <x:c r="L832" t="str">
        <x:v>Albany</x:v>
      </x:c>
      <x:c r="M832" t="str">
        <x:v>New York</x:v>
      </x:c>
      <x:c r="N832" t="str">
        <x:v>DOMESTIC LIMITED LIABILITY COMPANY</x:v>
      </x:c>
      <x:c r="O832" t="str">
        <x:v>MTEK 174 Jefferson LLC</x:v>
      </x:c>
      <x:c r="P832" t="str">
        <x:v>2116 Fulton St, 1st Fl, Brooklyn, NY, 11233</x:v>
      </x:c>
      <x:c r="Q832" t="str"/>
      <x:c r="R832" t="str"/>
      <x:c r="S832" t="str"/>
      <x:c r="T832" t="str"/>
      <x:c r="U832" t="str"/>
      <x:c r="V832" t="str"/>
      <x:c r="W832" t="str"/>
      <x:c r="X832" t="str"/>
      <x:c r="Y832" t="str">
        <x:v>https://data.ny.gov/Economic-Development/Active-Corporations-Beginning-1800/n9v6-gdp6</x:v>
      </x:c>
    </x:row>
    <x:row r="833">
      <x:c r="A833" t="str">
        <x:v>DOS-5-027</x:v>
      </x:c>
      <x:c r="B833" t="n">
        <x:v>5</x:v>
      </x:c>
      <x:c r="C833" t="str">
        <x:v>2116 FULTON STREET 1ST FLOOR, BROOKLYN, NY, 11233, US | 2116 FULTON STREET, 1ST FLOOR, BROOKLYN, NY, 11233, US</x:v>
      </x:c>
      <x:c r="D833" t="str">
        <x:v>MTEK CITY LLC</x:v>
      </x:c>
      <x:c r="E833" t="str">
        <x:v>MTEK CITY LLC</x:v>
      </x:c>
      <x:c r="F833" t="str">
        <x:v>Address-corroborated active match</x:v>
      </x:c>
      <x:c r="G833" t="n">
        <x:v>1</x:v>
      </x:c>
      <x:c r="H833" t="n">
        <x:v>2</x:v>
      </x:c>
      <x:c r="I833" t="str">
        <x:v>7856489</x:v>
      </x:c>
      <x:c r="J833" t="str">
        <x:v>MTEK CITY LLC</x:v>
      </x:c>
      <x:c r="K833" s="55" t="n">
        <x:v>46092</x:v>
      </x:c>
      <x:c r="L833" t="str">
        <x:v>Kings</x:v>
      </x:c>
      <x:c r="M833" t="str">
        <x:v>New York</x:v>
      </x:c>
      <x:c r="N833" t="str">
        <x:v>DOMESTIC LIMITED LIABILITY COMPANY</x:v>
      </x:c>
      <x:c r="O833" t="str">
        <x:v>MTEK CITY LLC</x:v>
      </x:c>
      <x:c r="P833" t="str">
        <x:v>2116 Fulton Street, 1st Fl, Brooklyn, NY, 11233</x:v>
      </x:c>
      <x:c r="Q833" t="str"/>
      <x:c r="R833" t="str"/>
      <x:c r="S833" t="str"/>
      <x:c r="T833" t="str"/>
      <x:c r="U833" t="str"/>
      <x:c r="V833" t="str"/>
      <x:c r="W833" t="str"/>
      <x:c r="X833" t="str"/>
      <x:c r="Y833" t="str">
        <x:v>https://data.ny.gov/Economic-Development/Active-Corporations-Beginning-1800/n9v6-gdp6</x:v>
      </x:c>
    </x:row>
    <x:row r="834">
      <x:c r="A834" t="str">
        <x:v>DOS-5-027</x:v>
      </x:c>
      <x:c r="B834" t="n">
        <x:v>5</x:v>
      </x:c>
      <x:c r="C834" t="str">
        <x:v>2116 FULTON STREET 1ST FLOOR, BROOKLYN, NY, 11233, US | 2116 FULTON STREET, 1ST FLOOR, BROOKLYN, NY, 11233, US</x:v>
      </x:c>
      <x:c r="D834" t="str">
        <x:v>MTEK FRANKLIN LLC</x:v>
      </x:c>
      <x:c r="E834" t="str">
        <x:v>MTEK FRANKLIN LLC</x:v>
      </x:c>
      <x:c r="F834" t="str">
        <x:v>Active name match</x:v>
      </x:c>
      <x:c r="G834" t="n">
        <x:v>1</x:v>
      </x:c>
      <x:c r="H834" t="n">
        <x:v>0</x:v>
      </x:c>
      <x:c r="I834" t="str">
        <x:v>7581157</x:v>
      </x:c>
      <x:c r="J834" t="str">
        <x:v>MTEK FRANKLIN LLC</x:v>
      </x:c>
      <x:c r="K834" s="55" t="n">
        <x:v>45755</x:v>
      </x:c>
      <x:c r="L834" t="str">
        <x:v>Nassau</x:v>
      </x:c>
      <x:c r="M834" t="str">
        <x:v>New York</x:v>
      </x:c>
      <x:c r="N834" t="str">
        <x:v>DOMESTIC LIMITED LIABILITY COMPANY</x:v>
      </x:c>
      <x:c r="O834" t="str">
        <x:v>MTEK FRANKLIN LLC</x:v>
      </x:c>
      <x:c r="P834" t="str">
        <x:v>97 Powehouse Road 103, Great Neck, NY, 11021</x:v>
      </x:c>
      <x:c r="Q834" t="str"/>
      <x:c r="R834" t="str"/>
      <x:c r="S834" t="str"/>
      <x:c r="T834" t="str"/>
      <x:c r="U834" t="str"/>
      <x:c r="V834" t="str"/>
      <x:c r="W834" t="str"/>
      <x:c r="X834" t="str"/>
      <x:c r="Y834" t="str">
        <x:v>https://data.ny.gov/Economic-Development/Active-Corporations-Beginning-1800/n9v6-gdp6</x:v>
      </x:c>
    </x:row>
    <x:row r="835">
      <x:c r="A835" t="str">
        <x:v>DOS-5-027</x:v>
      </x:c>
      <x:c r="B835" t="n">
        <x:v>5</x:v>
      </x:c>
      <x:c r="C835" t="str">
        <x:v>2116 FULTON STREET 1ST FLOOR, BROOKLYN, NY, 11233, US | 2116 FULTON STREET, 1ST FLOOR, BROOKLYN, NY, 11233, US</x:v>
      </x:c>
      <x:c r="D835" t="str">
        <x:v>MTEK GOLD LLC</x:v>
      </x:c>
      <x:c r="E835" t="str">
        <x:v>MTEK GOLD LLC</x:v>
      </x:c>
      <x:c r="F835" t="str">
        <x:v>Address-corroborated active match</x:v>
      </x:c>
      <x:c r="G835" t="n">
        <x:v>1</x:v>
      </x:c>
      <x:c r="H835" t="n">
        <x:v>2</x:v>
      </x:c>
      <x:c r="I835" t="str">
        <x:v>7686232</x:v>
      </x:c>
      <x:c r="J835" t="str">
        <x:v>MTEK GOLD LLC</x:v>
      </x:c>
      <x:c r="K835" s="55" t="n">
        <x:v>45883</x:v>
      </x:c>
      <x:c r="L835" t="str">
        <x:v>Albany</x:v>
      </x:c>
      <x:c r="M835" t="str">
        <x:v>New York</x:v>
      </x:c>
      <x:c r="N835" t="str">
        <x:v>DOMESTIC LIMITED LIABILITY COMPANY</x:v>
      </x:c>
      <x:c r="O835" t="str">
        <x:v>MTEK GOLD LLC</x:v>
      </x:c>
      <x:c r="P835" t="str">
        <x:v>2116 Fulton St, 1st FL, Brooklyn, NY, 11233</x:v>
      </x:c>
      <x:c r="Q835" t="str"/>
      <x:c r="R835" t="str"/>
      <x:c r="S835" t="str"/>
      <x:c r="T835" t="str"/>
      <x:c r="U835" t="str"/>
      <x:c r="V835" t="str"/>
      <x:c r="W835" t="str"/>
      <x:c r="X835" t="str"/>
      <x:c r="Y835" t="str">
        <x:v>https://data.ny.gov/Economic-Development/Active-Corporations-Beginning-1800/n9v6-gdp6</x:v>
      </x:c>
    </x:row>
    <x:row r="836">
      <x:c r="A836" t="str">
        <x:v>DOS-5-027</x:v>
      </x:c>
      <x:c r="B836" t="n">
        <x:v>5</x:v>
      </x:c>
      <x:c r="C836" t="str">
        <x:v>2116 FULTON STREET 1ST FLOOR, BROOKLYN, NY, 11233, US | 2116 FULTON STREET, 1ST FLOOR, BROOKLYN, NY, 11233, US</x:v>
      </x:c>
      <x:c r="D836" t="str">
        <x:v>MTEK PARK LLC</x:v>
      </x:c>
      <x:c r="E836" t="str">
        <x:v>MTEK PARK LLC</x:v>
      </x:c>
      <x:c r="F836" t="str">
        <x:v>Address-corroborated active match</x:v>
      </x:c>
      <x:c r="G836" t="n">
        <x:v>1</x:v>
      </x:c>
      <x:c r="H836" t="n">
        <x:v>2</x:v>
      </x:c>
      <x:c r="I836" t="str">
        <x:v>7576073</x:v>
      </x:c>
      <x:c r="J836" t="str">
        <x:v>MTEK PARK LLC</x:v>
      </x:c>
      <x:c r="K836" s="55" t="n">
        <x:v>45749</x:v>
      </x:c>
      <x:c r="L836" t="str">
        <x:v>Kings</x:v>
      </x:c>
      <x:c r="M836" t="str">
        <x:v>New York</x:v>
      </x:c>
      <x:c r="N836" t="str">
        <x:v>DOMESTIC LIMITED LIABILITY COMPANY</x:v>
      </x:c>
      <x:c r="O836" t="str">
        <x:v>MTEK PARK LLC</x:v>
      </x:c>
      <x:c r="P836" t="str">
        <x:v>2116 FULTON ST, 1st Floor, Brooklyn, NY, 11233</x:v>
      </x:c>
      <x:c r="Q836" t="str"/>
      <x:c r="R836" t="str"/>
      <x:c r="S836" t="str"/>
      <x:c r="T836" t="str"/>
      <x:c r="U836" t="str"/>
      <x:c r="V836" t="str"/>
      <x:c r="W836" t="str"/>
      <x:c r="X836" t="str"/>
      <x:c r="Y836" t="str">
        <x:v>https://data.ny.gov/Economic-Development/Active-Corporations-Beginning-1800/n9v6-gdp6</x:v>
      </x:c>
    </x:row>
    <x:row r="837">
      <x:c r="A837" t="str">
        <x:v>DOS-5-028</x:v>
      </x:c>
      <x:c r="B837" t="n">
        <x:v>5</x:v>
      </x:c>
      <x:c r="C837" t="str">
        <x:v>245 WILSON AVENUE, BROOKLYN, NY, 11237, US</x:v>
      </x:c>
      <x:c r="D837" t="str">
        <x:v>LIBERTY FOR ALL LLC</x:v>
      </x:c>
      <x:c r="E837" t="str">
        <x:v>LIBERTY FOR ALL LLC</x:v>
      </x:c>
      <x:c r="F837" t="str">
        <x:v>Address-corroborated active match</x:v>
      </x:c>
      <x:c r="G837" t="n">
        <x:v>1</x:v>
      </x:c>
      <x:c r="H837" t="n">
        <x:v>2</x:v>
      </x:c>
      <x:c r="I837" t="str">
        <x:v>5012103</x:v>
      </x:c>
      <x:c r="J837" t="str">
        <x:v>LIBERTY FOR ALL LLC</x:v>
      </x:c>
      <x:c r="K837" s="55" t="n">
        <x:v>42634</x:v>
      </x:c>
      <x:c r="L837" t="str">
        <x:v>Kings</x:v>
      </x:c>
      <x:c r="M837" t="str">
        <x:v>New York</x:v>
      </x:c>
      <x:c r="N837" t="str">
        <x:v>DOMESTIC LIMITED LIABILITY COMPANY</x:v>
      </x:c>
      <x:c r="O837" t="str">
        <x:v>LIBERTY FOR ALL LLC</x:v>
      </x:c>
      <x:c r="P837" t="str">
        <x:v>245 WILSON AVENUE, BROOKLYN, NY, 11237</x:v>
      </x:c>
      <x:c r="Q837" t="str"/>
      <x:c r="R837" t="str"/>
      <x:c r="S837" t="str"/>
      <x:c r="T837" t="str"/>
      <x:c r="U837" t="str"/>
      <x:c r="V837" t="str"/>
      <x:c r="W837" t="str"/>
      <x:c r="X837" t="str"/>
      <x:c r="Y837" t="str">
        <x:v>https://data.ny.gov/Economic-Development/Active-Corporations-Beginning-1800/n9v6-gdp6</x:v>
      </x:c>
    </x:row>
    <x:row r="838">
      <x:c r="A838" t="str">
        <x:v>DOS-5-028</x:v>
      </x:c>
      <x:c r="B838" t="n">
        <x:v>5</x:v>
      </x:c>
      <x:c r="C838" t="str">
        <x:v>245 WILSON AVENUE, BROOKLYN, NY, 11237, US</x:v>
      </x:c>
      <x:c r="D838" t="str">
        <x:v>LIBERTY FOR COLUMBUS LLC</x:v>
      </x:c>
      <x:c r="E838" t="str">
        <x:v>LIBERTY FOR COLUMBUS LLC</x:v>
      </x:c>
      <x:c r="F838" t="str">
        <x:v>Address-corroborated active match</x:v>
      </x:c>
      <x:c r="G838" t="n">
        <x:v>1</x:v>
      </x:c>
      <x:c r="H838" t="n">
        <x:v>2</x:v>
      </x:c>
      <x:c r="I838" t="str">
        <x:v>5198944</x:v>
      </x:c>
      <x:c r="J838" t="str">
        <x:v>LIBERTY FOR COLUMBUS LLC</x:v>
      </x:c>
      <x:c r="K838" s="55" t="n">
        <x:v>42986</x:v>
      </x:c>
      <x:c r="L838" t="str">
        <x:v>Kings</x:v>
      </x:c>
      <x:c r="M838" t="str">
        <x:v>New York</x:v>
      </x:c>
      <x:c r="N838" t="str">
        <x:v>DOMESTIC LIMITED LIABILITY COMPANY</x:v>
      </x:c>
      <x:c r="O838" t="str">
        <x:v>LIBERTY FOR COLUMBUS LLC</x:v>
      </x:c>
      <x:c r="P838" t="str">
        <x:v>245 WILSON AVENUE, BROOKLYN, NY, 11237</x:v>
      </x:c>
      <x:c r="Q838" t="str"/>
      <x:c r="R838" t="str"/>
      <x:c r="S838" t="str"/>
      <x:c r="T838" t="str"/>
      <x:c r="U838" t="str"/>
      <x:c r="V838" t="str"/>
      <x:c r="W838" t="str"/>
      <x:c r="X838" t="str"/>
      <x:c r="Y838" t="str">
        <x:v>https://data.ny.gov/Economic-Development/Active-Corporations-Beginning-1800/n9v6-gdp6</x:v>
      </x:c>
    </x:row>
    <x:row r="839">
      <x:c r="A839" t="str">
        <x:v>DOS-5-028</x:v>
      </x:c>
      <x:c r="B839" t="n">
        <x:v>5</x:v>
      </x:c>
      <x:c r="C839" t="str">
        <x:v>245 WILSON AVENUE, BROOKLYN, NY, 11237, US</x:v>
      </x:c>
      <x:c r="D839" t="str">
        <x:v>LIBERTY FOR FOUR LLC</x:v>
      </x:c>
      <x:c r="E839" t="str">
        <x:v>LIBERTY FOR FOUR LLC</x:v>
      </x:c>
      <x:c r="F839" t="str">
        <x:v>Address-corroborated active match</x:v>
      </x:c>
      <x:c r="G839" t="n">
        <x:v>1</x:v>
      </x:c>
      <x:c r="H839" t="n">
        <x:v>2</x:v>
      </x:c>
      <x:c r="I839" t="str">
        <x:v>5586440</x:v>
      </x:c>
      <x:c r="J839" t="str">
        <x:v>LIBERTY FOR FOUR LLC</x:v>
      </x:c>
      <x:c r="K839" s="55" t="n">
        <x:v>43658</x:v>
      </x:c>
      <x:c r="L839" t="str">
        <x:v>Kings</x:v>
      </x:c>
      <x:c r="M839" t="str">
        <x:v>New York</x:v>
      </x:c>
      <x:c r="N839" t="str">
        <x:v>DOMESTIC LIMITED LIABILITY COMPANY</x:v>
      </x:c>
      <x:c r="O839" t="str">
        <x:v>LIBERTY FOR FOUR LLC</x:v>
      </x:c>
      <x:c r="P839" t="str">
        <x:v>245 WILSON AVENUE, BROOKLYN, NY, 11237</x:v>
      </x:c>
      <x:c r="Q839" t="str"/>
      <x:c r="R839" t="str"/>
      <x:c r="S839" t="str"/>
      <x:c r="T839" t="str"/>
      <x:c r="U839" t="str"/>
      <x:c r="V839" t="str"/>
      <x:c r="W839" t="str"/>
      <x:c r="X839" t="str"/>
      <x:c r="Y839" t="str">
        <x:v>https://data.ny.gov/Economic-Development/Active-Corporations-Beginning-1800/n9v6-gdp6</x:v>
      </x:c>
    </x:row>
    <x:row r="840">
      <x:c r="A840" t="str">
        <x:v>DOS-5-028</x:v>
      </x:c>
      <x:c r="B840" t="n">
        <x:v>5</x:v>
      </x:c>
      <x:c r="C840" t="str">
        <x:v>245 WILSON AVENUE, BROOKLYN, NY, 11237, US</x:v>
      </x:c>
      <x:c r="D840" t="str">
        <x:v>MENAHAN GARDENS LLC</x:v>
      </x:c>
      <x:c r="E840" t="str">
        <x:v>MENAHAN GARDENS LLC</x:v>
      </x:c>
      <x:c r="F840" t="str">
        <x:v>Active name match</x:v>
      </x:c>
      <x:c r="G840" t="n">
        <x:v>1</x:v>
      </x:c>
      <x:c r="H840" t="n">
        <x:v>0</x:v>
      </x:c>
      <x:c r="I840" t="str">
        <x:v>3241223</x:v>
      </x:c>
      <x:c r="J840" t="str">
        <x:v>MENAHAN GARDENS, LLC</x:v>
      </x:c>
      <x:c r="K840" s="55" t="n">
        <x:v>38573</x:v>
      </x:c>
      <x:c r="L840" t="str">
        <x:v>Kings</x:v>
      </x:c>
      <x:c r="M840" t="str">
        <x:v>New York</x:v>
      </x:c>
      <x:c r="N840" t="str">
        <x:v>DOMESTIC LIMITED LIABILITY COMPANY</x:v>
      </x:c>
      <x:c r="O840" t="str">
        <x:v>MENAHAN GARDENS, LLC</x:v>
      </x:c>
      <x:c r="P840" t="str">
        <x:v>73-35 MYRTLE AVENUE, GLENDALE, NY, 11385</x:v>
      </x:c>
      <x:c r="Q840" t="str"/>
      <x:c r="R840" t="str"/>
      <x:c r="S840" t="str"/>
      <x:c r="T840" t="str"/>
      <x:c r="U840" t="str"/>
      <x:c r="V840" t="str"/>
      <x:c r="W840" t="str"/>
      <x:c r="X840" t="str"/>
      <x:c r="Y840" t="str">
        <x:v>https://data.ny.gov/Economic-Development/Active-Corporations-Beginning-1800/n9v6-gdp6</x:v>
      </x:c>
    </x:row>
    <x:row r="841">
      <x:c r="A841" t="str">
        <x:v>DOS-5-028</x:v>
      </x:c>
      <x:c r="B841" t="n">
        <x:v>5</x:v>
      </x:c>
      <x:c r="C841" t="str">
        <x:v>245 WILSON AVENUE, BROOKLYN, NY, 11237, US</x:v>
      </x:c>
      <x:c r="D841" t="str">
        <x:v>SOUTHSIDE MANHATTAN VIEW LLC</x:v>
      </x:c>
      <x:c r="E841" t="str">
        <x:v>SOUTHSIDE MANHATTAN VIEW LLC</x:v>
      </x:c>
      <x:c r="F841" t="str">
        <x:v>Address-corroborated active match</x:v>
      </x:c>
      <x:c r="G841" t="n">
        <x:v>1</x:v>
      </x:c>
      <x:c r="H841" t="n">
        <x:v>2</x:v>
      </x:c>
      <x:c r="I841" t="str">
        <x:v>3363638</x:v>
      </x:c>
      <x:c r="J841" t="str">
        <x:v>SOUTHSIDE MANHATTAN VIEW LLC</x:v>
      </x:c>
      <x:c r="K841" s="55" t="n">
        <x:v>38854</x:v>
      </x:c>
      <x:c r="L841" t="str">
        <x:v>Kings</x:v>
      </x:c>
      <x:c r="M841" t="str">
        <x:v>New York</x:v>
      </x:c>
      <x:c r="N841" t="str">
        <x:v>DOMESTIC LIMITED LIABILITY COMPANY</x:v>
      </x:c>
      <x:c r="O841" t="str">
        <x:v>SOUTHSIDE MANHATTAN VIEW LLC</x:v>
      </x:c>
      <x:c r="P841" t="str">
        <x:v>245 WILSON AVE, BROOKLYN, NY, 11237</x:v>
      </x:c>
      <x:c r="Q841" t="str"/>
      <x:c r="R841" t="str"/>
      <x:c r="S841" t="str"/>
      <x:c r="T841" t="str"/>
      <x:c r="U841" t="str"/>
      <x:c r="V841" t="str"/>
      <x:c r="W841" t="str"/>
      <x:c r="X841" t="str"/>
      <x:c r="Y841" t="str">
        <x:v>https://data.ny.gov/Economic-Development/Active-Corporations-Beginning-1800/n9v6-gdp6</x:v>
      </x:c>
    </x:row>
    <x:row r="842">
      <x:c r="A842" t="str">
        <x:v>DOS-5-029</x:v>
      </x:c>
      <x:c r="B842" t="n">
        <x:v>5</x:v>
      </x:c>
      <x:c r="C842" t="str">
        <x:v>2821 ASTORIA BLVD, LONG ISLAND CITY, NY, 111022036, US</x:v>
      </x:c>
      <x:c r="D842" t="str">
        <x:v>GRG 12 16 REALTY LLC</x:v>
      </x:c>
      <x:c r="E842" t="str">
        <x:v>GRG 12/16 REALTY LLC</x:v>
      </x:c>
      <x:c r="F842" t="str">
        <x:v>Active name match</x:v>
      </x:c>
      <x:c r="G842" t="n">
        <x:v>1</x:v>
      </x:c>
      <x:c r="H842" t="n">
        <x:v>1</x:v>
      </x:c>
      <x:c r="I842" t="str">
        <x:v>5772545</x:v>
      </x:c>
      <x:c r="J842" t="str">
        <x:v>GRG 12/16 REALTY LLC</x:v>
      </x:c>
      <x:c r="K842" s="55" t="n">
        <x:v>44005</x:v>
      </x:c>
      <x:c r="L842" t="str">
        <x:v>Queens</x:v>
      </x:c>
      <x:c r="M842" t="str">
        <x:v>New York</x:v>
      </x:c>
      <x:c r="N842" t="str">
        <x:v>DOMESTIC LIMITED LIABILITY COMPANY</x:v>
      </x:c>
      <x:c r="O842" t="str">
        <x:v>GRG 12/16 REALTY LLC</x:v>
      </x:c>
      <x:c r="P842" t="str">
        <x:v>28-21 ASTORIA BLVD., STE. PH3, ASTORIA, NY, 11102</x:v>
      </x:c>
      <x:c r="Q842" t="str"/>
      <x:c r="R842" t="str"/>
      <x:c r="S842" t="str"/>
      <x:c r="T842" t="str"/>
      <x:c r="U842" t="str"/>
      <x:c r="V842" t="str"/>
      <x:c r="W842" t="str"/>
      <x:c r="X842" t="str"/>
      <x:c r="Y842" t="str">
        <x:v>https://data.ny.gov/Economic-Development/Active-Corporations-Beginning-1800/n9v6-gdp6</x:v>
      </x:c>
    </x:row>
    <x:row r="843">
      <x:c r="A843" t="str">
        <x:v>DOS-5-029</x:v>
      </x:c>
      <x:c r="B843" t="n">
        <x:v>5</x:v>
      </x:c>
      <x:c r="C843" t="str">
        <x:v>2821 ASTORIA BLVD, LONG ISLAND CITY, NY, 111022036, US</x:v>
      </x:c>
      <x:c r="D843" t="str">
        <x:v>GRG 23RD STREET REALTY LLC</x:v>
      </x:c>
      <x:c r="E843" t="str">
        <x:v>GRG 23RD STREET REALTY LLC</x:v>
      </x:c>
      <x:c r="F843" t="str">
        <x:v>Active name match</x:v>
      </x:c>
      <x:c r="G843" t="n">
        <x:v>1</x:v>
      </x:c>
      <x:c r="H843" t="n">
        <x:v>1</x:v>
      </x:c>
      <x:c r="I843" t="str">
        <x:v>5772542</x:v>
      </x:c>
      <x:c r="J843" t="str">
        <x:v>GRG 23RD STREET REALTY LLC</x:v>
      </x:c>
      <x:c r="K843" s="55" t="n">
        <x:v>44005</x:v>
      </x:c>
      <x:c r="L843" t="str">
        <x:v>Queens</x:v>
      </x:c>
      <x:c r="M843" t="str">
        <x:v>New York</x:v>
      </x:c>
      <x:c r="N843" t="str">
        <x:v>DOMESTIC LIMITED LIABILITY COMPANY</x:v>
      </x:c>
      <x:c r="O843" t="str">
        <x:v>GRG 23RD STREET REALTY LLC</x:v>
      </x:c>
      <x:c r="P843" t="str">
        <x:v>28-21 ASTORIA BLVD., STE. PH3, ASTORIA, NY, 11102</x:v>
      </x:c>
      <x:c r="Q843" t="str"/>
      <x:c r="R843" t="str"/>
      <x:c r="S843" t="str"/>
      <x:c r="T843" t="str"/>
      <x:c r="U843" t="str"/>
      <x:c r="V843" t="str"/>
      <x:c r="W843" t="str"/>
      <x:c r="X843" t="str"/>
      <x:c r="Y843" t="str">
        <x:v>https://data.ny.gov/Economic-Development/Active-Corporations-Beginning-1800/n9v6-gdp6</x:v>
      </x:c>
    </x:row>
    <x:row r="844">
      <x:c r="A844" t="str">
        <x:v>DOS-5-029</x:v>
      </x:c>
      <x:c r="B844" t="n">
        <x:v>5</x:v>
      </x:c>
      <x:c r="C844" t="str">
        <x:v>2821 ASTORIA BLVD, LONG ISLAND CITY, NY, 111022036, US</x:v>
      </x:c>
      <x:c r="D844" t="str">
        <x:v>GRG 28 03 REALTY LLC</x:v>
      </x:c>
      <x:c r="E844" t="str">
        <x:v>GRG 28-03 REALTY LLC</x:v>
      </x:c>
      <x:c r="F844" t="str">
        <x:v>Active name match</x:v>
      </x:c>
      <x:c r="G844" t="n">
        <x:v>1</x:v>
      </x:c>
      <x:c r="H844" t="n">
        <x:v>1</x:v>
      </x:c>
      <x:c r="I844" t="str">
        <x:v>5772543</x:v>
      </x:c>
      <x:c r="J844" t="str">
        <x:v>GRG 28-03 REALTY LLC</x:v>
      </x:c>
      <x:c r="K844" s="55" t="n">
        <x:v>44005</x:v>
      </x:c>
      <x:c r="L844" t="str">
        <x:v>Queens</x:v>
      </x:c>
      <x:c r="M844" t="str">
        <x:v>New York</x:v>
      </x:c>
      <x:c r="N844" t="str">
        <x:v>DOMESTIC LIMITED LIABILITY COMPANY</x:v>
      </x:c>
      <x:c r="O844" t="str">
        <x:v>GRG 28-03 REALTY LLC</x:v>
      </x:c>
      <x:c r="P844" t="str">
        <x:v>28-21 ASTORIA BLVD., STE. PH3, ASTORIA, NY, 11102</x:v>
      </x:c>
      <x:c r="Q844" t="str"/>
      <x:c r="R844" t="str"/>
      <x:c r="S844" t="str"/>
      <x:c r="T844" t="str"/>
      <x:c r="U844" t="str"/>
      <x:c r="V844" t="str"/>
      <x:c r="W844" t="str"/>
      <x:c r="X844" t="str"/>
      <x:c r="Y844" t="str">
        <x:v>https://data.ny.gov/Economic-Development/Active-Corporations-Beginning-1800/n9v6-gdp6</x:v>
      </x:c>
    </x:row>
    <x:row r="845">
      <x:c r="A845" t="str">
        <x:v>DOS-5-029</x:v>
      </x:c>
      <x:c r="B845" t="n">
        <x:v>5</x:v>
      </x:c>
      <x:c r="C845" t="str">
        <x:v>2821 ASTORIA BLVD, LONG ISLAND CITY, NY, 111022036, US</x:v>
      </x:c>
      <x:c r="D845" t="str">
        <x:v>GRG 29 STREET REALTY LLC</x:v>
      </x:c>
      <x:c r="E845" t="str">
        <x:v>GRG 29 STREET REALTY, LLC</x:v>
      </x:c>
      <x:c r="F845" t="str">
        <x:v>Active name match</x:v>
      </x:c>
      <x:c r="G845" t="n">
        <x:v>1</x:v>
      </x:c>
      <x:c r="H845" t="n">
        <x:v>1</x:v>
      </x:c>
      <x:c r="I845" t="str">
        <x:v>5180695</x:v>
      </x:c>
      <x:c r="J845" t="str">
        <x:v>GRG 29 STREET REALTY, LLC</x:v>
      </x:c>
      <x:c r="K845" s="55" t="n">
        <x:v>42950</x:v>
      </x:c>
      <x:c r="L845" t="str">
        <x:v>Queens</x:v>
      </x:c>
      <x:c r="M845" t="str">
        <x:v>New York</x:v>
      </x:c>
      <x:c r="N845" t="str">
        <x:v>DOMESTIC LIMITED LIABILITY COMPANY</x:v>
      </x:c>
      <x:c r="O845" t="str">
        <x:v>GRG 29 STREET REALTY,LLC</x:v>
      </x:c>
      <x:c r="P845" t="str">
        <x:v>28-12 ASTORIA BLVD, PH3, ASTORIA, NY, 11102</x:v>
      </x:c>
      <x:c r="Q845" t="str"/>
      <x:c r="R845" t="str"/>
      <x:c r="S845" t="str"/>
      <x:c r="T845" t="str"/>
      <x:c r="U845" t="str"/>
      <x:c r="V845" t="str"/>
      <x:c r="W845" t="str"/>
      <x:c r="X845" t="str"/>
      <x:c r="Y845" t="str">
        <x:v>https://data.ny.gov/Economic-Development/Active-Corporations-Beginning-1800/n9v6-gdp6</x:v>
      </x:c>
    </x:row>
    <x:row r="846">
      <x:c r="A846" t="str">
        <x:v>DOS-5-029</x:v>
      </x:c>
      <x:c r="B846" t="n">
        <x:v>5</x:v>
      </x:c>
      <x:c r="C846" t="str">
        <x:v>2821 ASTORIA BLVD, LONG ISLAND CITY, NY, 111022036, US</x:v>
      </x:c>
      <x:c r="D846" t="str">
        <x:v>TWENTY EIGHT 55 REALTY LLC</x:v>
      </x:c>
      <x:c r="E846" t="str">
        <x:v>TWENTY EIGHT 55 REALTY LLC</x:v>
      </x:c>
      <x:c r="F846" t="str">
        <x:v>Active name match</x:v>
      </x:c>
      <x:c r="G846" t="n">
        <x:v>1</x:v>
      </x:c>
      <x:c r="H846" t="n">
        <x:v>1</x:v>
      </x:c>
      <x:c r="I846" t="str">
        <x:v>5905696</x:v>
      </x:c>
      <x:c r="J846" t="str">
        <x:v>TWENTY EIGHT 55 REALTY LLC</x:v>
      </x:c>
      <x:c r="K846" s="55" t="n">
        <x:v>44195</x:v>
      </x:c>
      <x:c r="L846" t="str">
        <x:v>Queens</x:v>
      </x:c>
      <x:c r="M846" t="str">
        <x:v>New York</x:v>
      </x:c>
      <x:c r="N846" t="str">
        <x:v>DOMESTIC LIMITED LIABILITY COMPANY</x:v>
      </x:c>
      <x:c r="O846" t="str">
        <x:v>TWENTY EIGHT 55 REALTY LLC</x:v>
      </x:c>
      <x:c r="P846" t="str">
        <x:v>28-21 ASTORIA BLVD., PH3, ASTORIA, NY, 11102</x:v>
      </x:c>
      <x:c r="Q846" t="str"/>
      <x:c r="R846" t="str"/>
      <x:c r="S846" t="str"/>
      <x:c r="T846" t="str"/>
      <x:c r="U846" t="str"/>
      <x:c r="V846" t="str"/>
      <x:c r="W846" t="str"/>
      <x:c r="X846" t="str"/>
      <x:c r="Y846" t="str">
        <x:v>https://data.ny.gov/Economic-Development/Active-Corporations-Beginning-1800/n9v6-gdp6</x:v>
      </x:c>
    </x:row>
    <x:row r="847">
      <x:c r="A847" t="str">
        <x:v>DOS-5-030</x:v>
      </x:c>
      <x:c r="B847" t="n">
        <x:v>5</x:v>
      </x:c>
      <x:c r="C847" t="str">
        <x:v>32-37 62ND STREET, WOODSIDE, NY, 11377, US</x:v>
      </x:c>
      <x:c r="D847" t="str">
        <x:v>14K COMMON LLC</x:v>
      </x:c>
      <x:c r="E847" t="str">
        <x:v>14K COMMON LLC</x:v>
      </x:c>
      <x:c r="F847" t="str">
        <x:v>Address-corroborated active match</x:v>
      </x:c>
      <x:c r="G847" t="n">
        <x:v>1</x:v>
      </x:c>
      <x:c r="H847" t="n">
        <x:v>2</x:v>
      </x:c>
      <x:c r="I847" t="str">
        <x:v>5150804</x:v>
      </x:c>
      <x:c r="J847" t="str">
        <x:v>14K COMMON LLC</x:v>
      </x:c>
      <x:c r="K847" s="55" t="n">
        <x:v>42894</x:v>
      </x:c>
      <x:c r="L847" t="str">
        <x:v>Queens</x:v>
      </x:c>
      <x:c r="M847" t="str">
        <x:v>New York</x:v>
      </x:c>
      <x:c r="N847" t="str">
        <x:v>DOMESTIC LIMITED LIABILITY COMPANY</x:v>
      </x:c>
      <x:c r="O847" t="str">
        <x:v>14K COMMON LLC</x:v>
      </x:c>
      <x:c r="P847" t="str">
        <x:v>32-37 62ND STREET, WOODSIDE, NY, 11377</x:v>
      </x:c>
      <x:c r="Q847" t="str"/>
      <x:c r="R847" t="str"/>
      <x:c r="S847" t="str"/>
      <x:c r="T847" t="str"/>
      <x:c r="U847" t="str"/>
      <x:c r="V847" t="str"/>
      <x:c r="W847" t="str"/>
      <x:c r="X847" t="str"/>
      <x:c r="Y847" t="str">
        <x:v>https://data.ny.gov/Economic-Development/Active-Corporations-Beginning-1800/n9v6-gdp6</x:v>
      </x:c>
    </x:row>
    <x:row r="848">
      <x:c r="A848" t="str">
        <x:v>DOS-5-030</x:v>
      </x:c>
      <x:c r="B848" t="n">
        <x:v>5</x:v>
      </x:c>
      <x:c r="C848" t="str">
        <x:v>32-37 62ND STREET, WOODSIDE, NY, 11377, US</x:v>
      </x:c>
      <x:c r="D848" t="str">
        <x:v>3H AND L LLC</x:v>
      </x:c>
      <x:c r="E848" t="str">
        <x:v>3H&amp;L LLC</x:v>
      </x:c>
      <x:c r="F848" t="str">
        <x:v>Address-corroborated active match</x:v>
      </x:c>
      <x:c r="G848" t="n">
        <x:v>1</x:v>
      </x:c>
      <x:c r="H848" t="n">
        <x:v>2</x:v>
      </x:c>
      <x:c r="I848" t="str">
        <x:v>5692176</x:v>
      </x:c>
      <x:c r="J848" t="str">
        <x:v>3H&amp;L LLC</x:v>
      </x:c>
      <x:c r="K848" s="55" t="n">
        <x:v>43851</x:v>
      </x:c>
      <x:c r="L848" t="str">
        <x:v>Queens</x:v>
      </x:c>
      <x:c r="M848" t="str">
        <x:v>New York</x:v>
      </x:c>
      <x:c r="N848" t="str">
        <x:v>DOMESTIC LIMITED LIABILITY COMPANY</x:v>
      </x:c>
      <x:c r="O848" t="str">
        <x:v>3H&amp;L LLC</x:v>
      </x:c>
      <x:c r="P848" t="str">
        <x:v>32-37 62ND STREET, WOODSIDE, NY, 11377</x:v>
      </x:c>
      <x:c r="Q848" t="str"/>
      <x:c r="R848" t="str"/>
      <x:c r="S848" t="str"/>
      <x:c r="T848" t="str"/>
      <x:c r="U848" t="str"/>
      <x:c r="V848" t="str"/>
      <x:c r="W848" t="str"/>
      <x:c r="X848" t="str"/>
      <x:c r="Y848" t="str">
        <x:v>https://data.ny.gov/Economic-Development/Active-Corporations-Beginning-1800/n9v6-gdp6</x:v>
      </x:c>
    </x:row>
    <x:row r="849">
      <x:c r="A849" t="str">
        <x:v>DOS-5-030</x:v>
      </x:c>
      <x:c r="B849" t="n">
        <x:v>5</x:v>
      </x:c>
      <x:c r="C849" t="str">
        <x:v>32-37 62ND STREET, WOODSIDE, NY, 11377, US</x:v>
      </x:c>
      <x:c r="D849" t="str">
        <x:v>FLATBUSH AVENUE LLC</x:v>
      </x:c>
      <x:c r="E849" t="str">
        <x:v>FLATBUSH AVENUE LLC</x:v>
      </x:c>
      <x:c r="F849" t="str">
        <x:v>Address-corroborated active match</x:v>
      </x:c>
      <x:c r="G849" t="n">
        <x:v>1</x:v>
      </x:c>
      <x:c r="H849" t="n">
        <x:v>2</x:v>
      </x:c>
      <x:c r="I849" t="str">
        <x:v>4100356</x:v>
      </x:c>
      <x:c r="J849" t="str">
        <x:v>FLATBUSH AVENUE LLC</x:v>
      </x:c>
      <x:c r="K849" s="55" t="n">
        <x:v>40690</x:v>
      </x:c>
      <x:c r="L849" t="str">
        <x:v>Queens</x:v>
      </x:c>
      <x:c r="M849" t="str">
        <x:v>New York</x:v>
      </x:c>
      <x:c r="N849" t="str">
        <x:v>DOMESTIC LIMITED LIABILITY COMPANY</x:v>
      </x:c>
      <x:c r="O849" t="str">
        <x:v>FLATBUSH AVENUE LLC</x:v>
      </x:c>
      <x:c r="P849" t="str">
        <x:v>32-37 62ND STREET, WOODSIDE, NY, 11377</x:v>
      </x:c>
      <x:c r="Q849" t="str"/>
      <x:c r="R849" t="str"/>
      <x:c r="S849" t="str"/>
      <x:c r="T849" t="str"/>
      <x:c r="U849" t="str"/>
      <x:c r="V849" t="str"/>
      <x:c r="W849" t="str"/>
      <x:c r="X849" t="str"/>
      <x:c r="Y849" t="str">
        <x:v>https://data.ny.gov/Economic-Development/Active-Corporations-Beginning-1800/n9v6-gdp6</x:v>
      </x:c>
    </x:row>
    <x:row r="850">
      <x:c r="A850" t="str">
        <x:v>DOS-5-030</x:v>
      </x:c>
      <x:c r="B850" t="n">
        <x:v>5</x:v>
      </x:c>
      <x:c r="C850" t="str">
        <x:v>32-37 62ND STREET, WOODSIDE, NY, 11377, US</x:v>
      </x:c>
      <x:c r="D850" t="str">
        <x:v>HALLMARK MANAGEMENT SOLUTIONS LLC</x:v>
      </x:c>
      <x:c r="E850" t="str">
        <x:v>HALLMARK MANAGEMENT SOLUTIONS, LLC</x:v>
      </x:c>
      <x:c r="F850" t="str">
        <x:v>Address-corroborated active match</x:v>
      </x:c>
      <x:c r="G850" t="n">
        <x:v>1</x:v>
      </x:c>
      <x:c r="H850" t="n">
        <x:v>2</x:v>
      </x:c>
      <x:c r="I850" t="str">
        <x:v>4621672</x:v>
      </x:c>
      <x:c r="J850" t="str">
        <x:v>HALLMARK MANAGEMENT SOLUTIONS LLC</x:v>
      </x:c>
      <x:c r="K850" s="55" t="n">
        <x:v>41865</x:v>
      </x:c>
      <x:c r="L850" t="str">
        <x:v>Queens</x:v>
      </x:c>
      <x:c r="M850" t="str">
        <x:v>New York</x:v>
      </x:c>
      <x:c r="N850" t="str">
        <x:v>DOMESTIC LIMITED LIABILITY COMPANY</x:v>
      </x:c>
      <x:c r="O850" t="str">
        <x:v>HALLMARK MANAGEMENT SOLUTIONS LLC</x:v>
      </x:c>
      <x:c r="P850" t="str">
        <x:v>32-37 62ND STREET, WOODSIDE, NY, 11377</x:v>
      </x:c>
      <x:c r="Q850" t="str"/>
      <x:c r="R850" t="str"/>
      <x:c r="S850" t="str"/>
      <x:c r="T850" t="str"/>
      <x:c r="U850" t="str"/>
      <x:c r="V850" t="str"/>
      <x:c r="W850" t="str"/>
      <x:c r="X850" t="str"/>
      <x:c r="Y850" t="str">
        <x:v>https://data.ny.gov/Economic-Development/Active-Corporations-Beginning-1800/n9v6-gdp6</x:v>
      </x:c>
    </x:row>
    <x:row r="851">
      <x:c r="A851" t="str">
        <x:v>DOS-5-030</x:v>
      </x:c>
      <x:c r="B851" t="n">
        <x:v>5</x:v>
      </x:c>
      <x:c r="C851" t="str">
        <x:v>32-37 62ND STREET, WOODSIDE, NY, 11377, US</x:v>
      </x:c>
      <x:c r="D851" t="str">
        <x:v>HUNGSTER LLC</x:v>
      </x:c>
      <x:c r="E851" t="str">
        <x:v>HUNGSTER LLC</x:v>
      </x:c>
      <x:c r="F851" t="str">
        <x:v>Address-corroborated active match</x:v>
      </x:c>
      <x:c r="G851" t="n">
        <x:v>1</x:v>
      </x:c>
      <x:c r="H851" t="n">
        <x:v>2</x:v>
      </x:c>
      <x:c r="I851" t="str">
        <x:v>4035945</x:v>
      </x:c>
      <x:c r="J851" t="str">
        <x:v>HUNGSTER LLC</x:v>
      </x:c>
      <x:c r="K851" s="55" t="n">
        <x:v>40541</x:v>
      </x:c>
      <x:c r="L851" t="str">
        <x:v>Queens</x:v>
      </x:c>
      <x:c r="M851" t="str">
        <x:v>New York</x:v>
      </x:c>
      <x:c r="N851" t="str">
        <x:v>DOMESTIC LIMITED LIABILITY COMPANY</x:v>
      </x:c>
      <x:c r="O851" t="str">
        <x:v>HUNGSTER LLC</x:v>
      </x:c>
      <x:c r="P851" t="str">
        <x:v>32-37 62ND STREET, WOODSIDE, NY, 11377</x:v>
      </x:c>
      <x:c r="Q851" t="str"/>
      <x:c r="R851" t="str"/>
      <x:c r="S851" t="str"/>
      <x:c r="T851" t="str"/>
      <x:c r="U851" t="str"/>
      <x:c r="V851" t="str"/>
      <x:c r="W851" t="str"/>
      <x:c r="X851" t="str"/>
      <x:c r="Y851" t="str">
        <x:v>https://data.ny.gov/Economic-Development/Active-Corporations-Beginning-1800/n9v6-gdp6</x:v>
      </x:c>
    </x:row>
    <x:row r="852">
      <x:c r="A852" t="str">
        <x:v>DOS-5-031</x:v>
      </x:c>
      <x:c r="B852" t="n">
        <x:v>5</x:v>
      </x:c>
      <x:c r="C852" t="str">
        <x:v>52-15 LEITH PLACE, LITTLE NECK, NY, 11362, US</x:v>
      </x:c>
      <x:c r="D852" t="str">
        <x:v>129 STREET HOLDING LLC</x:v>
      </x:c>
      <x:c r="E852" t="str">
        <x:v>129 STREET HOLDING LLC</x:v>
      </x:c>
      <x:c r="F852" t="str">
        <x:v>No active DOS match</x:v>
      </x:c>
      <x:c r="G852" t="n">
        <x:v>0</x:v>
      </x:c>
      <x:c r="H852" t="n">
        <x:v>0</x:v>
      </x:c>
      <x:c r="I852" t="str"/>
      <x:c r="J852" t="str"/>
      <x:c r="K852" s="55" t="str"/>
      <x:c r="L852" t="str"/>
      <x:c r="M852" t="str"/>
      <x:c r="N852" t="str"/>
      <x:c r="O852" t="str"/>
      <x:c r="P852" t="str"/>
      <x:c r="Q852" t="str"/>
      <x:c r="R852" t="str"/>
      <x:c r="S852" t="str"/>
      <x:c r="T852" t="str"/>
      <x:c r="U852" t="str"/>
      <x:c r="V852" t="str"/>
      <x:c r="W852" t="str"/>
      <x:c r="X852" t="str"/>
      <x:c r="Y852" t="str">
        <x:v>https://data.ny.gov/Economic-Development/Active-Corporations-Beginning-1800/n9v6-gdp6</x:v>
      </x:c>
    </x:row>
    <x:row r="853">
      <x:c r="A853" t="str">
        <x:v>DOS-5-031</x:v>
      </x:c>
      <x:c r="B853" t="n">
        <x:v>5</x:v>
      </x:c>
      <x:c r="C853" t="str">
        <x:v>52-15 LEITH PLACE, LITTLE NECK, NY, 11362, US</x:v>
      </x:c>
      <x:c r="D853" t="str">
        <x:v>129TH STREET HOLDING LLC</x:v>
      </x:c>
      <x:c r="E853" t="str">
        <x:v>129TH STREET HOLDING, LLC</x:v>
      </x:c>
      <x:c r="F853" t="str">
        <x:v>Address-corroborated active match</x:v>
      </x:c>
      <x:c r="G853" t="n">
        <x:v>1</x:v>
      </x:c>
      <x:c r="H853" t="n">
        <x:v>2</x:v>
      </x:c>
      <x:c r="I853" t="str">
        <x:v>3221824</x:v>
      </x:c>
      <x:c r="J853" t="str">
        <x:v>129TH STREET HOLDING, LLC</x:v>
      </x:c>
      <x:c r="K853" s="55" t="n">
        <x:v>38525</x:v>
      </x:c>
      <x:c r="L853" t="str">
        <x:v>Queens</x:v>
      </x:c>
      <x:c r="M853" t="str">
        <x:v>New York</x:v>
      </x:c>
      <x:c r="N853" t="str">
        <x:v>DOMESTIC LIMITED LIABILITY COMPANY</x:v>
      </x:c>
      <x:c r="O853" t="str">
        <x:v>129TH STREET HOLDING, LLC</x:v>
      </x:c>
      <x:c r="P853" t="str">
        <x:v>52-15 LEITH PLACE, LITTLE NECK, NY, 11362</x:v>
      </x:c>
      <x:c r="Q853" t="str"/>
      <x:c r="R853" t="str"/>
      <x:c r="S853" t="str"/>
      <x:c r="T853" t="str"/>
      <x:c r="U853" t="str"/>
      <x:c r="V853" t="str"/>
      <x:c r="W853" t="str"/>
      <x:c r="X853" t="str"/>
      <x:c r="Y853" t="str">
        <x:v>https://data.ny.gov/Economic-Development/Active-Corporations-Beginning-1800/n9v6-gdp6</x:v>
      </x:c>
    </x:row>
    <x:row r="854">
      <x:c r="A854" t="str">
        <x:v>DOS-5-031</x:v>
      </x:c>
      <x:c r="B854" t="n">
        <x:v>5</x:v>
      </x:c>
      <x:c r="C854" t="str">
        <x:v>52-15 LEITH PLACE, LITTLE NECK, NY, 11362, US</x:v>
      </x:c>
      <x:c r="D854" t="str">
        <x:v>155 HOLDING LLC</x:v>
      </x:c>
      <x:c r="E854" t="str">
        <x:v>155 HOLDING LLC</x:v>
      </x:c>
      <x:c r="F854" t="str">
        <x:v>Address-corroborated active match</x:v>
      </x:c>
      <x:c r="G854" t="n">
        <x:v>1</x:v>
      </x:c>
      <x:c r="H854" t="n">
        <x:v>2</x:v>
      </x:c>
      <x:c r="I854" t="str">
        <x:v>2915036</x:v>
      </x:c>
      <x:c r="J854" t="str">
        <x:v>155 HOLDING, LLC</x:v>
      </x:c>
      <x:c r="K854" s="55" t="n">
        <x:v>37776</x:v>
      </x:c>
      <x:c r="L854" t="str">
        <x:v>Queens</x:v>
      </x:c>
      <x:c r="M854" t="str">
        <x:v>New York</x:v>
      </x:c>
      <x:c r="N854" t="str">
        <x:v>DOMESTIC LIMITED LIABILITY COMPANY</x:v>
      </x:c>
      <x:c r="O854" t="str">
        <x:v>155 HOLDING, LLC</x:v>
      </x:c>
      <x:c r="P854" t="str">
        <x:v>52-15 LEITH PL, LITTLE NECK, NY, 11362</x:v>
      </x:c>
      <x:c r="Q854" t="str"/>
      <x:c r="R854" t="str"/>
      <x:c r="S854" t="str"/>
      <x:c r="T854" t="str"/>
      <x:c r="U854" t="str"/>
      <x:c r="V854" t="str"/>
      <x:c r="W854" t="str"/>
      <x:c r="X854" t="str"/>
      <x:c r="Y854" t="str">
        <x:v>https://data.ny.gov/Economic-Development/Active-Corporations-Beginning-1800/n9v6-gdp6</x:v>
      </x:c>
    </x:row>
    <x:row r="855">
      <x:c r="A855" t="str">
        <x:v>DOS-5-031</x:v>
      </x:c>
      <x:c r="B855" t="n">
        <x:v>5</x:v>
      </x:c>
      <x:c r="C855" t="str">
        <x:v>52-15 LEITH PLACE, LITTLE NECK, NY, 11362, US</x:v>
      </x:c>
      <x:c r="D855" t="str">
        <x:v>D AND F HOLDING LLC</x:v>
      </x:c>
      <x:c r="E855" t="str">
        <x:v>D &amp; F HOLDING LLC</x:v>
      </x:c>
      <x:c r="F855" t="str">
        <x:v>Address-corroborated active match</x:v>
      </x:c>
      <x:c r="G855" t="n">
        <x:v>1</x:v>
      </x:c>
      <x:c r="H855" t="n">
        <x:v>2</x:v>
      </x:c>
      <x:c r="I855" t="str">
        <x:v>2866674</x:v>
      </x:c>
      <x:c r="J855" t="str">
        <x:v>D &amp; F HOLDING, LLC</x:v>
      </x:c>
      <x:c r="K855" s="55" t="n">
        <x:v>37658</x:v>
      </x:c>
      <x:c r="L855" t="str">
        <x:v>Queens</x:v>
      </x:c>
      <x:c r="M855" t="str">
        <x:v>New York</x:v>
      </x:c>
      <x:c r="N855" t="str">
        <x:v>DOMESTIC LIMITED LIABILITY COMPANY</x:v>
      </x:c>
      <x:c r="O855" t="str">
        <x:v>D &amp; F HOLDING, LLC</x:v>
      </x:c>
      <x:c r="P855" t="str">
        <x:v>52-15 LEITH PLACE, LITTLE NECK, NY, 11362</x:v>
      </x:c>
      <x:c r="Q855" t="str"/>
      <x:c r="R855" t="str"/>
      <x:c r="S855" t="str"/>
      <x:c r="T855" t="str"/>
      <x:c r="U855" t="str"/>
      <x:c r="V855" t="str"/>
      <x:c r="W855" t="str"/>
      <x:c r="X855" t="str"/>
      <x:c r="Y855" t="str">
        <x:v>https://data.ny.gov/Economic-Development/Active-Corporations-Beginning-1800/n9v6-gdp6</x:v>
      </x:c>
    </x:row>
    <x:row r="856">
      <x:c r="A856" t="str">
        <x:v>DOS-5-031</x:v>
      </x:c>
      <x:c r="B856" t="n">
        <x:v>5</x:v>
      </x:c>
      <x:c r="C856" t="str">
        <x:v>52-15 LEITH PLACE, LITTLE NECK, NY, 11362, US</x:v>
      </x:c>
      <x:c r="D856" t="str">
        <x:v>NARK HOLDING LLC</x:v>
      </x:c>
      <x:c r="E856" t="str">
        <x:v>NARK HOLDING LLC</x:v>
      </x:c>
      <x:c r="F856" t="str">
        <x:v>Active name match</x:v>
      </x:c>
      <x:c r="G856" t="n">
        <x:v>1</x:v>
      </x:c>
      <x:c r="H856" t="n">
        <x:v>0</x:v>
      </x:c>
      <x:c r="I856" t="str">
        <x:v>4204450</x:v>
      </x:c>
      <x:c r="J856" t="str">
        <x:v>NARK HOLDING, LLC</x:v>
      </x:c>
      <x:c r="K856" s="55" t="n">
        <x:v>40956</x:v>
      </x:c>
      <x:c r="L856" t="str">
        <x:v>Queens</x:v>
      </x:c>
      <x:c r="M856" t="str">
        <x:v>New York</x:v>
      </x:c>
      <x:c r="N856" t="str">
        <x:v>DOMESTIC LIMITED LIABILITY COMPANY</x:v>
      </x:c>
      <x:c r="O856" t="str">
        <x:v>NARK HOLDING LLC</x:v>
      </x:c>
      <x:c r="P856" t="str">
        <x:v>15 Woodland Lane, Glen Head, NY, 11545</x:v>
      </x:c>
      <x:c r="Q856" t="str"/>
      <x:c r="R856" t="str"/>
      <x:c r="S856" t="str"/>
      <x:c r="T856" t="str"/>
      <x:c r="U856" t="str"/>
      <x:c r="V856" t="str"/>
      <x:c r="W856" t="str"/>
      <x:c r="X856" t="str"/>
      <x:c r="Y856" t="str">
        <x:v>https://data.ny.gov/Economic-Development/Active-Corporations-Beginning-1800/n9v6-gdp6</x:v>
      </x:c>
    </x:row>
    <x:row r="857">
      <x:c r="A857" t="str">
        <x:v>DOS-5-032</x:v>
      </x:c>
      <x:c r="B857" t="n">
        <x:v>5</x:v>
      </x:c>
      <x:c r="C857" t="str">
        <x:v>5676 RIVERDALE AVENUE, STE. 307, BRONX, NY, 10471, US</x:v>
      </x:c>
      <x:c r="D857" t="str">
        <x:v>1742 1746 UNION LLC</x:v>
      </x:c>
      <x:c r="E857" t="str">
        <x:v>1742-1746 UNION LLC</x:v>
      </x:c>
      <x:c r="F857" t="str">
        <x:v>Address-corroborated active match</x:v>
      </x:c>
      <x:c r="G857" t="n">
        <x:v>1</x:v>
      </x:c>
      <x:c r="H857" t="n">
        <x:v>2</x:v>
      </x:c>
      <x:c r="I857" t="str">
        <x:v>4900616</x:v>
      </x:c>
      <x:c r="J857" t="str">
        <x:v>1742-1746 UNION LLC</x:v>
      </x:c>
      <x:c r="K857" s="55" t="n">
        <x:v>42423</x:v>
      </x:c>
      <x:c r="L857" t="str">
        <x:v>Westchester</x:v>
      </x:c>
      <x:c r="M857" t="str">
        <x:v>New York</x:v>
      </x:c>
      <x:c r="N857" t="str">
        <x:v>DOMESTIC LIMITED LIABILITY COMPANY</x:v>
      </x:c>
      <x:c r="O857" t="str">
        <x:v>C/O CHESTNUT HOLDINGS OF NEW YORK INC.</x:v>
      </x:c>
      <x:c r="P857" t="str">
        <x:v>5676 RIVERDALE AVENUE, SUITE 307, BRONX, NY, 10471</x:v>
      </x:c>
      <x:c r="Q857" t="str"/>
      <x:c r="R857" t="str"/>
      <x:c r="S857" t="str"/>
      <x:c r="T857" t="str"/>
      <x:c r="U857" t="str"/>
      <x:c r="V857" t="str"/>
      <x:c r="W857" t="str"/>
      <x:c r="X857" t="str"/>
      <x:c r="Y857" t="str">
        <x:v>https://data.ny.gov/Economic-Development/Active-Corporations-Beginning-1800/n9v6-gdp6</x:v>
      </x:c>
    </x:row>
    <x:row r="858">
      <x:c r="A858" t="str">
        <x:v>DOS-5-032</x:v>
      </x:c>
      <x:c r="B858" t="n">
        <x:v>5</x:v>
      </x:c>
      <x:c r="C858" t="str">
        <x:v>5676 RIVERDALE AVENUE, STE. 307, BRONX, NY, 10471, US</x:v>
      </x:c>
      <x:c r="D858" t="str">
        <x:v>1746 PRESIDENT LLC</x:v>
      </x:c>
      <x:c r="E858" t="str">
        <x:v>1746 PRESIDENT LLC</x:v>
      </x:c>
      <x:c r="F858" t="str">
        <x:v>Address-corroborated active match</x:v>
      </x:c>
      <x:c r="G858" t="n">
        <x:v>1</x:v>
      </x:c>
      <x:c r="H858" t="n">
        <x:v>2</x:v>
      </x:c>
      <x:c r="I858" t="str">
        <x:v>4900633</x:v>
      </x:c>
      <x:c r="J858" t="str">
        <x:v>1746 PRESIDENT LLC</x:v>
      </x:c>
      <x:c r="K858" s="55" t="n">
        <x:v>42423</x:v>
      </x:c>
      <x:c r="L858" t="str">
        <x:v>Westchester</x:v>
      </x:c>
      <x:c r="M858" t="str">
        <x:v>New York</x:v>
      </x:c>
      <x:c r="N858" t="str">
        <x:v>DOMESTIC LIMITED LIABILITY COMPANY</x:v>
      </x:c>
      <x:c r="O858" t="str">
        <x:v>C/O CHESTNUT HOLDINGS OF NEW YORK INC.</x:v>
      </x:c>
      <x:c r="P858" t="str">
        <x:v>5676 RIVERDALE AVENUE, SUITE 307, BRONX, NY, 10471</x:v>
      </x:c>
      <x:c r="Q858" t="str"/>
      <x:c r="R858" t="str"/>
      <x:c r="S858" t="str"/>
      <x:c r="T858" t="str"/>
      <x:c r="U858" t="str"/>
      <x:c r="V858" t="str"/>
      <x:c r="W858" t="str"/>
      <x:c r="X858" t="str"/>
      <x:c r="Y858" t="str">
        <x:v>https://data.ny.gov/Economic-Development/Active-Corporations-Beginning-1800/n9v6-gdp6</x:v>
      </x:c>
    </x:row>
    <x:row r="859">
      <x:c r="A859" t="str">
        <x:v>DOS-5-032</x:v>
      </x:c>
      <x:c r="B859" t="n">
        <x:v>5</x:v>
      </x:c>
      <x:c r="C859" t="str">
        <x:v>5676 RIVERDALE AVENUE, STE. 307, BRONX, NY, 10471, US</x:v>
      </x:c>
      <x:c r="D859" t="str">
        <x:v>883 FRANKLIN LLC</x:v>
      </x:c>
      <x:c r="E859" t="str">
        <x:v>883 FRANKLIN LLC</x:v>
      </x:c>
      <x:c r="F859" t="str">
        <x:v>Address-corroborated active match</x:v>
      </x:c>
      <x:c r="G859" t="n">
        <x:v>1</x:v>
      </x:c>
      <x:c r="H859" t="n">
        <x:v>2</x:v>
      </x:c>
      <x:c r="I859" t="str">
        <x:v>4900620</x:v>
      </x:c>
      <x:c r="J859" t="str">
        <x:v>883 FRANKLIN LLC</x:v>
      </x:c>
      <x:c r="K859" s="55" t="n">
        <x:v>42423</x:v>
      </x:c>
      <x:c r="L859" t="str">
        <x:v>Westchester</x:v>
      </x:c>
      <x:c r="M859" t="str">
        <x:v>New York</x:v>
      </x:c>
      <x:c r="N859" t="str">
        <x:v>DOMESTIC LIMITED LIABILITY COMPANY</x:v>
      </x:c>
      <x:c r="O859" t="str">
        <x:v>C/O CHESTNUT HOLDINGS OF NEW YORK INC.</x:v>
      </x:c>
      <x:c r="P859" t="str">
        <x:v>5676 RIVERDALE AVENUE, SUITE 307, BRONX, NY, 10471</x:v>
      </x:c>
      <x:c r="Q859" t="str"/>
      <x:c r="R859" t="str"/>
      <x:c r="S859" t="str"/>
      <x:c r="T859" t="str"/>
      <x:c r="U859" t="str"/>
      <x:c r="V859" t="str"/>
      <x:c r="W859" t="str"/>
      <x:c r="X859" t="str"/>
      <x:c r="Y859" t="str">
        <x:v>https://data.ny.gov/Economic-Development/Active-Corporations-Beginning-1800/n9v6-gdp6</x:v>
      </x:c>
    </x:row>
    <x:row r="860">
      <x:c r="A860" t="str">
        <x:v>DOS-5-032</x:v>
      </x:c>
      <x:c r="B860" t="n">
        <x:v>5</x:v>
      </x:c>
      <x:c r="C860" t="str">
        <x:v>5676 RIVERDALE AVENUE, STE. 307, BRONX, NY, 10471, US</x:v>
      </x:c>
      <x:c r="D860" t="str">
        <x:v>PENN 1 LLC</x:v>
      </x:c>
      <x:c r="E860" t="str">
        <x:v>PENN 1 LLC</x:v>
      </x:c>
      <x:c r="F860" t="str">
        <x:v>Address-corroborated active match</x:v>
      </x:c>
      <x:c r="G860" t="n">
        <x:v>1</x:v>
      </x:c>
      <x:c r="H860" t="n">
        <x:v>2</x:v>
      </x:c>
      <x:c r="I860" t="str">
        <x:v>4900771</x:v>
      </x:c>
      <x:c r="J860" t="str">
        <x:v>PENN 1 LLC</x:v>
      </x:c>
      <x:c r="K860" s="55" t="n">
        <x:v>42423</x:v>
      </x:c>
      <x:c r="L860" t="str">
        <x:v>Westchester</x:v>
      </x:c>
      <x:c r="M860" t="str">
        <x:v>New York</x:v>
      </x:c>
      <x:c r="N860" t="str">
        <x:v>DOMESTIC LIMITED LIABILITY COMPANY</x:v>
      </x:c>
      <x:c r="O860" t="str">
        <x:v>C/O CHESTNUT HOLDINGS OF NEW YORK INC.</x:v>
      </x:c>
      <x:c r="P860" t="str">
        <x:v>5676 RIVERDALE AVENUE, SUITE 307, BRONX, NY, 10471</x:v>
      </x:c>
      <x:c r="Q860" t="str"/>
      <x:c r="R860" t="str"/>
      <x:c r="S860" t="str"/>
      <x:c r="T860" t="str"/>
      <x:c r="U860" t="str"/>
      <x:c r="V860" t="str"/>
      <x:c r="W860" t="str"/>
      <x:c r="X860" t="str"/>
      <x:c r="Y860" t="str">
        <x:v>https://data.ny.gov/Economic-Development/Active-Corporations-Beginning-1800/n9v6-gdp6</x:v>
      </x:c>
    </x:row>
    <x:row r="861">
      <x:c r="A861" t="str">
        <x:v>DOS-5-032</x:v>
      </x:c>
      <x:c r="B861" t="n">
        <x:v>5</x:v>
      </x:c>
      <x:c r="C861" t="str">
        <x:v>5676 RIVERDALE AVENUE, STE. 307, BRONX, NY, 10471, US</x:v>
      </x:c>
      <x:c r="D861" t="str">
        <x:v>STERLING 1 LLC</x:v>
      </x:c>
      <x:c r="E861" t="str">
        <x:v>STERLING 1 LLC</x:v>
      </x:c>
      <x:c r="F861" t="str">
        <x:v>Address-corroborated active match</x:v>
      </x:c>
      <x:c r="G861" t="n">
        <x:v>1</x:v>
      </x:c>
      <x:c r="H861" t="n">
        <x:v>2</x:v>
      </x:c>
      <x:c r="I861" t="str">
        <x:v>4900770</x:v>
      </x:c>
      <x:c r="J861" t="str">
        <x:v>STERLING 1 LLC</x:v>
      </x:c>
      <x:c r="K861" s="55" t="n">
        <x:v>42423</x:v>
      </x:c>
      <x:c r="L861" t="str">
        <x:v>Westchester</x:v>
      </x:c>
      <x:c r="M861" t="str">
        <x:v>New York</x:v>
      </x:c>
      <x:c r="N861" t="str">
        <x:v>DOMESTIC LIMITED LIABILITY COMPANY</x:v>
      </x:c>
      <x:c r="O861" t="str">
        <x:v>C/O CHESTNUT HOLDINGS OF NEW YORK INC.</x:v>
      </x:c>
      <x:c r="P861" t="str">
        <x:v>5676 RIVERDALE AVENUE, SUITE 307, BRONX, NY, 10471</x:v>
      </x:c>
      <x:c r="Q861" t="str"/>
      <x:c r="R861" t="str"/>
      <x:c r="S861" t="str"/>
      <x:c r="T861" t="str"/>
      <x:c r="U861" t="str"/>
      <x:c r="V861" t="str"/>
      <x:c r="W861" t="str"/>
      <x:c r="X861" t="str"/>
      <x:c r="Y861" t="str">
        <x:v>https://data.ny.gov/Economic-Development/Active-Corporations-Beginning-1800/n9v6-gdp6</x:v>
      </x:c>
    </x:row>
    <x:row r="862">
      <x:c r="A862" t="str">
        <x:v>DOS-5-033</x:v>
      </x:c>
      <x:c r="B862" t="n">
        <x:v>5</x:v>
      </x:c>
      <x:c r="C862" t="str">
        <x:v>P O BOX 180, MONSEY, NY, 10952, US | P.O. BOX 180, MONSEY, NY, 10952, US</x:v>
      </x:c>
      <x:c r="D862" t="str">
        <x:v>AUSTIN EQUITIES LLC</x:v>
      </x:c>
      <x:c r="E862" t="str">
        <x:v>AUSTIN EQUITIES LLC</x:v>
      </x:c>
      <x:c r="F862" t="str">
        <x:v>Active name match</x:v>
      </x:c>
      <x:c r="G862" t="n">
        <x:v>1</x:v>
      </x:c>
      <x:c r="H862" t="n">
        <x:v>1</x:v>
      </x:c>
      <x:c r="I862" t="str">
        <x:v>6402329</x:v>
      </x:c>
      <x:c r="J862" t="str">
        <x:v>AUSTIN EQUITIES LLC</x:v>
      </x:c>
      <x:c r="K862" s="55" t="n">
        <x:v>44603</x:v>
      </x:c>
      <x:c r="L862" t="str">
        <x:v>Rockland</x:v>
      </x:c>
      <x:c r="M862" t="str">
        <x:v>New York</x:v>
      </x:c>
      <x:c r="N862" t="str">
        <x:v>DOMESTIC LIMITED LIABILITY COMPANY</x:v>
      </x:c>
      <x:c r="O862" t="str">
        <x:v>THE LIMITED LIABILITY COMPANY</x:v>
      </x:c>
      <x:c r="P862" t="str">
        <x:v>7 Jeffrey Place, Monsey, NY, 10952</x:v>
      </x:c>
      <x:c r="Q862" t="str"/>
      <x:c r="R862" t="str"/>
      <x:c r="S862" t="str"/>
      <x:c r="T862" t="str"/>
      <x:c r="U862" t="str"/>
      <x:c r="V862" t="str"/>
      <x:c r="W862" t="str"/>
      <x:c r="X862" t="str"/>
      <x:c r="Y862" t="str">
        <x:v>https://data.ny.gov/Economic-Development/Active-Corporations-Beginning-1800/n9v6-gdp6</x:v>
      </x:c>
    </x:row>
    <x:row r="863">
      <x:c r="A863" t="str">
        <x:v>DOS-5-033</x:v>
      </x:c>
      <x:c r="B863" t="n">
        <x:v>5</x:v>
      </x:c>
      <x:c r="C863" t="str">
        <x:v>P O BOX 180, MONSEY, NY, 10952, US | P.O. BOX 180, MONSEY, NY, 10952, US</x:v>
      </x:c>
      <x:c r="D863" t="str">
        <x:v>GLADIATOR CANAL LLC</x:v>
      </x:c>
      <x:c r="E863" t="str">
        <x:v>GLADIATOR CANAL LLC</x:v>
      </x:c>
      <x:c r="F863" t="str">
        <x:v>Active name match</x:v>
      </x:c>
      <x:c r="G863" t="n">
        <x:v>1</x:v>
      </x:c>
      <x:c r="H863" t="n">
        <x:v>1</x:v>
      </x:c>
      <x:c r="I863" t="str">
        <x:v>5766258</x:v>
      </x:c>
      <x:c r="J863" t="str">
        <x:v>GLADIATOR CANAL LLC</x:v>
      </x:c>
      <x:c r="K863" s="55" t="n">
        <x:v>43993</x:v>
      </x:c>
      <x:c r="L863" t="str">
        <x:v>Bronx</x:v>
      </x:c>
      <x:c r="M863" t="str">
        <x:v>New York</x:v>
      </x:c>
      <x:c r="N863" t="str">
        <x:v>DOMESTIC LIMITED LIABILITY COMPANY</x:v>
      </x:c>
      <x:c r="O863" t="str">
        <x:v>GLADIATOR CANAL LLC</x:v>
      </x:c>
      <x:c r="P863" t="str">
        <x:v>PO BOX 180, MONSEY, NY, 10952</x:v>
      </x:c>
      <x:c r="Q863" t="str"/>
      <x:c r="R863" t="str"/>
      <x:c r="S863" t="str"/>
      <x:c r="T863" t="str"/>
      <x:c r="U863" t="str"/>
      <x:c r="V863" t="str"/>
      <x:c r="W863" t="str"/>
      <x:c r="X863" t="str"/>
      <x:c r="Y863" t="str">
        <x:v>https://data.ny.gov/Economic-Development/Active-Corporations-Beginning-1800/n9v6-gdp6</x:v>
      </x:c>
    </x:row>
    <x:row r="864">
      <x:c r="A864" t="str">
        <x:v>DOS-5-033</x:v>
      </x:c>
      <x:c r="B864" t="n">
        <x:v>5</x:v>
      </x:c>
      <x:c r="C864" t="str">
        <x:v>P O BOX 180, MONSEY, NY, 10952, US | P.O. BOX 180, MONSEY, NY, 10952, US</x:v>
      </x:c>
      <x:c r="D864" t="str">
        <x:v>GLADIATOR REALTY EQUITIES LLC</x:v>
      </x:c>
      <x:c r="E864" t="str">
        <x:v>GLADIATOR REALTY EQUITIES LLC</x:v>
      </x:c>
      <x:c r="F864" t="str">
        <x:v>Active name match</x:v>
      </x:c>
      <x:c r="G864" t="n">
        <x:v>1</x:v>
      </x:c>
      <x:c r="H864" t="n">
        <x:v>1</x:v>
      </x:c>
      <x:c r="I864" t="str">
        <x:v>5766253</x:v>
      </x:c>
      <x:c r="J864" t="str">
        <x:v>GLADIATOR REALTY EQUITIES LLC</x:v>
      </x:c>
      <x:c r="K864" s="55" t="n">
        <x:v>43993</x:v>
      </x:c>
      <x:c r="L864" t="str">
        <x:v>Queens</x:v>
      </x:c>
      <x:c r="M864" t="str">
        <x:v>New York</x:v>
      </x:c>
      <x:c r="N864" t="str">
        <x:v>DOMESTIC LIMITED LIABILITY COMPANY</x:v>
      </x:c>
      <x:c r="O864" t="str">
        <x:v>GLADIATOR REALTY EQUITIES LLC</x:v>
      </x:c>
      <x:c r="P864" t="str">
        <x:v>PO BOX 180, MONSEY, NY, 10952</x:v>
      </x:c>
      <x:c r="Q864" t="str"/>
      <x:c r="R864" t="str"/>
      <x:c r="S864" t="str"/>
      <x:c r="T864" t="str"/>
      <x:c r="U864" t="str"/>
      <x:c r="V864" t="str"/>
      <x:c r="W864" t="str"/>
      <x:c r="X864" t="str"/>
      <x:c r="Y864" t="str">
        <x:v>https://data.ny.gov/Economic-Development/Active-Corporations-Beginning-1800/n9v6-gdp6</x:v>
      </x:c>
    </x:row>
    <x:row r="865">
      <x:c r="A865" t="str">
        <x:v>DOS-5-033</x:v>
      </x:c>
      <x:c r="B865" t="n">
        <x:v>5</x:v>
      </x:c>
      <x:c r="C865" t="str">
        <x:v>P O BOX 180, MONSEY, NY, 10952, US | P.O. BOX 180, MONSEY, NY, 10952, US</x:v>
      </x:c>
      <x:c r="D865" t="str">
        <x:v>GRAND MORGAN EQUITIES LLC</x:v>
      </x:c>
      <x:c r="E865" t="str">
        <x:v>GRAND MORGAN EQUITIES LLC</x:v>
      </x:c>
      <x:c r="F865" t="str">
        <x:v>Active name match</x:v>
      </x:c>
      <x:c r="G865" t="n">
        <x:v>1</x:v>
      </x:c>
      <x:c r="H865" t="n">
        <x:v>1</x:v>
      </x:c>
      <x:c r="I865" t="str">
        <x:v>5252294</x:v>
      </x:c>
      <x:c r="J865" t="str">
        <x:v>GRAND MORGAN EQUITIES LLC</x:v>
      </x:c>
      <x:c r="K865" s="55" t="n">
        <x:v>43087</x:v>
      </x:c>
      <x:c r="L865" t="str">
        <x:v>Kings</x:v>
      </x:c>
      <x:c r="M865" t="str">
        <x:v>New York</x:v>
      </x:c>
      <x:c r="N865" t="str">
        <x:v>DOMESTIC LIMITED LIABILITY COMPANY</x:v>
      </x:c>
      <x:c r="O865" t="str">
        <x:v>GRAND MORGAN EQUITIES LLC</x:v>
      </x:c>
      <x:c r="P865" t="str">
        <x:v>PO BOX 180, MONSEY, NY, 10952</x:v>
      </x:c>
      <x:c r="Q865" t="str"/>
      <x:c r="R865" t="str"/>
      <x:c r="S865" t="str"/>
      <x:c r="T865" t="str"/>
      <x:c r="U865" t="str"/>
      <x:c r="V865" t="str"/>
      <x:c r="W865" t="str"/>
      <x:c r="X865" t="str"/>
      <x:c r="Y865" t="str">
        <x:v>https://data.ny.gov/Economic-Development/Active-Corporations-Beginning-1800/n9v6-gdp6</x:v>
      </x:c>
    </x:row>
    <x:row r="866">
      <x:c r="A866" t="str">
        <x:v>DOS-5-033</x:v>
      </x:c>
      <x:c r="B866" t="n">
        <x:v>5</x:v>
      </x:c>
      <x:c r="C866" t="str">
        <x:v>P O BOX 180, MONSEY, NY, 10952, US | P.O. BOX 180, MONSEY, NY, 10952, US</x:v>
      </x:c>
      <x:c r="D866" t="str">
        <x:v>LEAR EQUITIES LLC</x:v>
      </x:c>
      <x:c r="E866" t="str">
        <x:v>LEAR EQUITIES LLC</x:v>
      </x:c>
      <x:c r="F866" t="str">
        <x:v>Active name match</x:v>
      </x:c>
      <x:c r="G866" t="n">
        <x:v>1</x:v>
      </x:c>
      <x:c r="H866" t="n">
        <x:v>0</x:v>
      </x:c>
      <x:c r="I866" t="str">
        <x:v>6626161</x:v>
      </x:c>
      <x:c r="J866" t="str">
        <x:v>LEAR EQUITIES LLC</x:v>
      </x:c>
      <x:c r="K866" s="55" t="n">
        <x:v>44861</x:v>
      </x:c>
      <x:c r="L866" t="str">
        <x:v>Rockland</x:v>
      </x:c>
      <x:c r="M866" t="str">
        <x:v>New York</x:v>
      </x:c>
      <x:c r="N866" t="str">
        <x:v>DOMESTIC LIMITED LIABILITY COMPANY</x:v>
      </x:c>
      <x:c r="O866" t="str">
        <x:v>Savad Churgin</x:v>
      </x:c>
      <x:c r="P866" t="str">
        <x:v>55 Old Turnpike Road, Suite 209, Nanuet, NY, 10954</x:v>
      </x:c>
      <x:c r="Q866" t="str"/>
      <x:c r="R866" t="str"/>
      <x:c r="S866" t="str"/>
      <x:c r="T866" t="str"/>
      <x:c r="U866" t="str"/>
      <x:c r="V866" t="str"/>
      <x:c r="W866" t="str"/>
      <x:c r="X866" t="str"/>
      <x:c r="Y866" t="str">
        <x:v>https://data.ny.gov/Economic-Development/Active-Corporations-Beginning-1800/n9v6-gdp6</x:v>
      </x:c>
    </x:row>
    <x:row r="867">
      <x:c r="A867" t="str">
        <x:v>DOS-5-034</x:v>
      </x:c>
      <x:c r="B867" t="n">
        <x:v>5</x:v>
      </x:c>
      <x:c r="C867" t="str">
        <x:v>101-15 WOODHAVEN BOULEVARD, OZONE PARK, NY, 11416, US</x:v>
      </x:c>
      <x:c r="D867" t="str">
        <x:v>HASSAN LEASING LLC</x:v>
      </x:c>
      <x:c r="E867" t="str">
        <x:v>HASSAN LEASING, LLC</x:v>
      </x:c>
      <x:c r="F867" t="str">
        <x:v>Active name match</x:v>
      </x:c>
      <x:c r="G867" t="n">
        <x:v>1</x:v>
      </x:c>
      <x:c r="H867" t="n">
        <x:v>0</x:v>
      </x:c>
      <x:c r="I867" t="str">
        <x:v>3221680</x:v>
      </x:c>
      <x:c r="J867" t="str">
        <x:v>HASSAN LEASING, LLC</x:v>
      </x:c>
      <x:c r="K867" s="55" t="n">
        <x:v>38525</x:v>
      </x:c>
      <x:c r="L867" t="str">
        <x:v>Queens</x:v>
      </x:c>
      <x:c r="M867" t="str">
        <x:v>New York</x:v>
      </x:c>
      <x:c r="N867" t="str">
        <x:v>DOMESTIC LIMITED LIABILITY COMPANY</x:v>
      </x:c>
      <x:c r="O867" t="str">
        <x:v>PRESIDENTIAL SERVICES INCORPORATED</x:v>
      </x:c>
      <x:c r="P867" t="str">
        <x:v>23404 W LYONS AVENUE, #223, SANTA CLARITA, CA, 913212668</x:v>
      </x:c>
      <x:c r="Q867" t="str"/>
      <x:c r="R867" t="str"/>
      <x:c r="S867" t="str"/>
      <x:c r="T867" t="str"/>
      <x:c r="U867" t="str"/>
      <x:c r="V867" t="str"/>
      <x:c r="W867" t="str"/>
      <x:c r="X867" t="str"/>
      <x:c r="Y867" t="str">
        <x:v>https://data.ny.gov/Economic-Development/Active-Corporations-Beginning-1800/n9v6-gdp6</x:v>
      </x:c>
    </x:row>
    <x:row r="868">
      <x:c r="A868" t="str">
        <x:v>DOS-5-034</x:v>
      </x:c>
      <x:c r="B868" t="n">
        <x:v>5</x:v>
      </x:c>
      <x:c r="C868" t="str">
        <x:v>101-15 WOODHAVEN BOULEVARD, OZONE PARK, NY, 11416, US</x:v>
      </x:c>
      <x:c r="D868" t="str">
        <x:v>QMD IPA LLC</x:v>
      </x:c>
      <x:c r="E868" t="str">
        <x:v>QMD IPA LLC</x:v>
      </x:c>
      <x:c r="F868" t="str">
        <x:v>Active name match</x:v>
      </x:c>
      <x:c r="G868" t="n">
        <x:v>1</x:v>
      </x:c>
      <x:c r="H868" t="n">
        <x:v>1</x:v>
      </x:c>
      <x:c r="I868" t="str">
        <x:v>4100905</x:v>
      </x:c>
      <x:c r="J868" t="str">
        <x:v>QMD IPA, LLC</x:v>
      </x:c>
      <x:c r="K868" s="55" t="n">
        <x:v>40694</x:v>
      </x:c>
      <x:c r="L868" t="str">
        <x:v>Queens</x:v>
      </x:c>
      <x:c r="M868" t="str">
        <x:v>New York</x:v>
      </x:c>
      <x:c r="N868" t="str">
        <x:v>DOMESTIC LIMITED LIABILITY COMPANY</x:v>
      </x:c>
      <x:c r="O868" t="str">
        <x:v>QMD IPA, LLC</x:v>
      </x:c>
      <x:c r="P868" t="str">
        <x:v>101-15 WOODHAVEN BLVD, OZONE PARK, NY, 11416</x:v>
      </x:c>
      <x:c r="Q868" t="str"/>
      <x:c r="R868" t="str"/>
      <x:c r="S868" t="str"/>
      <x:c r="T868" t="str"/>
      <x:c r="U868" t="str"/>
      <x:c r="V868" t="str"/>
      <x:c r="W868" t="str"/>
      <x:c r="X868" t="str"/>
      <x:c r="Y868" t="str">
        <x:v>https://data.ny.gov/Economic-Development/Active-Corporations-Beginning-1800/n9v6-gdp6</x:v>
      </x:c>
    </x:row>
    <x:row r="869">
      <x:c r="A869" t="str">
        <x:v>DOS-5-034</x:v>
      </x:c>
      <x:c r="B869" t="n">
        <x:v>5</x:v>
      </x:c>
      <x:c r="C869" t="str">
        <x:v>101-15 WOODHAVEN BOULEVARD, OZONE PARK, NY, 11416, US</x:v>
      </x:c>
      <x:c r="D869" t="str">
        <x:v>SAJJAD ENTERPRISES LLC</x:v>
      </x:c>
      <x:c r="E869" t="str">
        <x:v>SAJJAD ENTERPRISES, LLC</x:v>
      </x:c>
      <x:c r="F869" t="str">
        <x:v>Active name match</x:v>
      </x:c>
      <x:c r="G869" t="n">
        <x:v>1</x:v>
      </x:c>
      <x:c r="H869" t="n">
        <x:v>0</x:v>
      </x:c>
      <x:c r="I869" t="str">
        <x:v>3215340</x:v>
      </x:c>
      <x:c r="J869" t="str">
        <x:v>SAJJAD ENTERPRISES, LLC</x:v>
      </x:c>
      <x:c r="K869" s="55" t="n">
        <x:v>38510</x:v>
      </x:c>
      <x:c r="L869" t="str">
        <x:v>Queens</x:v>
      </x:c>
      <x:c r="M869" t="str">
        <x:v>New York</x:v>
      </x:c>
      <x:c r="N869" t="str">
        <x:v>DOMESTIC LIMITED LIABILITY COMPANY</x:v>
      </x:c>
      <x:c r="O869" t="str">
        <x:v>PRESIDENTIAL SERVICES INCORPORATED</x:v>
      </x:c>
      <x:c r="P869" t="str">
        <x:v>23404 W LYONS AVE #223, SANTA CLARITA, CA, 913122668</x:v>
      </x:c>
      <x:c r="Q869" t="str"/>
      <x:c r="R869" t="str"/>
      <x:c r="S869" t="str"/>
      <x:c r="T869" t="str"/>
      <x:c r="U869" t="str"/>
      <x:c r="V869" t="str"/>
      <x:c r="W869" t="str"/>
      <x:c r="X869" t="str"/>
      <x:c r="Y869" t="str">
        <x:v>https://data.ny.gov/Economic-Development/Active-Corporations-Beginning-1800/n9v6-gdp6</x:v>
      </x:c>
    </x:row>
    <x:row r="870">
      <x:c r="A870" t="str">
        <x:v>DOS-5-034</x:v>
      </x:c>
      <x:c r="B870" t="n">
        <x:v>5</x:v>
      </x:c>
      <x:c r="C870" t="str">
        <x:v>101-15 WOODHAVEN BOULEVARD, OZONE PARK, NY, 11416, US</x:v>
      </x:c>
      <x:c r="D870" t="str">
        <x:v>TAQI INDUSTRIES LLC</x:v>
      </x:c>
      <x:c r="E870" t="str">
        <x:v>TAQI INDUSTRIES, LLC</x:v>
      </x:c>
      <x:c r="F870" t="str">
        <x:v>Active name match</x:v>
      </x:c>
      <x:c r="G870" t="n">
        <x:v>1</x:v>
      </x:c>
      <x:c r="H870" t="n">
        <x:v>1</x:v>
      </x:c>
      <x:c r="I870" t="str">
        <x:v>3993434</x:v>
      </x:c>
      <x:c r="J870" t="str">
        <x:v>TAQI INDUSTRIES, LLC</x:v>
      </x:c>
      <x:c r="K870" s="55" t="n">
        <x:v>40429</x:v>
      </x:c>
      <x:c r="L870" t="str">
        <x:v>Queens</x:v>
      </x:c>
      <x:c r="M870" t="str">
        <x:v>New York</x:v>
      </x:c>
      <x:c r="N870" t="str">
        <x:v>DOMESTIC LIMITED LIABILITY COMPANY</x:v>
      </x:c>
      <x:c r="O870" t="str">
        <x:v>TAQI INDUSTRIES, LLC</x:v>
      </x:c>
      <x:c r="P870" t="str">
        <x:v>101-15 WOODHAVEN BLVD, OZONE PARK, NY, 11416</x:v>
      </x:c>
      <x:c r="Q870" t="str"/>
      <x:c r="R870" t="str"/>
      <x:c r="S870" t="str"/>
      <x:c r="T870" t="str"/>
      <x:c r="U870" t="str"/>
      <x:c r="V870" t="str"/>
      <x:c r="W870" t="str"/>
      <x:c r="X870" t="str"/>
      <x:c r="Y870" t="str">
        <x:v>https://data.ny.gov/Economic-Development/Active-Corporations-Beginning-1800/n9v6-gdp6</x:v>
      </x:c>
    </x:row>
    <x:row r="871">
      <x:c r="A871" t="str">
        <x:v>DOS-5-034</x:v>
      </x:c>
      <x:c r="B871" t="n">
        <x:v>5</x:v>
      </x:c>
      <x:c r="C871" t="str">
        <x:v>101-15 WOODHAVEN BOULEVARD, OZONE PARK, NY, 11416, US</x:v>
      </x:c>
      <x:c r="D871" t="str">
        <x:v>ZEHRA ESTATES LLC</x:v>
      </x:c>
      <x:c r="E871" t="str">
        <x:v>ZEHRA  ESTATES LLC</x:v>
      </x:c>
      <x:c r="F871" t="str">
        <x:v>Active name match</x:v>
      </x:c>
      <x:c r="G871" t="n">
        <x:v>1</x:v>
      </x:c>
      <x:c r="H871" t="n">
        <x:v>0</x:v>
      </x:c>
      <x:c r="I871" t="str">
        <x:v>3215332</x:v>
      </x:c>
      <x:c r="J871" t="str">
        <x:v>ZEHRA ESTATES, LLC</x:v>
      </x:c>
      <x:c r="K871" s="55" t="n">
        <x:v>38510</x:v>
      </x:c>
      <x:c r="L871" t="str">
        <x:v>Queens</x:v>
      </x:c>
      <x:c r="M871" t="str">
        <x:v>New York</x:v>
      </x:c>
      <x:c r="N871" t="str">
        <x:v>DOMESTIC LIMITED LIABILITY COMPANY</x:v>
      </x:c>
      <x:c r="O871" t="str">
        <x:v>PRESIDENTIAL SERVICES INCORPORATED</x:v>
      </x:c>
      <x:c r="P871" t="str">
        <x:v>23404 W LYONS AVENUE, #223, SANTA CLARITA, CA, 913212668</x:v>
      </x:c>
      <x:c r="Q871" t="str"/>
      <x:c r="R871" t="str"/>
      <x:c r="S871" t="str"/>
      <x:c r="T871" t="str"/>
      <x:c r="U871" t="str"/>
      <x:c r="V871" t="str"/>
      <x:c r="W871" t="str"/>
      <x:c r="X871" t="str"/>
      <x:c r="Y871" t="str">
        <x:v>https://data.ny.gov/Economic-Development/Active-Corporations-Beginning-1800/n9v6-gdp6</x:v>
      </x:c>
    </x:row>
    <x:row r="872">
      <x:c r="A872" t="str">
        <x:v>DOS-5-035</x:v>
      </x:c>
      <x:c r="B872" t="n">
        <x:v>5</x:v>
      </x:c>
      <x:c r="C872" t="str">
        <x:v>116-55 QUEENS BOULEVARD, SUITE 206, FOREST HILLS, NY, 11375, US</x:v>
      </x:c>
      <x:c r="D872" t="str">
        <x:v>175 14TH STREET LLC</x:v>
      </x:c>
      <x:c r="E872" t="str">
        <x:v>175 14TH STREET LLC</x:v>
      </x:c>
      <x:c r="F872" t="str">
        <x:v>Active name match</x:v>
      </x:c>
      <x:c r="G872" t="n">
        <x:v>1</x:v>
      </x:c>
      <x:c r="H872" t="n">
        <x:v>0</x:v>
      </x:c>
      <x:c r="I872" t="str">
        <x:v>7243073</x:v>
      </x:c>
      <x:c r="J872" t="str">
        <x:v>175 14TH STREET LLC</x:v>
      </x:c>
      <x:c r="K872" s="55" t="n">
        <x:v>45322</x:v>
      </x:c>
      <x:c r="L872" t="str">
        <x:v>Kings</x:v>
      </x:c>
      <x:c r="M872" t="str">
        <x:v>New York</x:v>
      </x:c>
      <x:c r="N872" t="str">
        <x:v>DOMESTIC LIMITED LIABILITY COMPANY</x:v>
      </x:c>
      <x:c r="O872" t="str">
        <x:v>Mikhael Heletz</x:v>
      </x:c>
      <x:c r="P872" t="str">
        <x:v>248 Forest Drive, Jericho, NY, 11753</x:v>
      </x:c>
      <x:c r="Q872" t="str"/>
      <x:c r="R872" t="str"/>
      <x:c r="S872" t="str"/>
      <x:c r="T872" t="str"/>
      <x:c r="U872" t="str"/>
      <x:c r="V872" t="str"/>
      <x:c r="W872" t="str"/>
      <x:c r="X872" t="str"/>
      <x:c r="Y872" t="str">
        <x:v>https://data.ny.gov/Economic-Development/Active-Corporations-Beginning-1800/n9v6-gdp6</x:v>
      </x:c>
    </x:row>
    <x:row r="873">
      <x:c r="A873" t="str">
        <x:v>DOS-5-035</x:v>
      </x:c>
      <x:c r="B873" t="n">
        <x:v>5</x:v>
      </x:c>
      <x:c r="C873" t="str">
        <x:v>116-55 QUEENS BOULEVARD, SUITE 206, FOREST HILLS, NY, 11375, US</x:v>
      </x:c>
      <x:c r="D873" t="str">
        <x:v>218 QUINCY LLC</x:v>
      </x:c>
      <x:c r="E873" t="str">
        <x:v>218 QUINCY LLC</x:v>
      </x:c>
      <x:c r="F873" t="str">
        <x:v>Active name match</x:v>
      </x:c>
      <x:c r="G873" t="n">
        <x:v>1</x:v>
      </x:c>
      <x:c r="H873" t="n">
        <x:v>1</x:v>
      </x:c>
      <x:c r="I873" t="str">
        <x:v>5567457</x:v>
      </x:c>
      <x:c r="J873" t="str">
        <x:v>218 QUINCY LLC</x:v>
      </x:c>
      <x:c r="K873" s="55" t="n">
        <x:v>43626</x:v>
      </x:c>
      <x:c r="L873" t="str">
        <x:v>New York</x:v>
      </x:c>
      <x:c r="M873" t="str">
        <x:v>New York</x:v>
      </x:c>
      <x:c r="N873" t="str">
        <x:v>DOMESTIC LIMITED LIABILITY COMPANY</x:v>
      </x:c>
      <x:c r="O873" t="str">
        <x:v>ISKYO ARONOV</x:v>
      </x:c>
      <x:c r="P873" t="str">
        <x:v>116-55 QUEENS BLVD SUITE 206, FOREST HILLS, NY, 11375</x:v>
      </x:c>
      <x:c r="Q873" t="str"/>
      <x:c r="R873" t="str"/>
      <x:c r="S873" t="str"/>
      <x:c r="T873" t="str"/>
      <x:c r="U873" t="str"/>
      <x:c r="V873" t="str"/>
      <x:c r="W873" t="str"/>
      <x:c r="X873" t="str"/>
      <x:c r="Y873" t="str">
        <x:v>https://data.ny.gov/Economic-Development/Active-Corporations-Beginning-1800/n9v6-gdp6</x:v>
      </x:c>
    </x:row>
    <x:row r="874">
      <x:c r="A874" t="str">
        <x:v>DOS-5-035</x:v>
      </x:c>
      <x:c r="B874" t="n">
        <x:v>5</x:v>
      </x:c>
      <x:c r="C874" t="str">
        <x:v>116-55 QUEENS BOULEVARD, SUITE 206, FOREST HILLS, NY, 11375, US</x:v>
      </x:c>
      <x:c r="D874" t="str">
        <x:v>534 NEW LOTS LLC</x:v>
      </x:c>
      <x:c r="E874" t="str">
        <x:v>534 NEW LOTS LLC</x:v>
      </x:c>
      <x:c r="F874" t="str">
        <x:v>Active name match</x:v>
      </x:c>
      <x:c r="G874" t="n">
        <x:v>1</x:v>
      </x:c>
      <x:c r="H874" t="n">
        <x:v>1</x:v>
      </x:c>
      <x:c r="I874" t="str">
        <x:v>5567449</x:v>
      </x:c>
      <x:c r="J874" t="str">
        <x:v>534 NEW LOTS LLC</x:v>
      </x:c>
      <x:c r="K874" s="55" t="n">
        <x:v>43626</x:v>
      </x:c>
      <x:c r="L874" t="str">
        <x:v>New York</x:v>
      </x:c>
      <x:c r="M874" t="str">
        <x:v>New York</x:v>
      </x:c>
      <x:c r="N874" t="str">
        <x:v>DOMESTIC LIMITED LIABILITY COMPANY</x:v>
      </x:c>
      <x:c r="O874" t="str">
        <x:v>ISKYO ARONOV</x:v>
      </x:c>
      <x:c r="P874" t="str">
        <x:v>116-55 QUEENS BLVD SUITE 206, FOREST HILLS, NY, 11375</x:v>
      </x:c>
      <x:c r="Q874" t="str"/>
      <x:c r="R874" t="str"/>
      <x:c r="S874" t="str"/>
      <x:c r="T874" t="str"/>
      <x:c r="U874" t="str"/>
      <x:c r="V874" t="str"/>
      <x:c r="W874" t="str"/>
      <x:c r="X874" t="str"/>
      <x:c r="Y874" t="str">
        <x:v>https://data.ny.gov/Economic-Development/Active-Corporations-Beginning-1800/n9v6-gdp6</x:v>
      </x:c>
    </x:row>
    <x:row r="875">
      <x:c r="A875" t="str">
        <x:v>DOS-5-035</x:v>
      </x:c>
      <x:c r="B875" t="n">
        <x:v>5</x:v>
      </x:c>
      <x:c r="C875" t="str">
        <x:v>116-55 QUEENS BOULEVARD, SUITE 206, FOREST HILLS, NY, 11375, US</x:v>
      </x:c>
      <x:c r="D875" t="str">
        <x:v>BRUK EQUITIES LLC</x:v>
      </x:c>
      <x:c r="E875" t="str">
        <x:v>BRUK EQUITIES LLC</x:v>
      </x:c>
      <x:c r="F875" t="str">
        <x:v>Address-corroborated active match</x:v>
      </x:c>
      <x:c r="G875" t="n">
        <x:v>1</x:v>
      </x:c>
      <x:c r="H875" t="n">
        <x:v>2</x:v>
      </x:c>
      <x:c r="I875" t="str">
        <x:v>4685517</x:v>
      </x:c>
      <x:c r="J875" t="str">
        <x:v>BRUK EQUITIES LLC</x:v>
      </x:c>
      <x:c r="K875" s="55" t="n">
        <x:v>42002</x:v>
      </x:c>
      <x:c r="L875" t="str">
        <x:v>Kings</x:v>
      </x:c>
      <x:c r="M875" t="str">
        <x:v>New York</x:v>
      </x:c>
      <x:c r="N875" t="str">
        <x:v>DOMESTIC LIMITED LIABILITY COMPANY</x:v>
      </x:c>
      <x:c r="O875" t="str">
        <x:v>BRUK EQUITIES LLC</x:v>
      </x:c>
      <x:c r="P875" t="str">
        <x:v>116-55 QUEENS BOULEVARD, SUITE 205A, FOREST HILLS, NY, 11375</x:v>
      </x:c>
      <x:c r="Q875" t="str"/>
      <x:c r="R875" t="str"/>
      <x:c r="S875" t="str"/>
      <x:c r="T875" t="str"/>
      <x:c r="U875" t="str"/>
      <x:c r="V875" t="str"/>
      <x:c r="W875" t="str"/>
      <x:c r="X875" t="str"/>
      <x:c r="Y875" t="str">
        <x:v>https://data.ny.gov/Economic-Development/Active-Corporations-Beginning-1800/n9v6-gdp6</x:v>
      </x:c>
    </x:row>
    <x:row r="876">
      <x:c r="A876" t="str">
        <x:v>DOS-5-035</x:v>
      </x:c>
      <x:c r="B876" t="n">
        <x:v>5</x:v>
      </x:c>
      <x:c r="C876" t="str">
        <x:v>116-55 QUEENS BOULEVARD, SUITE 206, FOREST HILLS, NY, 11375, US</x:v>
      </x:c>
      <x:c r="D876" t="str">
        <x:v>PHASE 2 DEVELOPMENT LLC</x:v>
      </x:c>
      <x:c r="E876" t="str">
        <x:v>PHASE 2 DEVELOPMENT, LLC</x:v>
      </x:c>
      <x:c r="F876" t="str">
        <x:v>Active name match</x:v>
      </x:c>
      <x:c r="G876" t="n">
        <x:v>1</x:v>
      </x:c>
      <x:c r="H876" t="n">
        <x:v>1</x:v>
      </x:c>
      <x:c r="I876" t="str">
        <x:v>4106660</x:v>
      </x:c>
      <x:c r="J876" t="str">
        <x:v>PHASE 2 DEVELOPMENT LLC</x:v>
      </x:c>
      <x:c r="K876" s="55" t="n">
        <x:v>40708</x:v>
      </x:c>
      <x:c r="L876" t="str">
        <x:v>Queens</x:v>
      </x:c>
      <x:c r="M876" t="str">
        <x:v>New York</x:v>
      </x:c>
      <x:c r="N876" t="str">
        <x:v>DOMESTIC LIMITED LIABILITY COMPANY</x:v>
      </x:c>
      <x:c r="O876" t="str">
        <x:v>ISKYO ARONOV</x:v>
      </x:c>
      <x:c r="P876" t="str">
        <x:v>116-55 QUEENS BLVD, SUITE 206, FOREST HILLS, NY, 11375</x:v>
      </x:c>
      <x:c r="Q876" t="str"/>
      <x:c r="R876" t="str"/>
      <x:c r="S876" t="str"/>
      <x:c r="T876" t="str"/>
      <x:c r="U876" t="str"/>
      <x:c r="V876" t="str"/>
      <x:c r="W876" t="str"/>
      <x:c r="X876" t="str"/>
      <x:c r="Y876" t="str">
        <x:v>https://data.ny.gov/Economic-Development/Active-Corporations-Beginning-1800/n9v6-gdp6</x:v>
      </x:c>
    </x:row>
    <x:row r="877">
      <x:c r="A877" t="str">
        <x:v>DOS-5-036</x:v>
      </x:c>
      <x:c r="B877" t="n">
        <x:v>5</x:v>
      </x:c>
      <x:c r="C877" t="str">
        <x:v>128 WAVERLY AVENUE, BROOKLYN, NY, 11205, US</x:v>
      </x:c>
      <x:c r="D877" t="str">
        <x:v>31 WASHINGTON STREET LLC</x:v>
      </x:c>
      <x:c r="E877" t="str">
        <x:v>31 WASHINGTON STREET, LLC</x:v>
      </x:c>
      <x:c r="F877" t="str">
        <x:v>Address-corroborated active match</x:v>
      </x:c>
      <x:c r="G877" t="n">
        <x:v>1</x:v>
      </x:c>
      <x:c r="H877" t="n">
        <x:v>2</x:v>
      </x:c>
      <x:c r="I877" t="str">
        <x:v>3451090</x:v>
      </x:c>
      <x:c r="J877" t="str">
        <x:v>31 WASHINGTON STREET, LLC</x:v>
      </x:c>
      <x:c r="K877" s="55" t="n">
        <x:v>39070</x:v>
      </x:c>
      <x:c r="L877" t="str">
        <x:v>Kings</x:v>
      </x:c>
      <x:c r="M877" t="str">
        <x:v>New York</x:v>
      </x:c>
      <x:c r="N877" t="str">
        <x:v>DOMESTIC LIMITED LIABILITY COMPANY</x:v>
      </x:c>
      <x:c r="O877" t="str">
        <x:v>CHARLES CARA</x:v>
      </x:c>
      <x:c r="P877" t="str">
        <x:v>128 WAVERLY AVE, BROOKLYN, NY, 11205</x:v>
      </x:c>
      <x:c r="Q877" t="str"/>
      <x:c r="R877" t="str"/>
      <x:c r="S877" t="str"/>
      <x:c r="T877" t="str"/>
      <x:c r="U877" t="str"/>
      <x:c r="V877" t="str"/>
      <x:c r="W877" t="str"/>
      <x:c r="X877" t="str"/>
      <x:c r="Y877" t="str">
        <x:v>https://data.ny.gov/Economic-Development/Active-Corporations-Beginning-1800/n9v6-gdp6</x:v>
      </x:c>
    </x:row>
    <x:row r="878">
      <x:c r="A878" t="str">
        <x:v>DOS-5-036</x:v>
      </x:c>
      <x:c r="B878" t="n">
        <x:v>5</x:v>
      </x:c>
      <x:c r="C878" t="str">
        <x:v>128 WAVERLY AVENUE, BROOKLYN, NY, 11205, US</x:v>
      </x:c>
      <x:c r="D878" t="str">
        <x:v>47 HICKS STREET II LLC</x:v>
      </x:c>
      <x:c r="E878" t="str">
        <x:v>47 HICKS STREET II LLC</x:v>
      </x:c>
      <x:c r="F878" t="str">
        <x:v>Address-corroborated active match</x:v>
      </x:c>
      <x:c r="G878" t="n">
        <x:v>1</x:v>
      </x:c>
      <x:c r="H878" t="n">
        <x:v>2</x:v>
      </x:c>
      <x:c r="I878" t="str">
        <x:v>7404297</x:v>
      </x:c>
      <x:c r="J878" t="str">
        <x:v>47 HICKS STREET II LLC</x:v>
      </x:c>
      <x:c r="K878" s="55" t="n">
        <x:v>45526</x:v>
      </x:c>
      <x:c r="L878" t="str">
        <x:v>Kings</x:v>
      </x:c>
      <x:c r="M878" t="str">
        <x:v>New York</x:v>
      </x:c>
      <x:c r="N878" t="str">
        <x:v>DOMESTIC LIMITED LIABILITY COMPANY</x:v>
      </x:c>
      <x:c r="O878" t="str">
        <x:v>charles cara</x:v>
      </x:c>
      <x:c r="P878" t="str">
        <x:v>128 waverly avenue, BROOKLYN, NY, 11205</x:v>
      </x:c>
      <x:c r="Q878" t="str"/>
      <x:c r="R878" t="str"/>
      <x:c r="S878" t="str"/>
      <x:c r="T878" t="str"/>
      <x:c r="U878" t="str"/>
      <x:c r="V878" t="str"/>
      <x:c r="W878" t="str"/>
      <x:c r="X878" t="str"/>
      <x:c r="Y878" t="str">
        <x:v>https://data.ny.gov/Economic-Development/Active-Corporations-Beginning-1800/n9v6-gdp6</x:v>
      </x:c>
    </x:row>
    <x:row r="879">
      <x:c r="A879" t="str">
        <x:v>DOS-5-036</x:v>
      </x:c>
      <x:c r="B879" t="n">
        <x:v>5</x:v>
      </x:c>
      <x:c r="C879" t="str">
        <x:v>128 WAVERLY AVENUE, BROOKLYN, NY, 11205, US</x:v>
      </x:c>
      <x:c r="D879" t="str">
        <x:v>476 6TH AVENUE OWNER LLC</x:v>
      </x:c>
      <x:c r="E879" t="str">
        <x:v>476 6TH AVENUE OWNER LLC</x:v>
      </x:c>
      <x:c r="F879" t="str">
        <x:v>Address-corroborated active match</x:v>
      </x:c>
      <x:c r="G879" t="n">
        <x:v>1</x:v>
      </x:c>
      <x:c r="H879" t="n">
        <x:v>2</x:v>
      </x:c>
      <x:c r="I879" t="str">
        <x:v>7404292</x:v>
      </x:c>
      <x:c r="J879" t="str">
        <x:v>476 6TH AVENUE OWNER LLC</x:v>
      </x:c>
      <x:c r="K879" s="55" t="n">
        <x:v>45526</x:v>
      </x:c>
      <x:c r="L879" t="str">
        <x:v>Kings</x:v>
      </x:c>
      <x:c r="M879" t="str">
        <x:v>New York</x:v>
      </x:c>
      <x:c r="N879" t="str">
        <x:v>DOMESTIC LIMITED LIABILITY COMPANY</x:v>
      </x:c>
      <x:c r="O879" t="str">
        <x:v>charles cara</x:v>
      </x:c>
      <x:c r="P879" t="str">
        <x:v>128 waverly avenue, BROOKLYN, NY, 11205</x:v>
      </x:c>
      <x:c r="Q879" t="str"/>
      <x:c r="R879" t="str"/>
      <x:c r="S879" t="str"/>
      <x:c r="T879" t="str"/>
      <x:c r="U879" t="str"/>
      <x:c r="V879" t="str"/>
      <x:c r="W879" t="str"/>
      <x:c r="X879" t="str"/>
      <x:c r="Y879" t="str">
        <x:v>https://data.ny.gov/Economic-Development/Active-Corporations-Beginning-1800/n9v6-gdp6</x:v>
      </x:c>
    </x:row>
    <x:row r="880">
      <x:c r="A880" t="str">
        <x:v>DOS-5-036</x:v>
      </x:c>
      <x:c r="B880" t="n">
        <x:v>5</x:v>
      </x:c>
      <x:c r="C880" t="str">
        <x:v>128 WAVERLY AVENUE, BROOKLYN, NY, 11205, US</x:v>
      </x:c>
      <x:c r="D880" t="str">
        <x:v>81 PEARL STREET II LLC</x:v>
      </x:c>
      <x:c r="E880" t="str">
        <x:v>81 PEARL STREET II LLC</x:v>
      </x:c>
      <x:c r="F880" t="str">
        <x:v>Address-corroborated active match</x:v>
      </x:c>
      <x:c r="G880" t="n">
        <x:v>1</x:v>
      </x:c>
      <x:c r="H880" t="n">
        <x:v>2</x:v>
      </x:c>
      <x:c r="I880" t="str">
        <x:v>7404285</x:v>
      </x:c>
      <x:c r="J880" t="str">
        <x:v>81 PEARL STREET II LLC</x:v>
      </x:c>
      <x:c r="K880" s="55" t="n">
        <x:v>45526</x:v>
      </x:c>
      <x:c r="L880" t="str">
        <x:v>Kings</x:v>
      </x:c>
      <x:c r="M880" t="str">
        <x:v>New York</x:v>
      </x:c>
      <x:c r="N880" t="str">
        <x:v>DOMESTIC LIMITED LIABILITY COMPANY</x:v>
      </x:c>
      <x:c r="O880" t="str">
        <x:v>charles cara</x:v>
      </x:c>
      <x:c r="P880" t="str">
        <x:v>128 waverly avenue, BROOKLYN, NY, 11205</x:v>
      </x:c>
      <x:c r="Q880" t="str"/>
      <x:c r="R880" t="str"/>
      <x:c r="S880" t="str"/>
      <x:c r="T880" t="str"/>
      <x:c r="U880" t="str"/>
      <x:c r="V880" t="str"/>
      <x:c r="W880" t="str"/>
      <x:c r="X880" t="str"/>
      <x:c r="Y880" t="str">
        <x:v>https://data.ny.gov/Economic-Development/Active-Corporations-Beginning-1800/n9v6-gdp6</x:v>
      </x:c>
    </x:row>
    <x:row r="881">
      <x:c r="A881" t="str">
        <x:v>DOS-5-036</x:v>
      </x:c>
      <x:c r="B881" t="n">
        <x:v>5</x:v>
      </x:c>
      <x:c r="C881" t="str">
        <x:v>128 WAVERLY AVENUE, BROOKLYN, NY, 11205, US</x:v>
      </x:c>
      <x:c r="D881" t="str">
        <x:v>CLASSON AVENUE 43 LLC</x:v>
      </x:c>
      <x:c r="E881" t="str">
        <x:v>CLASSON AVENUE 43 LLC</x:v>
      </x:c>
      <x:c r="F881" t="str">
        <x:v>Address-corroborated active match</x:v>
      </x:c>
      <x:c r="G881" t="n">
        <x:v>1</x:v>
      </x:c>
      <x:c r="H881" t="n">
        <x:v>2</x:v>
      </x:c>
      <x:c r="I881" t="str">
        <x:v>7404279</x:v>
      </x:c>
      <x:c r="J881" t="str">
        <x:v>CLASSON AVENUE 43 LLC</x:v>
      </x:c>
      <x:c r="K881" s="55" t="n">
        <x:v>45526</x:v>
      </x:c>
      <x:c r="L881" t="str">
        <x:v>Kings</x:v>
      </x:c>
      <x:c r="M881" t="str">
        <x:v>New York</x:v>
      </x:c>
      <x:c r="N881" t="str">
        <x:v>DOMESTIC LIMITED LIABILITY COMPANY</x:v>
      </x:c>
      <x:c r="O881" t="str">
        <x:v>charles cara</x:v>
      </x:c>
      <x:c r="P881" t="str">
        <x:v>128 waverly avenue, BROOKLYN, NY, 11205</x:v>
      </x:c>
      <x:c r="Q881" t="str"/>
      <x:c r="R881" t="str"/>
      <x:c r="S881" t="str"/>
      <x:c r="T881" t="str"/>
      <x:c r="U881" t="str"/>
      <x:c r="V881" t="str"/>
      <x:c r="W881" t="str"/>
      <x:c r="X881" t="str"/>
      <x:c r="Y881" t="str">
        <x:v>https://data.ny.gov/Economic-Development/Active-Corporations-Beginning-1800/n9v6-gdp6</x:v>
      </x:c>
    </x:row>
    <x:row r="882">
      <x:c r="A882" t="str">
        <x:v>DOS-5-037</x:v>
      </x:c>
      <x:c r="B882" t="n">
        <x:v>5</x:v>
      </x:c>
      <x:c r="C882" t="str">
        <x:v>152 WEST 57TH STREET 17TH FLOOR, NEW YORK, NY, 10019, US | 152 WEST 57TH STREET, 17TH FLOOR, NEW YORK, NY, 10019, US</x:v>
      </x:c>
      <x:c r="D882" t="str">
        <x:v>102 NORFOLK OWNER LLC</x:v>
      </x:c>
      <x:c r="E882" t="str">
        <x:v>102 NORFOLK OWNER LLC</x:v>
      </x:c>
      <x:c r="F882" t="str">
        <x:v>Active name match</x:v>
      </x:c>
      <x:c r="G882" t="n">
        <x:v>1</x:v>
      </x:c>
      <x:c r="H882" t="n">
        <x:v>1</x:v>
      </x:c>
      <x:c r="I882" t="str">
        <x:v>6491192</x:v>
      </x:c>
      <x:c r="J882" t="str">
        <x:v>102 NORFOLK OWNER LLC</x:v>
      </x:c>
      <x:c r="K882" s="55" t="n">
        <x:v>44701</x:v>
      </x:c>
      <x:c r="L882" t="str">
        <x:v>Albany</x:v>
      </x:c>
      <x:c r="M882" t="str">
        <x:v>Delaware</x:v>
      </x:c>
      <x:c r="N882" t="str">
        <x:v>FOREIGN LIMITED LIABILITY COMPANY</x:v>
      </x:c>
      <x:c r="O882" t="str">
        <x:v>102 NORFOLK OWNER LLC</x:v>
      </x:c>
      <x:c r="P882" t="str">
        <x:v>1301 6th avenue, NEW YORK, NY, 10019</x:v>
      </x:c>
      <x:c r="Q882" t="str"/>
      <x:c r="R882" t="str"/>
      <x:c r="S882" t="str"/>
      <x:c r="T882" t="str"/>
      <x:c r="U882" t="str"/>
      <x:c r="V882" t="str"/>
      <x:c r="W882" t="str"/>
      <x:c r="X882" t="str"/>
      <x:c r="Y882" t="str">
        <x:v>https://data.ny.gov/Economic-Development/Active-Corporations-Beginning-1800/n9v6-gdp6</x:v>
      </x:c>
    </x:row>
    <x:row r="883">
      <x:c r="A883" t="str">
        <x:v>DOS-5-037</x:v>
      </x:c>
      <x:c r="B883" t="n">
        <x:v>5</x:v>
      </x:c>
      <x:c r="C883" t="str">
        <x:v>152 WEST 57TH STREET 17TH FLOOR, NEW YORK, NY, 10019, US | 152 WEST 57TH STREET, 17TH FLOOR, NEW YORK, NY, 10019, US</x:v>
      </x:c>
      <x:c r="D883" t="str">
        <x:v>99 ALLEN OWNER LLC</x:v>
      </x:c>
      <x:c r="E883" t="str">
        <x:v>99 ALLEN OWNER LLC</x:v>
      </x:c>
      <x:c r="F883" t="str">
        <x:v>Active name match</x:v>
      </x:c>
      <x:c r="G883" t="n">
        <x:v>1</x:v>
      </x:c>
      <x:c r="H883" t="n">
        <x:v>1</x:v>
      </x:c>
      <x:c r="I883" t="str">
        <x:v>6491193</x:v>
      </x:c>
      <x:c r="J883" t="str">
        <x:v>99 ALLEN OWNER LLC</x:v>
      </x:c>
      <x:c r="K883" s="55" t="n">
        <x:v>44701</x:v>
      </x:c>
      <x:c r="L883" t="str">
        <x:v>New York</x:v>
      </x:c>
      <x:c r="M883" t="str">
        <x:v>Delaware</x:v>
      </x:c>
      <x:c r="N883" t="str">
        <x:v>FOREIGN LIMITED LIABILITY COMPANY</x:v>
      </x:c>
      <x:c r="O883" t="str">
        <x:v>99 ALLEN OWNER LLC</x:v>
      </x:c>
      <x:c r="P883" t="str">
        <x:v>1301 6th avenue, NEW YORK, NY, 10019</x:v>
      </x:c>
      <x:c r="Q883" t="str"/>
      <x:c r="R883" t="str"/>
      <x:c r="S883" t="str"/>
      <x:c r="T883" t="str"/>
      <x:c r="U883" t="str"/>
      <x:c r="V883" t="str"/>
      <x:c r="W883" t="str"/>
      <x:c r="X883" t="str"/>
      <x:c r="Y883" t="str">
        <x:v>https://data.ny.gov/Economic-Development/Active-Corporations-Beginning-1800/n9v6-gdp6</x:v>
      </x:c>
    </x:row>
    <x:row r="884">
      <x:c r="A884" t="str">
        <x:v>DOS-5-037</x:v>
      </x:c>
      <x:c r="B884" t="n">
        <x:v>5</x:v>
      </x:c>
      <x:c r="C884" t="str">
        <x:v>152 WEST 57TH STREET 17TH FLOOR, NEW YORK, NY, 10019, US | 152 WEST 57TH STREET, 17TH FLOOR, NEW YORK, NY, 10019, US</x:v>
      </x:c>
      <x:c r="D884" t="str">
        <x:v>CORINTHIAN 50 PARTNERS LLC</x:v>
      </x:c>
      <x:c r="E884" t="str">
        <x:v>CORINTHIAN 50 PARTNERS LLC</x:v>
      </x:c>
      <x:c r="F884" t="str">
        <x:v>Active name match</x:v>
      </x:c>
      <x:c r="G884" t="n">
        <x:v>1</x:v>
      </x:c>
      <x:c r="H884" t="n">
        <x:v>1</x:v>
      </x:c>
      <x:c r="I884" t="str">
        <x:v>4959029</x:v>
      </x:c>
      <x:c r="J884" t="str">
        <x:v>CORINTHIAN 50 PARTNERS, LLC</x:v>
      </x:c>
      <x:c r="K884" s="55" t="n">
        <x:v>42528</x:v>
      </x:c>
      <x:c r="L884" t="str">
        <x:v>New York</x:v>
      </x:c>
      <x:c r="M884" t="str">
        <x:v>Delaware</x:v>
      </x:c>
      <x:c r="N884" t="str">
        <x:v>FOREIGN LIMITED LIABILITY COMPANY</x:v>
      </x:c>
      <x:c r="O884" t="str">
        <x:v>C/O GAIA REAL ESTATE INVESTMENT LLC</x:v>
      </x:c>
      <x:c r="P884" t="str">
        <x:v>152 W 57TH STREET, NEW YORK, NY, 10019</x:v>
      </x:c>
      <x:c r="Q884" t="str"/>
      <x:c r="R884" t="str"/>
      <x:c r="S884" t="str"/>
      <x:c r="T884" t="str"/>
      <x:c r="U884" t="str"/>
      <x:c r="V884" t="str"/>
      <x:c r="W884" t="str"/>
      <x:c r="X884" t="str"/>
      <x:c r="Y884" t="str">
        <x:v>https://data.ny.gov/Economic-Development/Active-Corporations-Beginning-1800/n9v6-gdp6</x:v>
      </x:c>
    </x:row>
    <x:row r="885">
      <x:c r="A885" t="str">
        <x:v>DOS-5-037</x:v>
      </x:c>
      <x:c r="B885" t="n">
        <x:v>5</x:v>
      </x:c>
      <x:c r="C885" t="str">
        <x:v>152 WEST 57TH STREET 17TH FLOOR, NEW YORK, NY, 10019, US | 152 WEST 57TH STREET, 17TH FLOOR, NEW YORK, NY, 10019, US</x:v>
      </x:c>
      <x:c r="D885" t="str">
        <x:v>HOPE STREET OWNER LLC</x:v>
      </x:c>
      <x:c r="E885" t="str">
        <x:v>HOPE STREET OWNER LLC</x:v>
      </x:c>
      <x:c r="F885" t="str">
        <x:v>Active name match</x:v>
      </x:c>
      <x:c r="G885" t="n">
        <x:v>1</x:v>
      </x:c>
      <x:c r="H885" t="n">
        <x:v>1</x:v>
      </x:c>
      <x:c r="I885" t="str">
        <x:v>6564285</x:v>
      </x:c>
      <x:c r="J885" t="str">
        <x:v>HOPE STREET OWNER LLC</x:v>
      </x:c>
      <x:c r="K885" s="55" t="n">
        <x:v>44788</x:v>
      </x:c>
      <x:c r="L885" t="str">
        <x:v>New York</x:v>
      </x:c>
      <x:c r="M885" t="str">
        <x:v>Delaware</x:v>
      </x:c>
      <x:c r="N885" t="str">
        <x:v>FOREIGN LIMITED LIABILITY COMPANY</x:v>
      </x:c>
      <x:c r="O885" t="str">
        <x:v>HOPE STREET OWNER LLC</x:v>
      </x:c>
      <x:c r="P885" t="str">
        <x:v>152 w 57th street, 17th floor, NEW YORK, NY, 10019</x:v>
      </x:c>
      <x:c r="Q885" t="str"/>
      <x:c r="R885" t="str"/>
      <x:c r="S885" t="str"/>
      <x:c r="T885" t="str"/>
      <x:c r="U885" t="str"/>
      <x:c r="V885" t="str"/>
      <x:c r="W885" t="str"/>
      <x:c r="X885" t="str"/>
      <x:c r="Y885" t="str">
        <x:v>https://data.ny.gov/Economic-Development/Active-Corporations-Beginning-1800/n9v6-gdp6</x:v>
      </x:c>
    </x:row>
    <x:row r="886">
      <x:c r="A886" t="str">
        <x:v>DOS-5-037</x:v>
      </x:c>
      <x:c r="B886" t="n">
        <x:v>5</x:v>
      </x:c>
      <x:c r="C886" t="str">
        <x:v>152 WEST 57TH STREET 17TH FLOOR, NEW YORK, NY, 10019, US | 152 WEST 57TH STREET, 17TH FLOOR, NEW YORK, NY, 10019, US</x:v>
      </x:c>
      <x:c r="D886" t="str">
        <x:v>LUDLOW STREET OWNER LLC</x:v>
      </x:c>
      <x:c r="E886" t="str">
        <x:v>LUDLOW STREET OWNER LLC</x:v>
      </x:c>
      <x:c r="F886" t="str">
        <x:v>Active name match</x:v>
      </x:c>
      <x:c r="G886" t="n">
        <x:v>1</x:v>
      </x:c>
      <x:c r="H886" t="n">
        <x:v>1</x:v>
      </x:c>
      <x:c r="I886" t="str">
        <x:v>6491194</x:v>
      </x:c>
      <x:c r="J886" t="str">
        <x:v>LUDLOW STREET OWNER LLC</x:v>
      </x:c>
      <x:c r="K886" s="55" t="n">
        <x:v>44701</x:v>
      </x:c>
      <x:c r="L886" t="str">
        <x:v>New York</x:v>
      </x:c>
      <x:c r="M886" t="str">
        <x:v>Delaware</x:v>
      </x:c>
      <x:c r="N886" t="str">
        <x:v>FOREIGN LIMITED LIABILITY COMPANY</x:v>
      </x:c>
      <x:c r="O886" t="str">
        <x:v>LUDLOW STREET OWNER LLC</x:v>
      </x:c>
      <x:c r="P886" t="str">
        <x:v>1301 6th avenue, NEW YORK, NY, 10019</x:v>
      </x:c>
      <x:c r="Q886" t="str"/>
      <x:c r="R886" t="str"/>
      <x:c r="S886" t="str"/>
      <x:c r="T886" t="str"/>
      <x:c r="U886" t="str"/>
      <x:c r="V886" t="str"/>
      <x:c r="W886" t="str"/>
      <x:c r="X886" t="str"/>
      <x:c r="Y886" t="str">
        <x:v>https://data.ny.gov/Economic-Development/Active-Corporations-Beginning-1800/n9v6-gdp6</x:v>
      </x:c>
    </x:row>
    <x:row r="887">
      <x:c r="A887" t="str">
        <x:v>DOS-5-038</x:v>
      </x:c>
      <x:c r="B887" t="n">
        <x:v>5</x:v>
      </x:c>
      <x:c r="C887" t="str">
        <x:v>1680 ALBANY AVE, BROOKLYN, NY, 11210, US</x:v>
      </x:c>
      <x:c r="D887" t="str">
        <x:v>118 02 205TH STREET PARTNERS LLC</x:v>
      </x:c>
      <x:c r="E887" t="str">
        <x:v>118-02 205TH STREET PARTNERS LLC</x:v>
      </x:c>
      <x:c r="F887" t="str">
        <x:v>Active name match</x:v>
      </x:c>
      <x:c r="G887" t="n">
        <x:v>1</x:v>
      </x:c>
      <x:c r="H887" t="n">
        <x:v>0</x:v>
      </x:c>
      <x:c r="I887" t="str">
        <x:v>5881864</x:v>
      </x:c>
      <x:c r="J887" t="str">
        <x:v>118-02 205TH STREET PARTNERS LLC</x:v>
      </x:c>
      <x:c r="K887" s="55" t="n">
        <x:v>44154</x:v>
      </x:c>
      <x:c r="L887" t="str">
        <x:v>New York</x:v>
      </x:c>
      <x:c r="M887" t="str">
        <x:v>New York</x:v>
      </x:c>
      <x:c r="N887" t="str">
        <x:v>DOMESTIC LIMITED LIABILITY COMPANY</x:v>
      </x:c>
      <x:c r="O887" t="str">
        <x:v>SOROOSH FAJIRAM</x:v>
      </x:c>
      <x:c r="P887" t="str">
        <x:v>2417 AVENUE P UNIT 2, BROOKLYN, NY, 11229</x:v>
      </x:c>
      <x:c r="Q887" t="str"/>
      <x:c r="R887" t="str"/>
      <x:c r="S887" t="str"/>
      <x:c r="T887" t="str"/>
      <x:c r="U887" t="str"/>
      <x:c r="V887" t="str"/>
      <x:c r="W887" t="str"/>
      <x:c r="X887" t="str"/>
      <x:c r="Y887" t="str">
        <x:v>https://data.ny.gov/Economic-Development/Active-Corporations-Beginning-1800/n9v6-gdp6</x:v>
      </x:c>
    </x:row>
    <x:row r="888">
      <x:c r="A888" t="str">
        <x:v>DOS-5-038</x:v>
      </x:c>
      <x:c r="B888" t="n">
        <x:v>5</x:v>
      </x:c>
      <x:c r="C888" t="str">
        <x:v>1680 ALBANY AVE, BROOKLYN, NY, 11210, US</x:v>
      </x:c>
      <x:c r="D888" t="str">
        <x:v>1680 ALBANY AVENUE LLC</x:v>
      </x:c>
      <x:c r="E888" t="str">
        <x:v>1680 ALBANY AVENUE LLC</x:v>
      </x:c>
      <x:c r="F888" t="str">
        <x:v>Active name match</x:v>
      </x:c>
      <x:c r="G888" t="n">
        <x:v>1</x:v>
      </x:c>
      <x:c r="H888" t="n">
        <x:v>0</x:v>
      </x:c>
      <x:c r="I888" t="str">
        <x:v>6826243</x:v>
      </x:c>
      <x:c r="J888" t="str">
        <x:v>1680 ALBANY AVENUE LLC</x:v>
      </x:c>
      <x:c r="K888" s="55" t="n">
        <x:v>45051</x:v>
      </x:c>
      <x:c r="L888" t="str">
        <x:v>Kings</x:v>
      </x:c>
      <x:c r="M888" t="str">
        <x:v>New York</x:v>
      </x:c>
      <x:c r="N888" t="str">
        <x:v>DOMESTIC LIMITED LIABILITY COMPANY</x:v>
      </x:c>
      <x:c r="O888" t="str">
        <x:v>ALAN J. SASSON, ESQ.</x:v>
      </x:c>
      <x:c r="P888" t="str">
        <x:v>2102 AVENUE Z, SUITE 201, BROOKLYN, NY, 11235</x:v>
      </x:c>
      <x:c r="Q888" t="str"/>
      <x:c r="R888" t="str"/>
      <x:c r="S888" t="str"/>
      <x:c r="T888" t="str"/>
      <x:c r="U888" t="str"/>
      <x:c r="V888" t="str"/>
      <x:c r="W888" t="str"/>
      <x:c r="X888" t="str"/>
      <x:c r="Y888" t="str">
        <x:v>https://data.ny.gov/Economic-Development/Active-Corporations-Beginning-1800/n9v6-gdp6</x:v>
      </x:c>
    </x:row>
    <x:row r="889">
      <x:c r="A889" t="str">
        <x:v>DOS-5-038</x:v>
      </x:c>
      <x:c r="B889" t="n">
        <x:v>5</x:v>
      </x:c>
      <x:c r="C889" t="str">
        <x:v>1680 ALBANY AVE, BROOKLYN, NY, 11210, US</x:v>
      </x:c>
      <x:c r="D889" t="str">
        <x:v>BSD 1698 ALBANY PARTNERS LLC</x:v>
      </x:c>
      <x:c r="E889" t="str">
        <x:v>BSD 1698 ALBANY PARTNERS LLC</x:v>
      </x:c>
      <x:c r="F889" t="str">
        <x:v>Address-corroborated active match</x:v>
      </x:c>
      <x:c r="G889" t="n">
        <x:v>1</x:v>
      </x:c>
      <x:c r="H889" t="n">
        <x:v>2</x:v>
      </x:c>
      <x:c r="I889" t="str">
        <x:v>7387016</x:v>
      </x:c>
      <x:c r="J889" t="str">
        <x:v>BSD 1698 ALBANY PARTNERS LLC</x:v>
      </x:c>
      <x:c r="K889" s="55" t="n">
        <x:v>45505</x:v>
      </x:c>
      <x:c r="L889" t="str">
        <x:v>Kings</x:v>
      </x:c>
      <x:c r="M889" t="str">
        <x:v>New York</x:v>
      </x:c>
      <x:c r="N889" t="str">
        <x:v>DOMESTIC LIMITED LIABILITY COMPANY</x:v>
      </x:c>
      <x:c r="O889" t="str">
        <x:v>BSD 1698 ALBANY PARTNERS LLC</x:v>
      </x:c>
      <x:c r="P889" t="str">
        <x:v>1680 ALBANY AVE, BROOKLYN, NY, 11210</x:v>
      </x:c>
      <x:c r="Q889" t="str"/>
      <x:c r="R889" t="str"/>
      <x:c r="S889" t="str"/>
      <x:c r="T889" t="str"/>
      <x:c r="U889" t="str"/>
      <x:c r="V889" t="str"/>
      <x:c r="W889" t="str"/>
      <x:c r="X889" t="str"/>
      <x:c r="Y889" t="str">
        <x:v>https://data.ny.gov/Economic-Development/Active-Corporations-Beginning-1800/n9v6-gdp6</x:v>
      </x:c>
    </x:row>
    <x:row r="890">
      <x:c r="A890" t="str">
        <x:v>DOS-5-038</x:v>
      </x:c>
      <x:c r="B890" t="n">
        <x:v>5</x:v>
      </x:c>
      <x:c r="C890" t="str">
        <x:v>1680 ALBANY AVE, BROOKLYN, NY, 11210, US</x:v>
      </x:c>
      <x:c r="D890" t="str">
        <x:v>BSD 6031 MASPETH PARTNERS LLC</x:v>
      </x:c>
      <x:c r="E890" t="str">
        <x:v>BSD 6031 MASPETH PARTNERS LLC</x:v>
      </x:c>
      <x:c r="F890" t="str">
        <x:v>Active name match</x:v>
      </x:c>
      <x:c r="G890" t="n">
        <x:v>1</x:v>
      </x:c>
      <x:c r="H890" t="n">
        <x:v>0</x:v>
      </x:c>
      <x:c r="I890" t="str">
        <x:v>6480412</x:v>
      </x:c>
      <x:c r="J890" t="str">
        <x:v>BSD 6031 MASPETH PARTNERS LLC</x:v>
      </x:c>
      <x:c r="K890" s="55" t="n">
        <x:v>44690</x:v>
      </x:c>
      <x:c r="L890" t="str">
        <x:v>Queens</x:v>
      </x:c>
      <x:c r="M890" t="str">
        <x:v>New York</x:v>
      </x:c>
      <x:c r="N890" t="str">
        <x:v>DOMESTIC LIMITED LIABILITY COMPANY</x:v>
      </x:c>
      <x:c r="O890" t="str">
        <x:v>BSD 6031 MASPETH PARTNERS LLC</x:v>
      </x:c>
      <x:c r="P890" t="str">
        <x:v>1202 AVENUE U SUITE 1148, BROOKLYN, NY, 11229</x:v>
      </x:c>
      <x:c r="Q890" t="str"/>
      <x:c r="R890" t="str"/>
      <x:c r="S890" t="str"/>
      <x:c r="T890" t="str"/>
      <x:c r="U890" t="str"/>
      <x:c r="V890" t="str"/>
      <x:c r="W890" t="str"/>
      <x:c r="X890" t="str"/>
      <x:c r="Y890" t="str">
        <x:v>https://data.ny.gov/Economic-Development/Active-Corporations-Beginning-1800/n9v6-gdp6</x:v>
      </x:c>
    </x:row>
    <x:row r="891">
      <x:c r="A891" t="str">
        <x:v>DOS-5-038</x:v>
      </x:c>
      <x:c r="B891" t="n">
        <x:v>5</x:v>
      </x:c>
      <x:c r="C891" t="str">
        <x:v>1680 ALBANY AVE, BROOKLYN, NY, 11210, US</x:v>
      </x:c>
      <x:c r="D891" t="str">
        <x:v>TYH 11829 191 PARTNERS LLC</x:v>
      </x:c>
      <x:c r="E891" t="str">
        <x:v>TYH 11829 191 PARTNERS LLC</x:v>
      </x:c>
      <x:c r="F891" t="str">
        <x:v>Active name match</x:v>
      </x:c>
      <x:c r="G891" t="n">
        <x:v>1</x:v>
      </x:c>
      <x:c r="H891" t="n">
        <x:v>0</x:v>
      </x:c>
      <x:c r="I891" t="str">
        <x:v>7226866</x:v>
      </x:c>
      <x:c r="J891" t="str">
        <x:v>TYH 11829 191 PARTNERS LLC</x:v>
      </x:c>
      <x:c r="K891" s="55" t="n">
        <x:v>45302</x:v>
      </x:c>
      <x:c r="L891" t="str">
        <x:v>Queens</x:v>
      </x:c>
      <x:c r="M891" t="str">
        <x:v>New York</x:v>
      </x:c>
      <x:c r="N891" t="str">
        <x:v>DOMESTIC LIMITED LIABILITY COMPANY</x:v>
      </x:c>
      <x:c r="O891" t="str">
        <x:v>TYH 11829 191 PARTNERS LLC</x:v>
      </x:c>
      <x:c r="P891" t="str">
        <x:v>2920 AVE R #1031, BROOKLYN, NY, 11229</x:v>
      </x:c>
      <x:c r="Q891" t="str"/>
      <x:c r="R891" t="str"/>
      <x:c r="S891" t="str"/>
      <x:c r="T891" t="str"/>
      <x:c r="U891" t="str"/>
      <x:c r="V891" t="str"/>
      <x:c r="W891" t="str"/>
      <x:c r="X891" t="str"/>
      <x:c r="Y891" t="str">
        <x:v>https://data.ny.gov/Economic-Development/Active-Corporations-Beginning-1800/n9v6-gdp6</x:v>
      </x:c>
    </x:row>
    <x:row r="892">
      <x:c r="A892" t="str">
        <x:v>DOS-5-039</x:v>
      </x:c>
      <x:c r="B892" t="n">
        <x:v>5</x:v>
      </x:c>
      <x:c r="C892" t="str">
        <x:v>20  VESEY STREET, NEW YORK, NY, US</x:v>
      </x:c>
      <x:c r="D892" t="str">
        <x:v>160 172 EAST 85TH STREET LLC</x:v>
      </x:c>
      <x:c r="E892" t="str">
        <x:v>160-172 EAST 85TH STREET LLC</x:v>
      </x:c>
      <x:c r="F892" t="str">
        <x:v>Active name match</x:v>
      </x:c>
      <x:c r="G892" t="n">
        <x:v>1</x:v>
      </x:c>
      <x:c r="H892" t="n">
        <x:v>0</x:v>
      </x:c>
      <x:c r="I892" t="str">
        <x:v>2359525</x:v>
      </x:c>
      <x:c r="J892" t="str">
        <x:v>160-172 EAST 85TH STREET, LLC</x:v>
      </x:c>
      <x:c r="K892" s="55" t="n">
        <x:v>36242</x:v>
      </x:c>
      <x:c r="L892" t="str">
        <x:v>New York</x:v>
      </x:c>
      <x:c r="M892" t="str">
        <x:v>New York</x:v>
      </x:c>
      <x:c r="N892" t="str">
        <x:v>DOMESTIC LIMITED LIABILITY COMPANY</x:v>
      </x:c>
      <x:c r="O892" t="str">
        <x:v>C/O CEDAR MANAGEMENT CORP.</x:v>
      </x:c>
      <x:c r="P892" t="str">
        <x:v>20 VESEY STREET, NEW YORK, NY, 10007</x:v>
      </x:c>
      <x:c r="Q892" t="str"/>
      <x:c r="R892" t="str"/>
      <x:c r="S892" t="str"/>
      <x:c r="T892" t="str"/>
      <x:c r="U892" t="str"/>
      <x:c r="V892" t="str"/>
      <x:c r="W892" t="str"/>
      <x:c r="X892" t="str"/>
      <x:c r="Y892" t="str">
        <x:v>https://data.ny.gov/Economic-Development/Active-Corporations-Beginning-1800/n9v6-gdp6</x:v>
      </x:c>
    </x:row>
    <x:row r="893">
      <x:c r="A893" t="str">
        <x:v>DOS-5-039</x:v>
      </x:c>
      <x:c r="B893" t="n">
        <x:v>5</x:v>
      </x:c>
      <x:c r="C893" t="str">
        <x:v>20  VESEY STREET, NEW YORK, NY, US</x:v>
      </x:c>
      <x:c r="D893" t="str">
        <x:v>59 NASSAU STREET LLC</x:v>
      </x:c>
      <x:c r="E893" t="str">
        <x:v>59 NASSAU STREET, LLC</x:v>
      </x:c>
      <x:c r="F893" t="str">
        <x:v>Active name match</x:v>
      </x:c>
      <x:c r="G893" t="n">
        <x:v>1</x:v>
      </x:c>
      <x:c r="H893" t="n">
        <x:v>0</x:v>
      </x:c>
      <x:c r="I893" t="str">
        <x:v>2359536</x:v>
      </x:c>
      <x:c r="J893" t="str">
        <x:v>59 NASSAU STREET, LLC</x:v>
      </x:c>
      <x:c r="K893" s="55" t="n">
        <x:v>36242</x:v>
      </x:c>
      <x:c r="L893" t="str">
        <x:v>New York</x:v>
      </x:c>
      <x:c r="M893" t="str">
        <x:v>New York</x:v>
      </x:c>
      <x:c r="N893" t="str">
        <x:v>DOMESTIC LIMITED LIABILITY COMPANY</x:v>
      </x:c>
      <x:c r="O893" t="str">
        <x:v>C/O CEDAR MANAGEMENT CORP.</x:v>
      </x:c>
      <x:c r="P893" t="str">
        <x:v>20 VESEY STREET, NEW YORK, NY, 10007</x:v>
      </x:c>
      <x:c r="Q893" t="str"/>
      <x:c r="R893" t="str"/>
      <x:c r="S893" t="str"/>
      <x:c r="T893" t="str"/>
      <x:c r="U893" t="str"/>
      <x:c r="V893" t="str"/>
      <x:c r="W893" t="str"/>
      <x:c r="X893" t="str"/>
      <x:c r="Y893" t="str">
        <x:v>https://data.ny.gov/Economic-Development/Active-Corporations-Beginning-1800/n9v6-gdp6</x:v>
      </x:c>
    </x:row>
    <x:row r="894">
      <x:c r="A894" t="str">
        <x:v>DOS-5-039</x:v>
      </x:c>
      <x:c r="B894" t="n">
        <x:v>5</x:v>
      </x:c>
      <x:c r="C894" t="str">
        <x:v>20  VESEY STREET, NEW YORK, NY, US</x:v>
      </x:c>
      <x:c r="D894" t="str">
        <x:v>CASTEGA 20 VESEY STREET LLC</x:v>
      </x:c>
      <x:c r="E894" t="str">
        <x:v>CASTEGA-20 VESEY STREET LLC</x:v>
      </x:c>
      <x:c r="F894" t="str">
        <x:v>Active name match</x:v>
      </x:c>
      <x:c r="G894" t="n">
        <x:v>1</x:v>
      </x:c>
      <x:c r="H894" t="n">
        <x:v>0</x:v>
      </x:c>
      <x:c r="I894" t="str">
        <x:v>2359498</x:v>
      </x:c>
      <x:c r="J894" t="str">
        <x:v>CASTEGA-20 VESEY STREET, LLC</x:v>
      </x:c>
      <x:c r="K894" s="55" t="n">
        <x:v>36242</x:v>
      </x:c>
      <x:c r="L894" t="str">
        <x:v>New York</x:v>
      </x:c>
      <x:c r="M894" t="str">
        <x:v>New York</x:v>
      </x:c>
      <x:c r="N894" t="str">
        <x:v>DOMESTIC LIMITED LIABILITY COMPANY</x:v>
      </x:c>
      <x:c r="O894" t="str">
        <x:v>C/O CEDAR MANAGEMENT CORP.</x:v>
      </x:c>
      <x:c r="P894" t="str">
        <x:v>20 VESEY STREET, NEW YORK, NY, 10007</x:v>
      </x:c>
      <x:c r="Q894" t="str"/>
      <x:c r="R894" t="str"/>
      <x:c r="S894" t="str"/>
      <x:c r="T894" t="str"/>
      <x:c r="U894" t="str"/>
      <x:c r="V894" t="str"/>
      <x:c r="W894" t="str"/>
      <x:c r="X894" t="str"/>
      <x:c r="Y894" t="str">
        <x:v>https://data.ny.gov/Economic-Development/Active-Corporations-Beginning-1800/n9v6-gdp6</x:v>
      </x:c>
    </x:row>
    <x:row r="895">
      <x:c r="A895" t="str">
        <x:v>DOS-5-039</x:v>
      </x:c>
      <x:c r="B895" t="n">
        <x:v>5</x:v>
      </x:c>
      <x:c r="C895" t="str">
        <x:v>20  VESEY STREET, NEW YORK, NY, US</x:v>
      </x:c>
      <x:c r="D895" t="str">
        <x:v>CASTEGA 60 WET 10THSTREET LLC</x:v>
      </x:c>
      <x:c r="E895" t="str">
        <x:v>CASTEGA-60 WET 10THSTREET, LLC</x:v>
      </x:c>
      <x:c r="F895" t="str">
        <x:v>No active DOS match</x:v>
      </x:c>
      <x:c r="G895" t="n">
        <x:v>0</x:v>
      </x:c>
      <x:c r="H895" t="n">
        <x:v>0</x:v>
      </x:c>
      <x:c r="I895" t="str"/>
      <x:c r="J895" t="str"/>
      <x:c r="K895" s="55" t="str"/>
      <x:c r="L895" t="str"/>
      <x:c r="M895" t="str"/>
      <x:c r="N895" t="str"/>
      <x:c r="O895" t="str"/>
      <x:c r="P895" t="str"/>
      <x:c r="Q895" t="str"/>
      <x:c r="R895" t="str"/>
      <x:c r="S895" t="str"/>
      <x:c r="T895" t="str"/>
      <x:c r="U895" t="str"/>
      <x:c r="V895" t="str"/>
      <x:c r="W895" t="str"/>
      <x:c r="X895" t="str"/>
      <x:c r="Y895" t="str">
        <x:v>https://data.ny.gov/Economic-Development/Active-Corporations-Beginning-1800/n9v6-gdp6</x:v>
      </x:c>
    </x:row>
    <x:row r="896">
      <x:c r="A896" t="str">
        <x:v>DOS-5-039</x:v>
      </x:c>
      <x:c r="B896" t="n">
        <x:v>5</x:v>
      </x:c>
      <x:c r="C896" t="str">
        <x:v>20  VESEY STREET, NEW YORK, NY, US</x:v>
      </x:c>
      <x:c r="D896" t="str">
        <x:v>LRC 179 BROADWAY LLC</x:v>
      </x:c>
      <x:c r="E896" t="str">
        <x:v>LRC-179 BROADWAY, LLC</x:v>
      </x:c>
      <x:c r="F896" t="str">
        <x:v>No active DOS match</x:v>
      </x:c>
      <x:c r="G896" t="n">
        <x:v>0</x:v>
      </x:c>
      <x:c r="H896" t="n">
        <x:v>0</x:v>
      </x:c>
      <x:c r="I896" t="str"/>
      <x:c r="J896" t="str"/>
      <x:c r="K896" s="55" t="str"/>
      <x:c r="L896" t="str"/>
      <x:c r="M896" t="str"/>
      <x:c r="N896" t="str"/>
      <x:c r="O896" t="str"/>
      <x:c r="P896" t="str"/>
      <x:c r="Q896" t="str"/>
      <x:c r="R896" t="str"/>
      <x:c r="S896" t="str"/>
      <x:c r="T896" t="str"/>
      <x:c r="U896" t="str"/>
      <x:c r="V896" t="str"/>
      <x:c r="W896" t="str"/>
      <x:c r="X896" t="str"/>
      <x:c r="Y896" t="str">
        <x:v>https://data.ny.gov/Economic-Development/Active-Corporations-Beginning-1800/n9v6-gdp6</x:v>
      </x:c>
    </x:row>
    <x:row r="897">
      <x:c r="A897" t="str">
        <x:v>DOS-5-040</x:v>
      </x:c>
      <x:c r="B897" t="n">
        <x:v>5</x:v>
      </x:c>
      <x:c r="C897" t="str">
        <x:v>2123 EAST 7TH STREET, BROOKLYN, NY, 11223, US</x:v>
      </x:c>
      <x:c r="D897" t="str">
        <x:v>1653 E 4TH ST REALTY LLC</x:v>
      </x:c>
      <x:c r="E897" t="str">
        <x:v>1653 E 4TH ST REALTY LLC</x:v>
      </x:c>
      <x:c r="F897" t="str">
        <x:v>Active name match</x:v>
      </x:c>
      <x:c r="G897" t="n">
        <x:v>1</x:v>
      </x:c>
      <x:c r="H897" t="n">
        <x:v>1</x:v>
      </x:c>
      <x:c r="I897" t="str">
        <x:v>6697932</x:v>
      </x:c>
      <x:c r="J897" t="str">
        <x:v>1653 E 4TH ST REALTY LLC</x:v>
      </x:c>
      <x:c r="K897" s="55" t="n">
        <x:v>44939</x:v>
      </x:c>
      <x:c r="L897" t="str">
        <x:v>Albany</x:v>
      </x:c>
      <x:c r="M897" t="str">
        <x:v>New York</x:v>
      </x:c>
      <x:c r="N897" t="str">
        <x:v>DOMESTIC LIMITED LIABILITY COMPANY</x:v>
      </x:c>
      <x:c r="O897" t="str">
        <x:v>1653 E 4th St Realty LLC</x:v>
      </x:c>
      <x:c r="P897" t="str">
        <x:v>2123 E 7TH ST, BROOKLYN, NY, 11223</x:v>
      </x:c>
      <x:c r="Q897" t="str"/>
      <x:c r="R897" t="str"/>
      <x:c r="S897" t="str"/>
      <x:c r="T897" t="str"/>
      <x:c r="U897" t="str"/>
      <x:c r="V897" t="str"/>
      <x:c r="W897" t="str"/>
      <x:c r="X897" t="str"/>
      <x:c r="Y897" t="str">
        <x:v>https://data.ny.gov/Economic-Development/Active-Corporations-Beginning-1800/n9v6-gdp6</x:v>
      </x:c>
    </x:row>
    <x:row r="898">
      <x:c r="A898" t="str">
        <x:v>DOS-5-040</x:v>
      </x:c>
      <x:c r="B898" t="n">
        <x:v>5</x:v>
      </x:c>
      <x:c r="C898" t="str">
        <x:v>2123 EAST 7TH STREET, BROOKLYN, NY, 11223, US</x:v>
      </x:c>
      <x:c r="D898" t="str">
        <x:v>2052 EAST 17 STREET LLC</x:v>
      </x:c>
      <x:c r="E898" t="str">
        <x:v>2052 EAST 17 STREET LLC</x:v>
      </x:c>
      <x:c r="F898" t="str">
        <x:v>Active name match</x:v>
      </x:c>
      <x:c r="G898" t="n">
        <x:v>1</x:v>
      </x:c>
      <x:c r="H898" t="n">
        <x:v>1</x:v>
      </x:c>
      <x:c r="I898" t="str">
        <x:v>7624908</x:v>
      </x:c>
      <x:c r="J898" t="str">
        <x:v>2052 EAST 17 STREET LLC</x:v>
      </x:c>
      <x:c r="K898" s="55" t="n">
        <x:v>45807</x:v>
      </x:c>
      <x:c r="L898" t="str">
        <x:v>Albany</x:v>
      </x:c>
      <x:c r="M898" t="str">
        <x:v>New York</x:v>
      </x:c>
      <x:c r="N898" t="str">
        <x:v>DOMESTIC LIMITED LIABILITY COMPANY</x:v>
      </x:c>
      <x:c r="O898" t="str">
        <x:v>2052 EAST 17 STREET LLC</x:v>
      </x:c>
      <x:c r="P898" t="str">
        <x:v>2123 E 7TH ST, BROOKLYN, NY, 11223</x:v>
      </x:c>
      <x:c r="Q898" t="str"/>
      <x:c r="R898" t="str"/>
      <x:c r="S898" t="str"/>
      <x:c r="T898" t="str"/>
      <x:c r="U898" t="str"/>
      <x:c r="V898" t="str"/>
      <x:c r="W898" t="str"/>
      <x:c r="X898" t="str"/>
      <x:c r="Y898" t="str">
        <x:v>https://data.ny.gov/Economic-Development/Active-Corporations-Beginning-1800/n9v6-gdp6</x:v>
      </x:c>
    </x:row>
    <x:row r="899">
      <x:c r="A899" t="str">
        <x:v>DOS-5-040</x:v>
      </x:c>
      <x:c r="B899" t="n">
        <x:v>5</x:v>
      </x:c>
      <x:c r="C899" t="str">
        <x:v>2123 EAST 7TH STREET, BROOKLYN, NY, 11223, US</x:v>
      </x:c>
      <x:c r="D899" t="str">
        <x:v>2386 EAST 2ND LLC</x:v>
      </x:c>
      <x:c r="E899" t="str">
        <x:v>2386 EAST 2ND LLC</x:v>
      </x:c>
      <x:c r="F899" t="str">
        <x:v>Active name match</x:v>
      </x:c>
      <x:c r="G899" t="n">
        <x:v>1</x:v>
      </x:c>
      <x:c r="H899" t="n">
        <x:v>1</x:v>
      </x:c>
      <x:c r="I899" t="str">
        <x:v>5644862</x:v>
      </x:c>
      <x:c r="J899" t="str">
        <x:v>2386 EAST 2ND LLC</x:v>
      </x:c>
      <x:c r="K899" s="55" t="n">
        <x:v>43763</x:v>
      </x:c>
      <x:c r="L899" t="str">
        <x:v>Albany</x:v>
      </x:c>
      <x:c r="M899" t="str">
        <x:v>New York</x:v>
      </x:c>
      <x:c r="N899" t="str">
        <x:v>DOMESTIC LIMITED LIABILITY COMPANY</x:v>
      </x:c>
      <x:c r="O899" t="str">
        <x:v>2386 EAST 2ND LLC</x:v>
      </x:c>
      <x:c r="P899" t="str">
        <x:v>2123 E 7TH ST, BROOKLYN, NY, 11223</x:v>
      </x:c>
      <x:c r="Q899" t="str"/>
      <x:c r="R899" t="str"/>
      <x:c r="S899" t="str"/>
      <x:c r="T899" t="str"/>
      <x:c r="U899" t="str"/>
      <x:c r="V899" t="str"/>
      <x:c r="W899" t="str"/>
      <x:c r="X899" t="str"/>
      <x:c r="Y899" t="str">
        <x:v>https://data.ny.gov/Economic-Development/Active-Corporations-Beginning-1800/n9v6-gdp6</x:v>
      </x:c>
    </x:row>
    <x:row r="900">
      <x:c r="A900" t="str">
        <x:v>DOS-5-040</x:v>
      </x:c>
      <x:c r="B900" t="n">
        <x:v>5</x:v>
      </x:c>
      <x:c r="C900" t="str">
        <x:v>2123 EAST 7TH STREET, BROOKLYN, NY, 11223, US</x:v>
      </x:c>
      <x:c r="D900" t="str">
        <x:v>960 MYRTLE LLC</x:v>
      </x:c>
      <x:c r="E900" t="str">
        <x:v>960 MYRTLE LLC</x:v>
      </x:c>
      <x:c r="F900" t="str">
        <x:v>Active name match</x:v>
      </x:c>
      <x:c r="G900" t="n">
        <x:v>1</x:v>
      </x:c>
      <x:c r="H900" t="n">
        <x:v>1</x:v>
      </x:c>
      <x:c r="I900" t="str">
        <x:v>7439307</x:v>
      </x:c>
      <x:c r="J900" t="str">
        <x:v>960 MYRTLE LLC</x:v>
      </x:c>
      <x:c r="K900" s="55" t="n">
        <x:v>45575</x:v>
      </x:c>
      <x:c r="L900" t="str">
        <x:v>Albany</x:v>
      </x:c>
      <x:c r="M900" t="str">
        <x:v>New York</x:v>
      </x:c>
      <x:c r="N900" t="str">
        <x:v>DOMESTIC LIMITED LIABILITY COMPANY</x:v>
      </x:c>
      <x:c r="O900" t="str">
        <x:v>960 MYRTLE LLC</x:v>
      </x:c>
      <x:c r="P900" t="str">
        <x:v>2123 E 7TH ST, BROOKLYN, NY, 11223</x:v>
      </x:c>
      <x:c r="Q900" t="str"/>
      <x:c r="R900" t="str"/>
      <x:c r="S900" t="str"/>
      <x:c r="T900" t="str"/>
      <x:c r="U900" t="str"/>
      <x:c r="V900" t="str"/>
      <x:c r="W900" t="str"/>
      <x:c r="X900" t="str"/>
      <x:c r="Y900" t="str">
        <x:v>https://data.ny.gov/Economic-Development/Active-Corporations-Beginning-1800/n9v6-gdp6</x:v>
      </x:c>
    </x:row>
    <x:row r="901">
      <x:c r="A901" t="str">
        <x:v>DOS-5-040</x:v>
      </x:c>
      <x:c r="B901" t="n">
        <x:v>5</x:v>
      </x:c>
      <x:c r="C901" t="str">
        <x:v>2123 EAST 7TH STREET, BROOKLYN, NY, 11223, US</x:v>
      </x:c>
      <x:c r="D901" t="str">
        <x:v>M AND L GROUP PROPERTIES LLC</x:v>
      </x:c>
      <x:c r="E901" t="str">
        <x:v>M &amp; L GROUP PROPERTIES LLC</x:v>
      </x:c>
      <x:c r="F901" t="str">
        <x:v>Active name match</x:v>
      </x:c>
      <x:c r="G901" t="n">
        <x:v>1</x:v>
      </x:c>
      <x:c r="H901" t="n">
        <x:v>0</x:v>
      </x:c>
      <x:c r="I901" t="str">
        <x:v>5194833</x:v>
      </x:c>
      <x:c r="J901" t="str">
        <x:v>M &amp; L GROUP PROPERTIES LLC</x:v>
      </x:c>
      <x:c r="K901" s="55" t="n">
        <x:v>42977</x:v>
      </x:c>
      <x:c r="L901" t="str">
        <x:v>Albany</x:v>
      </x:c>
      <x:c r="M901" t="str">
        <x:v>New York</x:v>
      </x:c>
      <x:c r="N901" t="str">
        <x:v>DOMESTIC LIMITED LIABILITY COMPANY</x:v>
      </x:c>
      <x:c r="O901" t="str">
        <x:v>ALLSTATE CORPORATE SERVICES CORP.</x:v>
      </x:c>
      <x:c r="P901" t="str">
        <x:v>99 WASHINGTON AVE, SUITE 1008, ALBANY, NY, 12260</x:v>
      </x:c>
      <x:c r="Q901" t="str"/>
      <x:c r="R901" t="str"/>
      <x:c r="S901" t="str"/>
      <x:c r="T901" t="str"/>
      <x:c r="U901" t="str"/>
      <x:c r="V901" t="str"/>
      <x:c r="W901" t="str"/>
      <x:c r="X901" t="str"/>
      <x:c r="Y901" t="str">
        <x:v>https://data.ny.gov/Economic-Development/Active-Corporations-Beginning-1800/n9v6-gdp6</x:v>
      </x:c>
    </x:row>
    <x:row r="902">
      <x:c r="A902" t="str">
        <x:v>DOS-5-041</x:v>
      </x:c>
      <x:c r="B902" t="n">
        <x:v>5</x:v>
      </x:c>
      <x:c r="C902" t="str">
        <x:v>22 SHADETREE LANE, ROSLYN HEIGHTS, NY, 11577, US</x:v>
      </x:c>
      <x:c r="D902" t="str">
        <x:v>4235 MAIN STREET 4C LLC</x:v>
      </x:c>
      <x:c r="E902" t="str">
        <x:v>4235 MAIN STREET 4C LLC</x:v>
      </x:c>
      <x:c r="F902" t="str">
        <x:v>Address-corroborated active match</x:v>
      </x:c>
      <x:c r="G902" t="n">
        <x:v>1</x:v>
      </x:c>
      <x:c r="H902" t="n">
        <x:v>2</x:v>
      </x:c>
      <x:c r="I902" t="str">
        <x:v>7316990</x:v>
      </x:c>
      <x:c r="J902" t="str">
        <x:v>4235 MAIN STREET 4C LLC</x:v>
      </x:c>
      <x:c r="K902" s="55" t="n">
        <x:v>45412</x:v>
      </x:c>
      <x:c r="L902" t="str">
        <x:v>Nassau</x:v>
      </x:c>
      <x:c r="M902" t="str">
        <x:v>New York</x:v>
      </x:c>
      <x:c r="N902" t="str">
        <x:v>DOMESTIC LIMITED LIABILITY COMPANY</x:v>
      </x:c>
      <x:c r="O902" t="str">
        <x:v>4235 Main Street 4C LLC</x:v>
      </x:c>
      <x:c r="P902" t="str">
        <x:v>22 Shadetree Lane, Roslyn Heights, NY, 11577</x:v>
      </x:c>
      <x:c r="Q902" t="str"/>
      <x:c r="R902" t="str"/>
      <x:c r="S902" t="str"/>
      <x:c r="T902" t="str"/>
      <x:c r="U902" t="str"/>
      <x:c r="V902" t="str"/>
      <x:c r="W902" t="str"/>
      <x:c r="X902" t="str"/>
      <x:c r="Y902" t="str">
        <x:v>https://data.ny.gov/Economic-Development/Active-Corporations-Beginning-1800/n9v6-gdp6</x:v>
      </x:c>
    </x:row>
    <x:row r="903">
      <x:c r="A903" t="str">
        <x:v>DOS-5-041</x:v>
      </x:c>
      <x:c r="B903" t="n">
        <x:v>5</x:v>
      </x:c>
      <x:c r="C903" t="str">
        <x:v>22 SHADETREE LANE, ROSLYN HEIGHTS, NY, 11577, US</x:v>
      </x:c>
      <x:c r="D903" t="str">
        <x:v>FIFTH AVENUE 26A LLC</x:v>
      </x:c>
      <x:c r="E903" t="str">
        <x:v>FIFTH AVENUE 26A LLC</x:v>
      </x:c>
      <x:c r="F903" t="str">
        <x:v>Address-corroborated active match</x:v>
      </x:c>
      <x:c r="G903" t="n">
        <x:v>1</x:v>
      </x:c>
      <x:c r="H903" t="n">
        <x:v>2</x:v>
      </x:c>
      <x:c r="I903" t="str">
        <x:v>7317026</x:v>
      </x:c>
      <x:c r="J903" t="str">
        <x:v>FIFTH AVENUE 26A LLC</x:v>
      </x:c>
      <x:c r="K903" s="55" t="n">
        <x:v>45412</x:v>
      </x:c>
      <x:c r="L903" t="str">
        <x:v>Nassau</x:v>
      </x:c>
      <x:c r="M903" t="str">
        <x:v>New York</x:v>
      </x:c>
      <x:c r="N903" t="str">
        <x:v>DOMESTIC LIMITED LIABILITY COMPANY</x:v>
      </x:c>
      <x:c r="O903" t="str">
        <x:v>FIFTH AVENUE 26A LLC</x:v>
      </x:c>
      <x:c r="P903" t="str">
        <x:v>22 Shadetree Lane, Roslyn Heights, NY, 11577</x:v>
      </x:c>
      <x:c r="Q903" t="str"/>
      <x:c r="R903" t="str"/>
      <x:c r="S903" t="str"/>
      <x:c r="T903" t="str"/>
      <x:c r="U903" t="str"/>
      <x:c r="V903" t="str"/>
      <x:c r="W903" t="str"/>
      <x:c r="X903" t="str"/>
      <x:c r="Y903" t="str">
        <x:v>https://data.ny.gov/Economic-Development/Active-Corporations-Beginning-1800/n9v6-gdp6</x:v>
      </x:c>
    </x:row>
    <x:row r="904">
      <x:c r="A904" t="str">
        <x:v>DOS-5-041</x:v>
      </x:c>
      <x:c r="B904" t="n">
        <x:v>5</x:v>
      </x:c>
      <x:c r="C904" t="str">
        <x:v>22 SHADETREE LANE, ROSLYN HEIGHTS, NY, 11577, US</x:v>
      </x:c>
      <x:c r="D904" t="str">
        <x:v>FIFTH AVENUE 9E LLC</x:v>
      </x:c>
      <x:c r="E904" t="str">
        <x:v>FIFTH AVENUE 9E LLC</x:v>
      </x:c>
      <x:c r="F904" t="str">
        <x:v>Address-corroborated active match</x:v>
      </x:c>
      <x:c r="G904" t="n">
        <x:v>1</x:v>
      </x:c>
      <x:c r="H904" t="n">
        <x:v>2</x:v>
      </x:c>
      <x:c r="I904" t="str">
        <x:v>7317013</x:v>
      </x:c>
      <x:c r="J904" t="str">
        <x:v>FIFTH AVENUE 9E LLC</x:v>
      </x:c>
      <x:c r="K904" s="55" t="n">
        <x:v>45412</x:v>
      </x:c>
      <x:c r="L904" t="str">
        <x:v>Nassau</x:v>
      </x:c>
      <x:c r="M904" t="str">
        <x:v>New York</x:v>
      </x:c>
      <x:c r="N904" t="str">
        <x:v>DOMESTIC LIMITED LIABILITY COMPANY</x:v>
      </x:c>
      <x:c r="O904" t="str">
        <x:v>FIFTH AVENUE 9E LLC</x:v>
      </x:c>
      <x:c r="P904" t="str">
        <x:v>22 Shadetree Lane, Roslyn Heights, NY, 11577</x:v>
      </x:c>
      <x:c r="Q904" t="str"/>
      <x:c r="R904" t="str"/>
      <x:c r="S904" t="str"/>
      <x:c r="T904" t="str"/>
      <x:c r="U904" t="str"/>
      <x:c r="V904" t="str"/>
      <x:c r="W904" t="str"/>
      <x:c r="X904" t="str"/>
      <x:c r="Y904" t="str">
        <x:v>https://data.ny.gov/Economic-Development/Active-Corporations-Beginning-1800/n9v6-gdp6</x:v>
      </x:c>
    </x:row>
    <x:row r="905">
      <x:c r="A905" t="str">
        <x:v>DOS-5-041</x:v>
      </x:c>
      <x:c r="B905" t="n">
        <x:v>5</x:v>
      </x:c>
      <x:c r="C905" t="str">
        <x:v>22 SHADETREE LANE, ROSLYN HEIGHTS, NY, 11577, US</x:v>
      </x:c>
      <x:c r="D905" t="str">
        <x:v>QH PROPERTY AND MANAGEMENT LLC</x:v>
      </x:c>
      <x:c r="E905" t="str">
        <x:v>QH PROPERTY &amp; MANAGEMENT LLC</x:v>
      </x:c>
      <x:c r="F905" t="str">
        <x:v>Address-corroborated active match</x:v>
      </x:c>
      <x:c r="G905" t="n">
        <x:v>1</x:v>
      </x:c>
      <x:c r="H905" t="n">
        <x:v>2</x:v>
      </x:c>
      <x:c r="I905" t="str">
        <x:v>4573793</x:v>
      </x:c>
      <x:c r="J905" t="str">
        <x:v>QH PROPERTY &amp; MANAGEMENT LLC</x:v>
      </x:c>
      <x:c r="K905" s="55" t="n">
        <x:v>41766</x:v>
      </x:c>
      <x:c r="L905" t="str">
        <x:v>Queens</x:v>
      </x:c>
      <x:c r="M905" t="str">
        <x:v>New York</x:v>
      </x:c>
      <x:c r="N905" t="str">
        <x:v>DOMESTIC LIMITED LIABILITY COMPANY</x:v>
      </x:c>
      <x:c r="O905" t="str">
        <x:v>C/O QIANGHUA CHEN</x:v>
      </x:c>
      <x:c r="P905" t="str">
        <x:v>22 SHADETREE LANE, ROSLYN HEIGHTS, NY, 11577</x:v>
      </x:c>
      <x:c r="Q905" t="str"/>
      <x:c r="R905" t="str"/>
      <x:c r="S905" t="str">
        <x:v>QIANG HUA CHEN</x:v>
      </x:c>
      <x:c r="T905" t="str">
        <x:v>22 SHADETREE LANE, ROSLYN HEIGHTS, NEW YORK, 11577</x:v>
      </x:c>
      <x:c r="U905" t="str"/>
      <x:c r="V905" t="str"/>
      <x:c r="W905" t="str"/>
      <x:c r="X905" t="str"/>
      <x:c r="Y905" t="str">
        <x:v>https://data.ny.gov/Economic-Development/Active-Corporations-Beginning-1800/n9v6-gdp6</x:v>
      </x:c>
    </x:row>
    <x:row r="906">
      <x:c r="A906" t="str">
        <x:v>DOS-5-041</x:v>
      </x:c>
      <x:c r="B906" t="n">
        <x:v>5</x:v>
      </x:c>
      <x:c r="C906" t="str">
        <x:v>22 SHADETREE LANE, ROSLYN HEIGHTS, NY, 11577, US</x:v>
      </x:c>
      <x:c r="D906" t="str">
        <x:v>SI ZHE XIN PROPERTY MANAGMENT LLC</x:v>
      </x:c>
      <x:c r="E906" t="str">
        <x:v>SI ZHE XIN PROPERTY MANAGMENT LLC</x:v>
      </x:c>
      <x:c r="F906" t="str">
        <x:v>No active DOS match</x:v>
      </x:c>
      <x:c r="G906" t="n">
        <x:v>0</x:v>
      </x:c>
      <x:c r="H906" t="n">
        <x:v>0</x:v>
      </x:c>
      <x:c r="I906" t="str"/>
      <x:c r="J906" t="str"/>
      <x:c r="K906" s="55" t="str"/>
      <x:c r="L906" t="str"/>
      <x:c r="M906" t="str"/>
      <x:c r="N906" t="str"/>
      <x:c r="O906" t="str"/>
      <x:c r="P906" t="str"/>
      <x:c r="Q906" t="str"/>
      <x:c r="R906" t="str"/>
      <x:c r="S906" t="str"/>
      <x:c r="T906" t="str"/>
      <x:c r="U906" t="str"/>
      <x:c r="V906" t="str"/>
      <x:c r="W906" t="str"/>
      <x:c r="X906" t="str"/>
      <x:c r="Y906" t="str">
        <x:v>https://data.ny.gov/Economic-Development/Active-Corporations-Beginning-1800/n9v6-gdp6</x:v>
      </x:c>
    </x:row>
    <x:row r="907">
      <x:c r="A907" t="str">
        <x:v>DOS-5-042</x:v>
      </x:c>
      <x:c r="B907" t="n">
        <x:v>5</x:v>
      </x:c>
      <x:c r="C907" t="str">
        <x:v>2430 46TH ST, LONG ISLAND CITY, NY, 111031008, US</x:v>
      </x:c>
      <x:c r="D907" t="str">
        <x:v>RISING PROPERTIES 24 13 LLC</x:v>
      </x:c>
      <x:c r="E907" t="str">
        <x:v>RISING PROPERTIES 24-13 LLC</x:v>
      </x:c>
      <x:c r="F907" t="str">
        <x:v>Active name match</x:v>
      </x:c>
      <x:c r="G907" t="n">
        <x:v>1</x:v>
      </x:c>
      <x:c r="H907" t="n">
        <x:v>1</x:v>
      </x:c>
      <x:c r="I907" t="str">
        <x:v>7354673</x:v>
      </x:c>
      <x:c r="J907" t="str">
        <x:v>RISING PROPERTIES 24-13 LLC</x:v>
      </x:c>
      <x:c r="K907" s="55" t="n">
        <x:v>45460</x:v>
      </x:c>
      <x:c r="L907" t="str">
        <x:v>Queens</x:v>
      </x:c>
      <x:c r="M907" t="str">
        <x:v>New York</x:v>
      </x:c>
      <x:c r="N907" t="str">
        <x:v>DOMESTIC LIMITED LIABILITY COMPANY</x:v>
      </x:c>
      <x:c r="O907" t="str">
        <x:v>RISING PROPERTIES 24-13 LLC</x:v>
      </x:c>
      <x:c r="P907" t="str">
        <x:v>24-30 46TH STREET, ASTORIA, NY, 11103</x:v>
      </x:c>
      <x:c r="Q907" t="str"/>
      <x:c r="R907" t="str"/>
      <x:c r="S907" t="str"/>
      <x:c r="T907" t="str"/>
      <x:c r="U907" t="str"/>
      <x:c r="V907" t="str"/>
      <x:c r="W907" t="str"/>
      <x:c r="X907" t="str"/>
      <x:c r="Y907" t="str">
        <x:v>https://data.ny.gov/Economic-Development/Active-Corporations-Beginning-1800/n9v6-gdp6</x:v>
      </x:c>
    </x:row>
    <x:row r="908">
      <x:c r="A908" t="str">
        <x:v>DOS-5-042</x:v>
      </x:c>
      <x:c r="B908" t="n">
        <x:v>5</x:v>
      </x:c>
      <x:c r="C908" t="str">
        <x:v>2430 46TH ST, LONG ISLAND CITY, NY, 111031008, US</x:v>
      </x:c>
      <x:c r="D908" t="str">
        <x:v>RISING PROPERTIES 24 19 LLC</x:v>
      </x:c>
      <x:c r="E908" t="str">
        <x:v>RISING PROPERTIES 24-19 LLC</x:v>
      </x:c>
      <x:c r="F908" t="str">
        <x:v>Active name match</x:v>
      </x:c>
      <x:c r="G908" t="n">
        <x:v>1</x:v>
      </x:c>
      <x:c r="H908" t="n">
        <x:v>1</x:v>
      </x:c>
      <x:c r="I908" t="str">
        <x:v>7354657</x:v>
      </x:c>
      <x:c r="J908" t="str">
        <x:v>RISING PROPERTIES 24-19 LLC</x:v>
      </x:c>
      <x:c r="K908" s="55" t="n">
        <x:v>45460</x:v>
      </x:c>
      <x:c r="L908" t="str">
        <x:v>Queens</x:v>
      </x:c>
      <x:c r="M908" t="str">
        <x:v>New York</x:v>
      </x:c>
      <x:c r="N908" t="str">
        <x:v>DOMESTIC LIMITED LIABILITY COMPANY</x:v>
      </x:c>
      <x:c r="O908" t="str">
        <x:v>RISING PROPERTIES 24-19 LLC</x:v>
      </x:c>
      <x:c r="P908" t="str">
        <x:v>24-30 46th street, ASTORIA, NY, 11103</x:v>
      </x:c>
      <x:c r="Q908" t="str"/>
      <x:c r="R908" t="str"/>
      <x:c r="S908" t="str"/>
      <x:c r="T908" t="str"/>
      <x:c r="U908" t="str"/>
      <x:c r="V908" t="str"/>
      <x:c r="W908" t="str"/>
      <x:c r="X908" t="str"/>
      <x:c r="Y908" t="str">
        <x:v>https://data.ny.gov/Economic-Development/Active-Corporations-Beginning-1800/n9v6-gdp6</x:v>
      </x:c>
    </x:row>
    <x:row r="909">
      <x:c r="A909" t="str">
        <x:v>DOS-5-042</x:v>
      </x:c>
      <x:c r="B909" t="n">
        <x:v>5</x:v>
      </x:c>
      <x:c r="C909" t="str">
        <x:v>2430 46TH ST, LONG ISLAND CITY, NY, 111031008, US</x:v>
      </x:c>
      <x:c r="D909" t="str">
        <x:v>RISING PROPERTIES 24 27 LLC</x:v>
      </x:c>
      <x:c r="E909" t="str">
        <x:v>RISING PROPERTIES 24-27 LLC</x:v>
      </x:c>
      <x:c r="F909" t="str">
        <x:v>Active name match</x:v>
      </x:c>
      <x:c r="G909" t="n">
        <x:v>1</x:v>
      </x:c>
      <x:c r="H909" t="n">
        <x:v>1</x:v>
      </x:c>
      <x:c r="I909" t="str">
        <x:v>7354662</x:v>
      </x:c>
      <x:c r="J909" t="str">
        <x:v>RISING PROPERTIES 24-27 LLC</x:v>
      </x:c>
      <x:c r="K909" s="55" t="n">
        <x:v>45460</x:v>
      </x:c>
      <x:c r="L909" t="str">
        <x:v>Queens</x:v>
      </x:c>
      <x:c r="M909" t="str">
        <x:v>New York</x:v>
      </x:c>
      <x:c r="N909" t="str">
        <x:v>DOMESTIC LIMITED LIABILITY COMPANY</x:v>
      </x:c>
      <x:c r="O909" t="str">
        <x:v>RISING PROPERTIES 24-27 LLC</x:v>
      </x:c>
      <x:c r="P909" t="str">
        <x:v>24-30 46TH STREET, ASTORIA, NY, 11103</x:v>
      </x:c>
      <x:c r="Q909" t="str"/>
      <x:c r="R909" t="str"/>
      <x:c r="S909" t="str"/>
      <x:c r="T909" t="str"/>
      <x:c r="U909" t="str"/>
      <x:c r="V909" t="str"/>
      <x:c r="W909" t="str"/>
      <x:c r="X909" t="str"/>
      <x:c r="Y909" t="str">
        <x:v>https://data.ny.gov/Economic-Development/Active-Corporations-Beginning-1800/n9v6-gdp6</x:v>
      </x:c>
    </x:row>
    <x:row r="910">
      <x:c r="A910" t="str">
        <x:v>DOS-5-042</x:v>
      </x:c>
      <x:c r="B910" t="n">
        <x:v>5</x:v>
      </x:c>
      <x:c r="C910" t="str">
        <x:v>2430 46TH ST, LONG ISLAND CITY, NY, 111031008, US</x:v>
      </x:c>
      <x:c r="D910" t="str">
        <x:v>RISING PROPERTIES 24 29 LLC</x:v>
      </x:c>
      <x:c r="E910" t="str">
        <x:v>RISING PROPERTIES 24-29 LLC</x:v>
      </x:c>
      <x:c r="F910" t="str">
        <x:v>Active name match</x:v>
      </x:c>
      <x:c r="G910" t="n">
        <x:v>1</x:v>
      </x:c>
      <x:c r="H910" t="n">
        <x:v>1</x:v>
      </x:c>
      <x:c r="I910" t="str">
        <x:v>7354667</x:v>
      </x:c>
      <x:c r="J910" t="str">
        <x:v>RISING PROPERTIES 24-29 LLC</x:v>
      </x:c>
      <x:c r="K910" s="55" t="n">
        <x:v>45460</x:v>
      </x:c>
      <x:c r="L910" t="str">
        <x:v>Queens</x:v>
      </x:c>
      <x:c r="M910" t="str">
        <x:v>New York</x:v>
      </x:c>
      <x:c r="N910" t="str">
        <x:v>DOMESTIC LIMITED LIABILITY COMPANY</x:v>
      </x:c>
      <x:c r="O910" t="str">
        <x:v>RISING PROPERTIES 24-29 LLC</x:v>
      </x:c>
      <x:c r="P910" t="str">
        <x:v>24-30 46TH STREET, ASTORIA, NY, 11103</x:v>
      </x:c>
      <x:c r="Q910" t="str"/>
      <x:c r="R910" t="str"/>
      <x:c r="S910" t="str"/>
      <x:c r="T910" t="str"/>
      <x:c r="U910" t="str"/>
      <x:c r="V910" t="str"/>
      <x:c r="W910" t="str"/>
      <x:c r="X910" t="str"/>
      <x:c r="Y910" t="str">
        <x:v>https://data.ny.gov/Economic-Development/Active-Corporations-Beginning-1800/n9v6-gdp6</x:v>
      </x:c>
    </x:row>
    <x:row r="911">
      <x:c r="A911" t="str">
        <x:v>DOS-5-042</x:v>
      </x:c>
      <x:c r="B911" t="n">
        <x:v>5</x:v>
      </x:c>
      <x:c r="C911" t="str">
        <x:v>2430 46TH ST, LONG ISLAND CITY, NY, 111031008, US</x:v>
      </x:c>
      <x:c r="D911" t="str">
        <x:v>RISING PROPERTIES 24 30 LLC</x:v>
      </x:c>
      <x:c r="E911" t="str">
        <x:v>RISING PROPERTIES 24-30 LLC</x:v>
      </x:c>
      <x:c r="F911" t="str">
        <x:v>Active name match</x:v>
      </x:c>
      <x:c r="G911" t="n">
        <x:v>1</x:v>
      </x:c>
      <x:c r="H911" t="n">
        <x:v>1</x:v>
      </x:c>
      <x:c r="I911" t="str">
        <x:v>7354652</x:v>
      </x:c>
      <x:c r="J911" t="str">
        <x:v>RISING PROPERTIES 24-30 LLC</x:v>
      </x:c>
      <x:c r="K911" s="55" t="n">
        <x:v>45460</x:v>
      </x:c>
      <x:c r="L911" t="str">
        <x:v>Queens</x:v>
      </x:c>
      <x:c r="M911" t="str">
        <x:v>New York</x:v>
      </x:c>
      <x:c r="N911" t="str">
        <x:v>DOMESTIC LIMITED LIABILITY COMPANY</x:v>
      </x:c>
      <x:c r="O911" t="str">
        <x:v>RISING PROPERTIES 24-30 LLC</x:v>
      </x:c>
      <x:c r="P911" t="str">
        <x:v>24-30 46TH STREET, ASTORIA, NY, 11103</x:v>
      </x:c>
      <x:c r="Q911" t="str"/>
      <x:c r="R911" t="str"/>
      <x:c r="S911" t="str"/>
      <x:c r="T911" t="str"/>
      <x:c r="U911" t="str"/>
      <x:c r="V911" t="str"/>
      <x:c r="W911" t="str"/>
      <x:c r="X911" t="str"/>
      <x:c r="Y911" t="str">
        <x:v>https://data.ny.gov/Economic-Development/Active-Corporations-Beginning-1800/n9v6-gdp6</x:v>
      </x:c>
    </x:row>
    <x:row r="912">
      <x:c r="A912" t="str">
        <x:v>DOS-5-043</x:v>
      </x:c>
      <x:c r="B912" t="n">
        <x:v>5</x:v>
      </x:c>
      <x:c r="C912" t="str">
        <x:v>286 NORTHERN BOULEVARD, GREAT NECK, NY, 11021, US | 286 NORTHERN BOULEVARD,, GREAT NECK, NY, 11021, US</x:v>
      </x:c>
      <x:c r="D912" t="str">
        <x:v>19 EAST 76TH STREET LLC</x:v>
      </x:c>
      <x:c r="E912" t="str">
        <x:v>19 EAST 76TH STREET, LLC</x:v>
      </x:c>
      <x:c r="F912" t="str">
        <x:v>Active name match</x:v>
      </x:c>
      <x:c r="G912" t="n">
        <x:v>1</x:v>
      </x:c>
      <x:c r="H912" t="n">
        <x:v>1</x:v>
      </x:c>
      <x:c r="I912" t="str">
        <x:v>3714744</x:v>
      </x:c>
      <x:c r="J912" t="str">
        <x:v>19 EAST 76TH STREET, LLC</x:v>
      </x:c>
      <x:c r="K912" s="55" t="n">
        <x:v>39689</x:v>
      </x:c>
      <x:c r="L912" t="str">
        <x:v>Nassau</x:v>
      </x:c>
      <x:c r="M912" t="str">
        <x:v>New York</x:v>
      </x:c>
      <x:c r="N912" t="str">
        <x:v>DOMESTIC LIMITED LIABILITY COMPANY</x:v>
      </x:c>
      <x:c r="O912" t="str">
        <x:v>VISION ENTERPRISES</x:v>
      </x:c>
      <x:c r="P912" t="str">
        <x:v>286 NORTHERN BLVD, GREAT NECK, NY, 11021</x:v>
      </x:c>
      <x:c r="Q912" t="str"/>
      <x:c r="R912" t="str"/>
      <x:c r="S912" t="str"/>
      <x:c r="T912" t="str"/>
      <x:c r="U912" t="str"/>
      <x:c r="V912" t="str"/>
      <x:c r="W912" t="str"/>
      <x:c r="X912" t="str"/>
      <x:c r="Y912" t="str">
        <x:v>https://data.ny.gov/Economic-Development/Active-Corporations-Beginning-1800/n9v6-gdp6</x:v>
      </x:c>
    </x:row>
    <x:row r="913">
      <x:c r="A913" t="str">
        <x:v>DOS-5-043</x:v>
      </x:c>
      <x:c r="B913" t="n">
        <x:v>5</x:v>
      </x:c>
      <x:c r="C913" t="str">
        <x:v>286 NORTHERN BOULEVARD, GREAT NECK, NY, 11021, US | 286 NORTHERN BOULEVARD,, GREAT NECK, NY, 11021, US</x:v>
      </x:c>
      <x:c r="D913" t="str">
        <x:v>B N O ASSOCIATES LLC</x:v>
      </x:c>
      <x:c r="E913" t="str">
        <x:v>B.N.O ASSOCIATES LLC</x:v>
      </x:c>
      <x:c r="F913" t="str">
        <x:v>Address-corroborated active match</x:v>
      </x:c>
      <x:c r="G913" t="n">
        <x:v>1</x:v>
      </x:c>
      <x:c r="H913" t="n">
        <x:v>2</x:v>
      </x:c>
      <x:c r="I913" t="str">
        <x:v>2686297</x:v>
      </x:c>
      <x:c r="J913" t="str">
        <x:v>B.N.O. ASSOCIATES LLC</x:v>
      </x:c>
      <x:c r="K913" s="55" t="n">
        <x:v>37168</x:v>
      </x:c>
      <x:c r="L913" t="str">
        <x:v>Nassau</x:v>
      </x:c>
      <x:c r="M913" t="str">
        <x:v>New York</x:v>
      </x:c>
      <x:c r="N913" t="str">
        <x:v>DOMESTIC LIMITED LIABILITY COMPANY</x:v>
      </x:c>
      <x:c r="O913" t="str">
        <x:v>B.N.O. ASSOCIATES LLC</x:v>
      </x:c>
      <x:c r="P913" t="str">
        <x:v>286 NORTHERN BOULEVARD, GREAT NECK, NY, 11021</x:v>
      </x:c>
      <x:c r="Q913" t="str"/>
      <x:c r="R913" t="str"/>
      <x:c r="S913" t="str"/>
      <x:c r="T913" t="str"/>
      <x:c r="U913" t="str"/>
      <x:c r="V913" t="str"/>
      <x:c r="W913" t="str"/>
      <x:c r="X913" t="str"/>
      <x:c r="Y913" t="str">
        <x:v>https://data.ny.gov/Economic-Development/Active-Corporations-Beginning-1800/n9v6-gdp6</x:v>
      </x:c>
    </x:row>
    <x:row r="914">
      <x:c r="A914" t="str">
        <x:v>DOS-5-043</x:v>
      </x:c>
      <x:c r="B914" t="n">
        <x:v>5</x:v>
      </x:c>
      <x:c r="C914" t="str">
        <x:v>286 NORTHERN BOULEVARD, GREAT NECK, NY, 11021, US | 286 NORTHERN BOULEVARD,, GREAT NECK, NY, 11021, US</x:v>
      </x:c>
      <x:c r="D914" t="str">
        <x:v>ET PL ASSOCIATES LLC</x:v>
      </x:c>
      <x:c r="E914" t="str">
        <x:v>ET-PL ASSOCIATES, LLC</x:v>
      </x:c>
      <x:c r="F914" t="str">
        <x:v>Active name match</x:v>
      </x:c>
      <x:c r="G914" t="n">
        <x:v>1</x:v>
      </x:c>
      <x:c r="H914" t="n">
        <x:v>1</x:v>
      </x:c>
      <x:c r="I914" t="str">
        <x:v>3241902</x:v>
      </x:c>
      <x:c r="J914" t="str">
        <x:v>ET-PL ASSOCIATES, LLC</x:v>
      </x:c>
      <x:c r="K914" s="55" t="n">
        <x:v>38574</x:v>
      </x:c>
      <x:c r="L914" t="str">
        <x:v>Queens</x:v>
      </x:c>
      <x:c r="M914" t="str">
        <x:v>New York</x:v>
      </x:c>
      <x:c r="N914" t="str">
        <x:v>DOMESTIC LIMITED LIABILITY COMPANY</x:v>
      </x:c>
      <x:c r="O914" t="str">
        <x:v>ET-PL ASSOCIATES, LLC</x:v>
      </x:c>
      <x:c r="P914" t="str">
        <x:v>286 NORTHERN BLVD., GREAT NECK, NY, 11021</x:v>
      </x:c>
      <x:c r="Q914" t="str"/>
      <x:c r="R914" t="str"/>
      <x:c r="S914" t="str"/>
      <x:c r="T914" t="str"/>
      <x:c r="U914" t="str"/>
      <x:c r="V914" t="str"/>
      <x:c r="W914" t="str"/>
      <x:c r="X914" t="str"/>
      <x:c r="Y914" t="str">
        <x:v>https://data.ny.gov/Economic-Development/Active-Corporations-Beginning-1800/n9v6-gdp6</x:v>
      </x:c>
    </x:row>
    <x:row r="915">
      <x:c r="A915" t="str">
        <x:v>DOS-5-043</x:v>
      </x:c>
      <x:c r="B915" t="n">
        <x:v>5</x:v>
      </x:c>
      <x:c r="C915" t="str">
        <x:v>286 NORTHERN BOULEVARD, GREAT NECK, NY, 11021, US | 286 NORTHERN BOULEVARD,, GREAT NECK, NY, 11021, US</x:v>
      </x:c>
      <x:c r="D915" t="str">
        <x:v>FRANNIE LEW ASSOCIATES LLC</x:v>
      </x:c>
      <x:c r="E915" t="str">
        <x:v>FRANNIE LEW ASSOCIATES LLC</x:v>
      </x:c>
      <x:c r="F915" t="str">
        <x:v>Address-corroborated active match</x:v>
      </x:c>
      <x:c r="G915" t="n">
        <x:v>1</x:v>
      </x:c>
      <x:c r="H915" t="n">
        <x:v>2</x:v>
      </x:c>
      <x:c r="I915" t="str">
        <x:v>5285352</x:v>
      </x:c>
      <x:c r="J915" t="str">
        <x:v>FRANNIE LEW ASSOCIATES LLC</x:v>
      </x:c>
      <x:c r="K915" s="55" t="n">
        <x:v>43144</x:v>
      </x:c>
      <x:c r="L915" t="str">
        <x:v>Queens</x:v>
      </x:c>
      <x:c r="M915" t="str">
        <x:v>New York</x:v>
      </x:c>
      <x:c r="N915" t="str">
        <x:v>DOMESTIC LIMITED LIABILITY COMPANY</x:v>
      </x:c>
      <x:c r="O915" t="str">
        <x:v>FRANNIE LEW ASSOCIATES LLC</x:v>
      </x:c>
      <x:c r="P915" t="str">
        <x:v>286 NORTHERN BOULEVARD, GREAT NECK, NY, 11021</x:v>
      </x:c>
      <x:c r="Q915" t="str"/>
      <x:c r="R915" t="str"/>
      <x:c r="S915" t="str"/>
      <x:c r="T915" t="str"/>
      <x:c r="U915" t="str"/>
      <x:c r="V915" t="str"/>
      <x:c r="W915" t="str"/>
      <x:c r="X915" t="str"/>
      <x:c r="Y915" t="str">
        <x:v>https://data.ny.gov/Economic-Development/Active-Corporations-Beginning-1800/n9v6-gdp6</x:v>
      </x:c>
    </x:row>
    <x:row r="916">
      <x:c r="A916" t="str">
        <x:v>DOS-5-043</x:v>
      </x:c>
      <x:c r="B916" t="n">
        <x:v>5</x:v>
      </x:c>
      <x:c r="C916" t="str">
        <x:v>286 NORTHERN BOULEVARD, GREAT NECK, NY, 11021, US | 286 NORTHERN BOULEVARD,, GREAT NECK, NY, 11021, US</x:v>
      </x:c>
      <x:c r="D916" t="str">
        <x:v>KROY ASSOCIATES LLC</x:v>
      </x:c>
      <x:c r="E916" t="str">
        <x:v>KROY ASSOCIATES, LLC</x:v>
      </x:c>
      <x:c r="F916" t="str">
        <x:v>Active name match</x:v>
      </x:c>
      <x:c r="G916" t="n">
        <x:v>1</x:v>
      </x:c>
      <x:c r="H916" t="n">
        <x:v>1</x:v>
      </x:c>
      <x:c r="I916" t="str">
        <x:v>1977417</x:v>
      </x:c>
      <x:c r="J916" t="str">
        <x:v>KROY ASSOCIATES, LLC</x:v>
      </x:c>
      <x:c r="K916" s="55" t="n">
        <x:v>35032</x:v>
      </x:c>
      <x:c r="L916" t="str">
        <x:v>Queens</x:v>
      </x:c>
      <x:c r="M916" t="str">
        <x:v>New York</x:v>
      </x:c>
      <x:c r="N916" t="str">
        <x:v>DOMESTIC LIMITED LIABILITY COMPANY</x:v>
      </x:c>
      <x:c r="O916" t="str">
        <x:v>VISION ENTERPRISES MANAGEMENT LLC</x:v>
      </x:c>
      <x:c r="P916" t="str">
        <x:v>286 NORTHERN BLVD, GREAT NECK, NY, 11021</x:v>
      </x:c>
      <x:c r="Q916" t="str"/>
      <x:c r="R916" t="str"/>
      <x:c r="S916" t="str"/>
      <x:c r="T916" t="str"/>
      <x:c r="U916" t="str"/>
      <x:c r="V916" t="str"/>
      <x:c r="W916" t="str"/>
      <x:c r="X916" t="str"/>
      <x:c r="Y916" t="str">
        <x:v>https://data.ny.gov/Economic-Development/Active-Corporations-Beginning-1800/n9v6-gdp6</x:v>
      </x:c>
    </x:row>
    <x:row r="917">
      <x:c r="A917" t="str">
        <x:v>DOS-5-044</x:v>
      </x:c>
      <x:c r="B917" t="n">
        <x:v>5</x:v>
      </x:c>
      <x:c r="C917" t="str">
        <x:v>287 EAST GUN HILL ROAD, BRONX, NY, 10467, US</x:v>
      </x:c>
      <x:c r="D917" t="str">
        <x:v>2115 LLC</x:v>
      </x:c>
      <x:c r="E917" t="str">
        <x:v>2115 LLC</x:v>
      </x:c>
      <x:c r="F917" t="str">
        <x:v>Active name match</x:v>
      </x:c>
      <x:c r="G917" t="n">
        <x:v>1</x:v>
      </x:c>
      <x:c r="H917" t="n">
        <x:v>0</x:v>
      </x:c>
      <x:c r="I917" t="str">
        <x:v>4897224</x:v>
      </x:c>
      <x:c r="J917" t="str">
        <x:v>2115, LLC</x:v>
      </x:c>
      <x:c r="K917" s="55" t="n">
        <x:v>42417</x:v>
      </x:c>
      <x:c r="L917" t="str">
        <x:v>Albany</x:v>
      </x:c>
      <x:c r="M917" t="str">
        <x:v>New York</x:v>
      </x:c>
      <x:c r="N917" t="str">
        <x:v>DOMESTIC LIMITED LIABILITY COMPANY</x:v>
      </x:c>
      <x:c r="O917" t="str">
        <x:v>ALLSTATE CORPORATE SERVICES CORP.</x:v>
      </x:c>
      <x:c r="P917" t="str">
        <x:v>99 WASHINGTON AVE, SUITE 1008, ALBANY, NY, 12260</x:v>
      </x:c>
      <x:c r="Q917" t="str"/>
      <x:c r="R917" t="str"/>
      <x:c r="S917" t="str"/>
      <x:c r="T917" t="str"/>
      <x:c r="U917" t="str"/>
      <x:c r="V917" t="str"/>
      <x:c r="W917" t="str"/>
      <x:c r="X917" t="str"/>
      <x:c r="Y917" t="str">
        <x:v>https://data.ny.gov/Economic-Development/Active-Corporations-Beginning-1800/n9v6-gdp6</x:v>
      </x:c>
    </x:row>
    <x:row r="918">
      <x:c r="A918" t="str">
        <x:v>DOS-5-044</x:v>
      </x:c>
      <x:c r="B918" t="n">
        <x:v>5</x:v>
      </x:c>
      <x:c r="C918" t="str">
        <x:v>287 EAST GUN HILL ROAD, BRONX, NY, 10467, US</x:v>
      </x:c>
      <x:c r="D918" t="str">
        <x:v>3224 BRONX BOULEVARD LLC</x:v>
      </x:c>
      <x:c r="E918" t="str">
        <x:v>3224 BRONX BOULEVARD, LLC</x:v>
      </x:c>
      <x:c r="F918" t="str">
        <x:v>Active name match</x:v>
      </x:c>
      <x:c r="G918" t="n">
        <x:v>1</x:v>
      </x:c>
      <x:c r="H918" t="n">
        <x:v>0</x:v>
      </x:c>
      <x:c r="I918" t="str">
        <x:v>4211877</x:v>
      </x:c>
      <x:c r="J918" t="str">
        <x:v>3224 BRONX BOULEVARD LLC</x:v>
      </x:c>
      <x:c r="K918" s="55" t="n">
        <x:v>40973</x:v>
      </x:c>
      <x:c r="L918" t="str">
        <x:v>Bronx</x:v>
      </x:c>
      <x:c r="M918" t="str">
        <x:v>New York</x:v>
      </x:c>
      <x:c r="N918" t="str">
        <x:v>DOMESTIC LIMITED LIABILITY COMPANY</x:v>
      </x:c>
      <x:c r="O918" t="str">
        <x:v>3224 BRONX BOULEVARD LLC</x:v>
      </x:c>
      <x:c r="P918" t="str">
        <x:v>P.O. BOX 220, YONKERS, NY, 10710</x:v>
      </x:c>
      <x:c r="Q918" t="str"/>
      <x:c r="R918" t="str"/>
      <x:c r="S918" t="str"/>
      <x:c r="T918" t="str"/>
      <x:c r="U918" t="str"/>
      <x:c r="V918" t="str"/>
      <x:c r="W918" t="str"/>
      <x:c r="X918" t="str"/>
      <x:c r="Y918" t="str">
        <x:v>https://data.ny.gov/Economic-Development/Active-Corporations-Beginning-1800/n9v6-gdp6</x:v>
      </x:c>
    </x:row>
    <x:row r="919">
      <x:c r="A919" t="str">
        <x:v>DOS-5-044</x:v>
      </x:c>
      <x:c r="B919" t="n">
        <x:v>5</x:v>
      </x:c>
      <x:c r="C919" t="str">
        <x:v>287 EAST GUN HILL ROAD, BRONX, NY, 10467, US</x:v>
      </x:c>
      <x:c r="D919" t="str">
        <x:v>721E LLC</x:v>
      </x:c>
      <x:c r="E919" t="str">
        <x:v>721E LLC</x:v>
      </x:c>
      <x:c r="F919" t="str">
        <x:v>Active name match</x:v>
      </x:c>
      <x:c r="G919" t="n">
        <x:v>1</x:v>
      </x:c>
      <x:c r="H919" t="n">
        <x:v>0</x:v>
      </x:c>
      <x:c r="I919" t="str">
        <x:v>5239076</x:v>
      </x:c>
      <x:c r="J919" t="str">
        <x:v>721E LLC</x:v>
      </x:c>
      <x:c r="K919" s="55" t="n">
        <x:v>43060</x:v>
      </x:c>
      <x:c r="L919" t="str">
        <x:v>Albany</x:v>
      </x:c>
      <x:c r="M919" t="str">
        <x:v>New York</x:v>
      </x:c>
      <x:c r="N919" t="str">
        <x:v>DOMESTIC LIMITED LIABILITY COMPANY</x:v>
      </x:c>
      <x:c r="O919" t="str">
        <x:v>721E LLC</x:v>
      </x:c>
      <x:c r="P919" t="str">
        <x:v>P.O. BOX 220, YONKERS, NY, 10710</x:v>
      </x:c>
      <x:c r="Q919" t="str"/>
      <x:c r="R919" t="str"/>
      <x:c r="S919" t="str"/>
      <x:c r="T919" t="str"/>
      <x:c r="U919" t="str"/>
      <x:c r="V919" t="str"/>
      <x:c r="W919" t="str"/>
      <x:c r="X919" t="str"/>
      <x:c r="Y919" t="str">
        <x:v>https://data.ny.gov/Economic-Development/Active-Corporations-Beginning-1800/n9v6-gdp6</x:v>
      </x:c>
    </x:row>
    <x:row r="920">
      <x:c r="A920" t="str">
        <x:v>DOS-5-044</x:v>
      </x:c>
      <x:c r="B920" t="n">
        <x:v>5</x:v>
      </x:c>
      <x:c r="C920" t="str">
        <x:v>287 EAST GUN HILL ROAD, BRONX, NY, 10467, US</x:v>
      </x:c>
      <x:c r="D920" t="str">
        <x:v>NUVA REALTY LLC</x:v>
      </x:c>
      <x:c r="E920" t="str">
        <x:v>NUVA REALTY, LLC</x:v>
      </x:c>
      <x:c r="F920" t="str">
        <x:v>Active name match</x:v>
      </x:c>
      <x:c r="G920" t="n">
        <x:v>1</x:v>
      </x:c>
      <x:c r="H920" t="n">
        <x:v>0</x:v>
      </x:c>
      <x:c r="I920" t="str">
        <x:v>3922663</x:v>
      </x:c>
      <x:c r="J920" t="str">
        <x:v>NUVA REALTY, LLC</x:v>
      </x:c>
      <x:c r="K920" s="55" t="n">
        <x:v>40248</x:v>
      </x:c>
      <x:c r="L920" t="str">
        <x:v>Bronx</x:v>
      </x:c>
      <x:c r="M920" t="str">
        <x:v>New York</x:v>
      </x:c>
      <x:c r="N920" t="str">
        <x:v>DOMESTIC LIMITED LIABILITY COMPANY</x:v>
      </x:c>
      <x:c r="O920" t="str">
        <x:v>NUVA REALTY, LLC</x:v>
      </x:c>
      <x:c r="P920" t="str">
        <x:v>1585 CENTRAL PARK AVE, #200, YONKERS, NY, 10710</x:v>
      </x:c>
      <x:c r="Q920" t="str"/>
      <x:c r="R920" t="str"/>
      <x:c r="S920" t="str"/>
      <x:c r="T920" t="str"/>
      <x:c r="U920" t="str"/>
      <x:c r="V920" t="str"/>
      <x:c r="W920" t="str"/>
      <x:c r="X920" t="str"/>
      <x:c r="Y920" t="str">
        <x:v>https://data.ny.gov/Economic-Development/Active-Corporations-Beginning-1800/n9v6-gdp6</x:v>
      </x:c>
    </x:row>
    <x:row r="921">
      <x:c r="A921" t="str">
        <x:v>DOS-5-044</x:v>
      </x:c>
      <x:c r="B921" t="n">
        <x:v>5</x:v>
      </x:c>
      <x:c r="C921" t="str">
        <x:v>287 EAST GUN HILL ROAD, BRONX, NY, 10467, US</x:v>
      </x:c>
      <x:c r="D921" t="str">
        <x:v>SHPIA LLC</x:v>
      </x:c>
      <x:c r="E921" t="str">
        <x:v>SHPIA LLC</x:v>
      </x:c>
      <x:c r="F921" t="str">
        <x:v>Active name match</x:v>
      </x:c>
      <x:c r="G921" t="n">
        <x:v>1</x:v>
      </x:c>
      <x:c r="H921" t="n">
        <x:v>0</x:v>
      </x:c>
      <x:c r="I921" t="str">
        <x:v>4018270</x:v>
      </x:c>
      <x:c r="J921" t="str">
        <x:v>SHPIA LLC</x:v>
      </x:c>
      <x:c r="K921" s="55" t="n">
        <x:v>40494</x:v>
      </x:c>
      <x:c r="L921" t="str">
        <x:v>Bronx</x:v>
      </x:c>
      <x:c r="M921" t="str">
        <x:v>New York</x:v>
      </x:c>
      <x:c r="N921" t="str">
        <x:v>DOMESTIC LIMITED LIABILITY COMPANY</x:v>
      </x:c>
      <x:c r="O921" t="str">
        <x:v>SHPIA LLC</x:v>
      </x:c>
      <x:c r="P921" t="str">
        <x:v>PO BOX 220, YONKERS, NY, 10710</x:v>
      </x:c>
      <x:c r="Q921" t="str"/>
      <x:c r="R921" t="str"/>
      <x:c r="S921" t="str"/>
      <x:c r="T921" t="str"/>
      <x:c r="U921" t="str"/>
      <x:c r="V921" t="str"/>
      <x:c r="W921" t="str"/>
      <x:c r="X921" t="str"/>
      <x:c r="Y921" t="str">
        <x:v>https://data.ny.gov/Economic-Development/Active-Corporations-Beginning-1800/n9v6-gdp6</x:v>
      </x:c>
    </x:row>
    <x:row r="922">
      <x:c r="A922" t="str">
        <x:v>DOS-5-045</x:v>
      </x:c>
      <x:c r="B922" t="n">
        <x:v>5</x:v>
      </x:c>
      <x:c r="C922" t="str">
        <x:v>32- 75 STEINWAY STREET SUITE 211, ASTORIA, NY, 11103, US | 32-75 STEINWAY STREET SUITE 211, ASTORIA, NY, 11103, US | 32-75 STEINWAY STREET, SUITE 211, ASTORIA, NY, 11103, US</x:v>
      </x:c>
      <x:c r="D922" t="str">
        <x:v>31 ACQUISITION LLC</x:v>
      </x:c>
      <x:c r="E922" t="str">
        <x:v>31 ACQUISITION LLC</x:v>
      </x:c>
      <x:c r="F922" t="str">
        <x:v>Active name match</x:v>
      </x:c>
      <x:c r="G922" t="n">
        <x:v>1</x:v>
      </x:c>
      <x:c r="H922" t="n">
        <x:v>0</x:v>
      </x:c>
      <x:c r="I922" t="str">
        <x:v>4035791</x:v>
      </x:c>
      <x:c r="J922" t="str">
        <x:v>31 ACQUISITION LLC</x:v>
      </x:c>
      <x:c r="K922" s="55" t="n">
        <x:v>40541</x:v>
      </x:c>
      <x:c r="L922" t="str">
        <x:v>Queens</x:v>
      </x:c>
      <x:c r="M922" t="str">
        <x:v>New York</x:v>
      </x:c>
      <x:c r="N922" t="str">
        <x:v>DOMESTIC LIMITED LIABILITY COMPANY</x:v>
      </x:c>
      <x:c r="O922" t="str">
        <x:v>31 ACQUISITION LLC</x:v>
      </x:c>
      <x:c r="P922" t="str">
        <x:v>45-02 Ditmars Boulevard, Suite 1001, ASTORIA, NY, 11105</x:v>
      </x:c>
      <x:c r="Q922" t="str"/>
      <x:c r="R922" t="str"/>
      <x:c r="S922" t="str"/>
      <x:c r="T922" t="str"/>
      <x:c r="U922" t="str"/>
      <x:c r="V922" t="str"/>
      <x:c r="W922" t="str"/>
      <x:c r="X922" t="str"/>
      <x:c r="Y922" t="str">
        <x:v>https://data.ny.gov/Economic-Development/Active-Corporations-Beginning-1800/n9v6-gdp6</x:v>
      </x:c>
    </x:row>
    <x:row r="923">
      <x:c r="A923" t="str">
        <x:v>DOS-5-045</x:v>
      </x:c>
      <x:c r="B923" t="n">
        <x:v>5</x:v>
      </x:c>
      <x:c r="C923" t="str">
        <x:v>32- 75 STEINWAY STREET SUITE 211, ASTORIA, NY, 11103, US | 32-75 STEINWAY STREET SUITE 211, ASTORIA, NY, 11103, US | 32-75 STEINWAY STREET, SUITE 211, ASTORIA, NY, 11103, US</x:v>
      </x:c>
      <x:c r="D923" t="str">
        <x:v>ACQUISITION DEBT 1A LLC</x:v>
      </x:c>
      <x:c r="E923" t="str">
        <x:v>ACQUISITION DEBT 1A LLC</x:v>
      </x:c>
      <x:c r="F923" t="str">
        <x:v>Address-corroborated active match</x:v>
      </x:c>
      <x:c r="G923" t="n">
        <x:v>1</x:v>
      </x:c>
      <x:c r="H923" t="n">
        <x:v>2</x:v>
      </x:c>
      <x:c r="I923" t="str">
        <x:v>6880296</x:v>
      </x:c>
      <x:c r="J923" t="str">
        <x:v>ACQUISITION DEBT 1A LLC</x:v>
      </x:c>
      <x:c r="K923" s="55" t="n">
        <x:v>45097</x:v>
      </x:c>
      <x:c r="L923" t="str">
        <x:v>Queens</x:v>
      </x:c>
      <x:c r="M923" t="str">
        <x:v>New York</x:v>
      </x:c>
      <x:c r="N923" t="str">
        <x:v>DOMESTIC LIMITED LIABILITY COMPANY</x:v>
      </x:c>
      <x:c r="O923" t="str">
        <x:v>THE LIMITED LIABILITY COMPANY</x:v>
      </x:c>
      <x:c r="P923" t="str">
        <x:v>32-75 Steinway Street, Suite 211, Astoria, NY, 11103</x:v>
      </x:c>
      <x:c r="Q923" t="str"/>
      <x:c r="R923" t="str"/>
      <x:c r="S923" t="str"/>
      <x:c r="T923" t="str"/>
      <x:c r="U923" t="str"/>
      <x:c r="V923" t="str"/>
      <x:c r="W923" t="str"/>
      <x:c r="X923" t="str"/>
      <x:c r="Y923" t="str">
        <x:v>https://data.ny.gov/Economic-Development/Active-Corporations-Beginning-1800/n9v6-gdp6</x:v>
      </x:c>
    </x:row>
    <x:row r="924">
      <x:c r="A924" t="str">
        <x:v>DOS-5-045</x:v>
      </x:c>
      <x:c r="B924" t="n">
        <x:v>5</x:v>
      </x:c>
      <x:c r="C924" t="str">
        <x:v>32- 75 STEINWAY STREET SUITE 211, ASTORIA, NY, 11103, US | 32-75 STEINWAY STREET SUITE 211, ASTORIA, NY, 11103, US | 32-75 STEINWAY STREET, SUITE 211, ASTORIA, NY, 11103, US</x:v>
      </x:c>
      <x:c r="D924" t="str">
        <x:v>COGNATO CONDO LLC</x:v>
      </x:c>
      <x:c r="E924" t="str">
        <x:v>COGNATO CONDO LLC</x:v>
      </x:c>
      <x:c r="F924" t="str">
        <x:v>Address-corroborated active match</x:v>
      </x:c>
      <x:c r="G924" t="n">
        <x:v>1</x:v>
      </x:c>
      <x:c r="H924" t="n">
        <x:v>2</x:v>
      </x:c>
      <x:c r="I924" t="str">
        <x:v>4877511</x:v>
      </x:c>
      <x:c r="J924" t="str">
        <x:v>COGNATO CONDO LLC</x:v>
      </x:c>
      <x:c r="K924" s="55" t="n">
        <x:v>42381</x:v>
      </x:c>
      <x:c r="L924" t="str">
        <x:v>Queens</x:v>
      </x:c>
      <x:c r="M924" t="str">
        <x:v>New York</x:v>
      </x:c>
      <x:c r="N924" t="str">
        <x:v>DOMESTIC LIMITED LIABILITY COMPANY</x:v>
      </x:c>
      <x:c r="O924" t="str">
        <x:v>COGNATO CONDO LLC</x:v>
      </x:c>
      <x:c r="P924" t="str">
        <x:v>32-75 STEINWAY STREET, SUITE 211, ASTORIA, NY, 11103</x:v>
      </x:c>
      <x:c r="Q924" t="str"/>
      <x:c r="R924" t="str"/>
      <x:c r="S924" t="str"/>
      <x:c r="T924" t="str"/>
      <x:c r="U924" t="str"/>
      <x:c r="V924" t="str"/>
      <x:c r="W924" t="str"/>
      <x:c r="X924" t="str"/>
      <x:c r="Y924" t="str">
        <x:v>https://data.ny.gov/Economic-Development/Active-Corporations-Beginning-1800/n9v6-gdp6</x:v>
      </x:c>
    </x:row>
    <x:row r="925">
      <x:c r="A925" t="str">
        <x:v>DOS-5-045</x:v>
      </x:c>
      <x:c r="B925" t="n">
        <x:v>5</x:v>
      </x:c>
      <x:c r="C925" t="str">
        <x:v>32- 75 STEINWAY STREET SUITE 211, ASTORIA, NY, 11103, US | 32-75 STEINWAY STREET SUITE 211, ASTORIA, NY, 11103, US | 32-75 STEINWAY STREET, SUITE 211, ASTORIA, NY, 11103, US</x:v>
      </x:c>
      <x:c r="D925" t="str">
        <x:v>HALLETS MARINA ASSOCIATES LLC</x:v>
      </x:c>
      <x:c r="E925" t="str">
        <x:v>HALLETS MARINA ASSOCIATES LLC</x:v>
      </x:c>
      <x:c r="F925" t="str">
        <x:v>Active name match</x:v>
      </x:c>
      <x:c r="G925" t="n">
        <x:v>1</x:v>
      </x:c>
      <x:c r="H925" t="n">
        <x:v>0</x:v>
      </x:c>
      <x:c r="I925" t="str">
        <x:v>2201952</x:v>
      </x:c>
      <x:c r="J925" t="str">
        <x:v>HALLETS MARINA ASSOCIATES LLC</x:v>
      </x:c>
      <x:c r="K925" s="55" t="n">
        <x:v>35758</x:v>
      </x:c>
      <x:c r="L925" t="str">
        <x:v>Queens</x:v>
      </x:c>
      <x:c r="M925" t="str">
        <x:v>New York</x:v>
      </x:c>
      <x:c r="N925" t="str">
        <x:v>DOMESTIC LIMITED LIABILITY COMPANY</x:v>
      </x:c>
      <x:c r="O925" t="str">
        <x:v>HALLETS MARINA ASSOCIATES LLC</x:v>
      </x:c>
      <x:c r="P925" t="str">
        <x:v>18-50 STEINWAY ST, ASTORIA, NY, 11105</x:v>
      </x:c>
      <x:c r="Q925" t="str"/>
      <x:c r="R925" t="str"/>
      <x:c r="S925" t="str"/>
      <x:c r="T925" t="str"/>
      <x:c r="U925" t="str"/>
      <x:c r="V925" t="str"/>
      <x:c r="W925" t="str"/>
      <x:c r="X925" t="str"/>
      <x:c r="Y925" t="str">
        <x:v>https://data.ny.gov/Economic-Development/Active-Corporations-Beginning-1800/n9v6-gdp6</x:v>
      </x:c>
    </x:row>
    <x:row r="926">
      <x:c r="A926" t="str">
        <x:v>DOS-5-045</x:v>
      </x:c>
      <x:c r="B926" t="n">
        <x:v>5</x:v>
      </x:c>
      <x:c r="C926" t="str">
        <x:v>32- 75 STEINWAY STREET SUITE 211, ASTORIA, NY, 11103, US | 32-75 STEINWAY STREET SUITE 211, ASTORIA, NY, 11103, US | 32-75 STEINWAY STREET, SUITE 211, ASTORIA, NY, 11103, US</x:v>
      </x:c>
      <x:c r="D926" t="str">
        <x:v>TGH REALTY LLC</x:v>
      </x:c>
      <x:c r="E926" t="str">
        <x:v>TGH REALTY LLC</x:v>
      </x:c>
      <x:c r="F926" t="str">
        <x:v>Address-corroborated active match</x:v>
      </x:c>
      <x:c r="G926" t="n">
        <x:v>1</x:v>
      </x:c>
      <x:c r="H926" t="n">
        <x:v>2</x:v>
      </x:c>
      <x:c r="I926" t="str">
        <x:v>4950490</x:v>
      </x:c>
      <x:c r="J926" t="str">
        <x:v>TGH REALTY LLC</x:v>
      </x:c>
      <x:c r="K926" s="55" t="n">
        <x:v>42510</x:v>
      </x:c>
      <x:c r="L926" t="str">
        <x:v>Queens</x:v>
      </x:c>
      <x:c r="M926" t="str">
        <x:v>New York</x:v>
      </x:c>
      <x:c r="N926" t="str">
        <x:v>DOMESTIC LIMITED LIABILITY COMPANY</x:v>
      </x:c>
      <x:c r="O926" t="str">
        <x:v>TGH REALTY LLC</x:v>
      </x:c>
      <x:c r="P926" t="str">
        <x:v>32-75 STEINWAY STREET, SUITE 211, ASTORIA, NY, 11103</x:v>
      </x:c>
      <x:c r="Q926" t="str"/>
      <x:c r="R926" t="str"/>
      <x:c r="S926" t="str"/>
      <x:c r="T926" t="str"/>
      <x:c r="U926" t="str"/>
      <x:c r="V926" t="str"/>
      <x:c r="W926" t="str"/>
      <x:c r="X926" t="str"/>
      <x:c r="Y926" t="str">
        <x:v>https://data.ny.gov/Economic-Development/Active-Corporations-Beginning-1800/n9v6-gdp6</x:v>
      </x:c>
    </x:row>
    <x:row r="927">
      <x:c r="A927" t="str">
        <x:v>DOS-5-046</x:v>
      </x:c>
      <x:c r="B927" t="n">
        <x:v>5</x:v>
      </x:c>
      <x:c r="C927" t="str">
        <x:v>3348 POLO PLACE, BRONX, NY, 10465, US</x:v>
      </x:c>
      <x:c r="D927" t="str">
        <x:v>3451 EAST TREMONT HOLDINGS LLC</x:v>
      </x:c>
      <x:c r="E927" t="str">
        <x:v>3451 EAST TREMONT HOLDINGS LLC</x:v>
      </x:c>
      <x:c r="F927" t="str">
        <x:v>Active name match</x:v>
      </x:c>
      <x:c r="G927" t="n">
        <x:v>1</x:v>
      </x:c>
      <x:c r="H927" t="n">
        <x:v>0</x:v>
      </x:c>
      <x:c r="I927" t="str">
        <x:v>5087588</x:v>
      </x:c>
      <x:c r="J927" t="str">
        <x:v>3451 EAST TREMONT HOLDINGS LLC</x:v>
      </x:c>
      <x:c r="K927" s="55" t="n">
        <x:v>42783</x:v>
      </x:c>
      <x:c r="L927" t="str">
        <x:v>Bronx</x:v>
      </x:c>
      <x:c r="M927" t="str">
        <x:v>New York</x:v>
      </x:c>
      <x:c r="N927" t="str">
        <x:v>DOMESTIC LIMITED LIABILITY COMPANY</x:v>
      </x:c>
      <x:c r="O927" t="str">
        <x:v>3451 EAST TREMONT HOLDINGS LLC</x:v>
      </x:c>
      <x:c r="P927" t="str">
        <x:v>610 Ridge Hill Blvd, 1203, Yonkers, NY, 10710</x:v>
      </x:c>
      <x:c r="Q927" t="str"/>
      <x:c r="R927" t="str"/>
      <x:c r="S927" t="str"/>
      <x:c r="T927" t="str"/>
      <x:c r="U927" t="str"/>
      <x:c r="V927" t="str"/>
      <x:c r="W927" t="str"/>
      <x:c r="X927" t="str"/>
      <x:c r="Y927" t="str">
        <x:v>https://data.ny.gov/Economic-Development/Active-Corporations-Beginning-1800/n9v6-gdp6</x:v>
      </x:c>
    </x:row>
    <x:row r="928">
      <x:c r="A928" t="str">
        <x:v>DOS-5-046</x:v>
      </x:c>
      <x:c r="B928" t="n">
        <x:v>5</x:v>
      </x:c>
      <x:c r="C928" t="str">
        <x:v>3348 POLO PLACE, BRONX, NY, 10465, US</x:v>
      </x:c>
      <x:c r="D928" t="str">
        <x:v>848 DEAN HOLDINGS LLC</x:v>
      </x:c>
      <x:c r="E928" t="str">
        <x:v>848 DEAN HOLDINGS LLC</x:v>
      </x:c>
      <x:c r="F928" t="str">
        <x:v>Active name match</x:v>
      </x:c>
      <x:c r="G928" t="n">
        <x:v>1</x:v>
      </x:c>
      <x:c r="H928" t="n">
        <x:v>1</x:v>
      </x:c>
      <x:c r="I928" t="str">
        <x:v>6563665</x:v>
      </x:c>
      <x:c r="J928" t="str">
        <x:v>848 DEAN HOLDINGS LLC</x:v>
      </x:c>
      <x:c r="K928" s="55" t="n">
        <x:v>44789</x:v>
      </x:c>
      <x:c r="L928" t="str">
        <x:v>Bronx</x:v>
      </x:c>
      <x:c r="M928" t="str">
        <x:v>New York</x:v>
      </x:c>
      <x:c r="N928" t="str">
        <x:v>DOMESTIC LIMITED LIABILITY COMPANY</x:v>
      </x:c>
      <x:c r="O928" t="str">
        <x:v>COSMO MONTEMURRO</x:v>
      </x:c>
      <x:c r="P928" t="str">
        <x:v>848 DEAN AVENUE, BRONX, NY, 10465</x:v>
      </x:c>
      <x:c r="Q928" t="str"/>
      <x:c r="R928" t="str"/>
      <x:c r="S928" t="str"/>
      <x:c r="T928" t="str"/>
      <x:c r="U928" t="str"/>
      <x:c r="V928" t="str"/>
      <x:c r="W928" t="str"/>
      <x:c r="X928" t="str"/>
      <x:c r="Y928" t="str">
        <x:v>https://data.ny.gov/Economic-Development/Active-Corporations-Beginning-1800/n9v6-gdp6</x:v>
      </x:c>
    </x:row>
    <x:row r="929">
      <x:c r="A929" t="str">
        <x:v>DOS-5-046</x:v>
      </x:c>
      <x:c r="B929" t="n">
        <x:v>5</x:v>
      </x:c>
      <x:c r="C929" t="str">
        <x:v>3348 POLO PLACE, BRONX, NY, 10465, US</x:v>
      </x:c>
      <x:c r="D929" t="str">
        <x:v>B AND A MIDDLETOWN LLC</x:v>
      </x:c>
      <x:c r="E929" t="str">
        <x:v>B &amp; A MIDDLETOWN LLC</x:v>
      </x:c>
      <x:c r="F929" t="str">
        <x:v>Active name match</x:v>
      </x:c>
      <x:c r="G929" t="n">
        <x:v>1</x:v>
      </x:c>
      <x:c r="H929" t="n">
        <x:v>0</x:v>
      </x:c>
      <x:c r="I929" t="str">
        <x:v>4365690</x:v>
      </x:c>
      <x:c r="J929" t="str">
        <x:v>B &amp; A MIDDLETOWN LLC</x:v>
      </x:c>
      <x:c r="K929" s="55" t="n">
        <x:v>41331</x:v>
      </x:c>
      <x:c r="L929" t="str">
        <x:v>Westchester</x:v>
      </x:c>
      <x:c r="M929" t="str">
        <x:v>New York</x:v>
      </x:c>
      <x:c r="N929" t="str">
        <x:v>DOMESTIC LIMITED LIABILITY COMPANY</x:v>
      </x:c>
      <x:c r="O929" t="str">
        <x:v>MARIA BARETTA</x:v>
      </x:c>
      <x:c r="P929" t="str">
        <x:v>144 RITCHIE DRIVE, YONKERS, NY, 10705</x:v>
      </x:c>
      <x:c r="Q929" t="str"/>
      <x:c r="R929" t="str"/>
      <x:c r="S929" t="str"/>
      <x:c r="T929" t="str"/>
      <x:c r="U929" t="str"/>
      <x:c r="V929" t="str"/>
      <x:c r="W929" t="str"/>
      <x:c r="X929" t="str"/>
      <x:c r="Y929" t="str">
        <x:v>https://data.ny.gov/Economic-Development/Active-Corporations-Beginning-1800/n9v6-gdp6</x:v>
      </x:c>
    </x:row>
    <x:row r="930">
      <x:c r="A930" t="str">
        <x:v>DOS-5-046</x:v>
      </x:c>
      <x:c r="B930" t="n">
        <x:v>5</x:v>
      </x:c>
      <x:c r="C930" t="str">
        <x:v>3348 POLO PLACE, BRONX, NY, 10465, US</x:v>
      </x:c>
      <x:c r="D930" t="str">
        <x:v>G MATESE AND MURRO PLAZA LLC</x:v>
      </x:c>
      <x:c r="E930" t="str">
        <x:v>G MATESE &amp; MURRO PLAZA LLC</x:v>
      </x:c>
      <x:c r="F930" t="str">
        <x:v>Address-corroborated active match</x:v>
      </x:c>
      <x:c r="G930" t="n">
        <x:v>1</x:v>
      </x:c>
      <x:c r="H930" t="n">
        <x:v>2</x:v>
      </x:c>
      <x:c r="I930" t="str">
        <x:v>3866399</x:v>
      </x:c>
      <x:c r="J930" t="str">
        <x:v>G MATESE &amp; MURRO PLAZA LLC</x:v>
      </x:c>
      <x:c r="K930" s="55" t="n">
        <x:v>40099</x:v>
      </x:c>
      <x:c r="L930" t="str">
        <x:v>Bronx</x:v>
      </x:c>
      <x:c r="M930" t="str">
        <x:v>New York</x:v>
      </x:c>
      <x:c r="N930" t="str">
        <x:v>DOMESTIC LIMITED LIABILITY COMPANY</x:v>
      </x:c>
      <x:c r="O930" t="str">
        <x:v>COSMO MONTEMURRO</x:v>
      </x:c>
      <x:c r="P930" t="str">
        <x:v>3348 POLO PLACE, BRONX, NY, 10465</x:v>
      </x:c>
      <x:c r="Q930" t="str"/>
      <x:c r="R930" t="str"/>
      <x:c r="S930" t="str"/>
      <x:c r="T930" t="str"/>
      <x:c r="U930" t="str"/>
      <x:c r="V930" t="str"/>
      <x:c r="W930" t="str"/>
      <x:c r="X930" t="str"/>
      <x:c r="Y930" t="str">
        <x:v>https://data.ny.gov/Economic-Development/Active-Corporations-Beginning-1800/n9v6-gdp6</x:v>
      </x:c>
    </x:row>
    <x:row r="931">
      <x:c r="A931" t="str">
        <x:v>DOS-5-046</x:v>
      </x:c>
      <x:c r="B931" t="n">
        <x:v>5</x:v>
      </x:c>
      <x:c r="C931" t="str">
        <x:v>3348 POLO PLACE, BRONX, NY, 10465, US</x:v>
      </x:c>
      <x:c r="D931" t="str">
        <x:v>MONTEMURRO ENTERPRISES LLC</x:v>
      </x:c>
      <x:c r="E931" t="str">
        <x:v>MONTEMURRO ENTERPRISES, LLC</x:v>
      </x:c>
      <x:c r="F931" t="str">
        <x:v>Address-corroborated active match</x:v>
      </x:c>
      <x:c r="G931" t="n">
        <x:v>1</x:v>
      </x:c>
      <x:c r="H931" t="n">
        <x:v>2</x:v>
      </x:c>
      <x:c r="I931" t="str">
        <x:v>2758790</x:v>
      </x:c>
      <x:c r="J931" t="str">
        <x:v>MONTEMURRO ENTERPRISES LLC</x:v>
      </x:c>
      <x:c r="K931" s="55" t="n">
        <x:v>37370</x:v>
      </x:c>
      <x:c r="L931" t="str">
        <x:v>Bronx</x:v>
      </x:c>
      <x:c r="M931" t="str">
        <x:v>New York</x:v>
      </x:c>
      <x:c r="N931" t="str">
        <x:v>DOMESTIC LIMITED LIABILITY COMPANY</x:v>
      </x:c>
      <x:c r="O931" t="str">
        <x:v>COSMO MONTEMURRO</x:v>
      </x:c>
      <x:c r="P931" t="str">
        <x:v>3348 POLO PLACE, BRONX, NY, 10465</x:v>
      </x:c>
      <x:c r="Q931" t="str"/>
      <x:c r="R931" t="str"/>
      <x:c r="S931" t="str"/>
      <x:c r="T931" t="str"/>
      <x:c r="U931" t="str"/>
      <x:c r="V931" t="str"/>
      <x:c r="W931" t="str"/>
      <x:c r="X931" t="str"/>
      <x:c r="Y931" t="str">
        <x:v>https://data.ny.gov/Economic-Development/Active-Corporations-Beginning-1800/n9v6-gdp6</x:v>
      </x:c>
    </x:row>
    <x:row r="932">
      <x:c r="A932" t="str">
        <x:v>DOS-5-047</x:v>
      </x:c>
      <x:c r="B932" t="n">
        <x:v>5</x:v>
      </x:c>
      <x:c r="C932" t="str">
        <x:v>36-17 BUD PLACE, FLUSHING, NY, 11354, US | 36-17 BUD PLACE,, FLUSHING, NY, 11354, US</x:v>
      </x:c>
      <x:c r="D932" t="str">
        <x:v>133 16 35 AVE LLC</x:v>
      </x:c>
      <x:c r="E932" t="str">
        <x:v>133-16 35 AVE LLC</x:v>
      </x:c>
      <x:c r="F932" t="str">
        <x:v>Address-corroborated active match</x:v>
      </x:c>
      <x:c r="G932" t="n">
        <x:v>1</x:v>
      </x:c>
      <x:c r="H932" t="n">
        <x:v>2</x:v>
      </x:c>
      <x:c r="I932" t="str">
        <x:v>6487112</x:v>
      </x:c>
      <x:c r="J932" t="str">
        <x:v>133-16 35 AVE LLC</x:v>
      </x:c>
      <x:c r="K932" s="55" t="n">
        <x:v>44698</x:v>
      </x:c>
      <x:c r="L932" t="str">
        <x:v>Queens</x:v>
      </x:c>
      <x:c r="M932" t="str">
        <x:v>New York</x:v>
      </x:c>
      <x:c r="N932" t="str">
        <x:v>DOMESTIC LIMITED LIABILITY COMPANY</x:v>
      </x:c>
      <x:c r="O932" t="str">
        <x:v>THE LIMITED LIABILITY COMPANY</x:v>
      </x:c>
      <x:c r="P932" t="str">
        <x:v>36-17 BUD PLACE, FLUSHING, NY, 11354</x:v>
      </x:c>
      <x:c r="Q932" t="str"/>
      <x:c r="R932" t="str"/>
      <x:c r="S932" t="str"/>
      <x:c r="T932" t="str"/>
      <x:c r="U932" t="str"/>
      <x:c r="V932" t="str"/>
      <x:c r="W932" t="str"/>
      <x:c r="X932" t="str"/>
      <x:c r="Y932" t="str">
        <x:v>https://data.ny.gov/Economic-Development/Active-Corporations-Beginning-1800/n9v6-gdp6</x:v>
      </x:c>
    </x:row>
    <x:row r="933">
      <x:c r="A933" t="str">
        <x:v>DOS-5-047</x:v>
      </x:c>
      <x:c r="B933" t="n">
        <x:v>5</x:v>
      </x:c>
      <x:c r="C933" t="str">
        <x:v>36-17 BUD PLACE, FLUSHING, NY, 11354, US | 36-17 BUD PLACE,, FLUSHING, NY, 11354, US</x:v>
      </x:c>
      <x:c r="D933" t="str">
        <x:v>134 07 NORTHERN BLVD LLC</x:v>
      </x:c>
      <x:c r="E933" t="str">
        <x:v>134-07 NORTHERN BLVD LLC</x:v>
      </x:c>
      <x:c r="F933" t="str">
        <x:v>Address-corroborated active match</x:v>
      </x:c>
      <x:c r="G933" t="n">
        <x:v>1</x:v>
      </x:c>
      <x:c r="H933" t="n">
        <x:v>2</x:v>
      </x:c>
      <x:c r="I933" t="str">
        <x:v>6474128</x:v>
      </x:c>
      <x:c r="J933" t="str">
        <x:v>134-07 NORTHERN BLVD LLC</x:v>
      </x:c>
      <x:c r="K933" s="55" t="n">
        <x:v>44683</x:v>
      </x:c>
      <x:c r="L933" t="str">
        <x:v>Queens</x:v>
      </x:c>
      <x:c r="M933" t="str">
        <x:v>New York</x:v>
      </x:c>
      <x:c r="N933" t="str">
        <x:v>DOMESTIC LIMITED LIABILITY COMPANY</x:v>
      </x:c>
      <x:c r="O933" t="str">
        <x:v>THE LIMITED LIABILITY COMPANY</x:v>
      </x:c>
      <x:c r="P933" t="str">
        <x:v>36-17 BUD PLACE, FLUSHING, NY, 11354</x:v>
      </x:c>
      <x:c r="Q933" t="str"/>
      <x:c r="R933" t="str"/>
      <x:c r="S933" t="str"/>
      <x:c r="T933" t="str"/>
      <x:c r="U933" t="str"/>
      <x:c r="V933" t="str"/>
      <x:c r="W933" t="str"/>
      <x:c r="X933" t="str"/>
      <x:c r="Y933" t="str">
        <x:v>https://data.ny.gov/Economic-Development/Active-Corporations-Beginning-1800/n9v6-gdp6</x:v>
      </x:c>
    </x:row>
    <x:row r="934">
      <x:c r="A934" t="str">
        <x:v>DOS-5-047</x:v>
      </x:c>
      <x:c r="B934" t="n">
        <x:v>5</x:v>
      </x:c>
      <x:c r="C934" t="str">
        <x:v>36-17 BUD PLACE, FLUSHING, NY, 11354, US | 36-17 BUD PLACE,, FLUSHING, NY, 11354, US</x:v>
      </x:c>
      <x:c r="D934" t="str">
        <x:v>34TH AVE MANAGEMENT LLC</x:v>
      </x:c>
      <x:c r="E934" t="str">
        <x:v>34TH AVE MANAGEMENT LLC</x:v>
      </x:c>
      <x:c r="F934" t="str">
        <x:v>Active name match</x:v>
      </x:c>
      <x:c r="G934" t="n">
        <x:v>1</x:v>
      </x:c>
      <x:c r="H934" t="n">
        <x:v>1</x:v>
      </x:c>
      <x:c r="I934" t="str">
        <x:v>6730923</x:v>
      </x:c>
      <x:c r="J934" t="str">
        <x:v>34TH AVE MANAGEMENT LLC</x:v>
      </x:c>
      <x:c r="K934" s="55" t="n">
        <x:v>44970</x:v>
      </x:c>
      <x:c r="L934" t="str">
        <x:v>Queens</x:v>
      </x:c>
      <x:c r="M934" t="str">
        <x:v>New York</x:v>
      </x:c>
      <x:c r="N934" t="str">
        <x:v>DOMESTIC LIMITED LIABILITY COMPANY</x:v>
      </x:c>
      <x:c r="O934" t="str">
        <x:v>34TH AVE MANAGEMENT LLC</x:v>
      </x:c>
      <x:c r="P934" t="str">
        <x:v>3617 BUD PLACE, FLUSHING, NY, 11354</x:v>
      </x:c>
      <x:c r="Q934" t="str"/>
      <x:c r="R934" t="str"/>
      <x:c r="S934" t="str"/>
      <x:c r="T934" t="str"/>
      <x:c r="U934" t="str"/>
      <x:c r="V934" t="str"/>
      <x:c r="W934" t="str"/>
      <x:c r="X934" t="str"/>
      <x:c r="Y934" t="str">
        <x:v>https://data.ny.gov/Economic-Development/Active-Corporations-Beginning-1800/n9v6-gdp6</x:v>
      </x:c>
    </x:row>
    <x:row r="935">
      <x:c r="A935" t="str">
        <x:v>DOS-5-047</x:v>
      </x:c>
      <x:c r="B935" t="n">
        <x:v>5</x:v>
      </x:c>
      <x:c r="C935" t="str">
        <x:v>36-17 BUD PLACE, FLUSHING, NY, 11354, US | 36-17 BUD PLACE,, FLUSHING, NY, 11354, US</x:v>
      </x:c>
      <x:c r="D935" t="str">
        <x:v>35 07 COLLINS PLACE LLC</x:v>
      </x:c>
      <x:c r="E935" t="str">
        <x:v>35-07 COLLINS PLACE LLC</x:v>
      </x:c>
      <x:c r="F935" t="str">
        <x:v>Address-corroborated active match</x:v>
      </x:c>
      <x:c r="G935" t="n">
        <x:v>1</x:v>
      </x:c>
      <x:c r="H935" t="n">
        <x:v>2</x:v>
      </x:c>
      <x:c r="I935" t="str">
        <x:v>6487083</x:v>
      </x:c>
      <x:c r="J935" t="str">
        <x:v>35-07 COLLINS PLACE LLC</x:v>
      </x:c>
      <x:c r="K935" s="55" t="n">
        <x:v>44698</x:v>
      </x:c>
      <x:c r="L935" t="str">
        <x:v>Queens</x:v>
      </x:c>
      <x:c r="M935" t="str">
        <x:v>New York</x:v>
      </x:c>
      <x:c r="N935" t="str">
        <x:v>DOMESTIC LIMITED LIABILITY COMPANY</x:v>
      </x:c>
      <x:c r="O935" t="str">
        <x:v>THE LIMITED LIABILITY COMPANY</x:v>
      </x:c>
      <x:c r="P935" t="str">
        <x:v>36-17 BUD PLACE, FLUSHING, NY, 11354</x:v>
      </x:c>
      <x:c r="Q935" t="str"/>
      <x:c r="R935" t="str"/>
      <x:c r="S935" t="str"/>
      <x:c r="T935" t="str"/>
      <x:c r="U935" t="str"/>
      <x:c r="V935" t="str"/>
      <x:c r="W935" t="str"/>
      <x:c r="X935" t="str"/>
      <x:c r="Y935" t="str">
        <x:v>https://data.ny.gov/Economic-Development/Active-Corporations-Beginning-1800/n9v6-gdp6</x:v>
      </x:c>
    </x:row>
    <x:row r="936">
      <x:c r="A936" t="str">
        <x:v>DOS-5-047</x:v>
      </x:c>
      <x:c r="B936" t="n">
        <x:v>5</x:v>
      </x:c>
      <x:c r="C936" t="str">
        <x:v>36-17 BUD PLACE, FLUSHING, NY, 11354, US | 36-17 BUD PLACE,, FLUSHING, NY, 11354, US</x:v>
      </x:c>
      <x:c r="D936" t="str">
        <x:v>SABRINE LLC</x:v>
      </x:c>
      <x:c r="E936" t="str">
        <x:v>SABRINE LLC</x:v>
      </x:c>
      <x:c r="F936" t="str">
        <x:v>Active name match</x:v>
      </x:c>
      <x:c r="G936" t="n">
        <x:v>1</x:v>
      </x:c>
      <x:c r="H936" t="n">
        <x:v>0</x:v>
      </x:c>
      <x:c r="I936" t="str">
        <x:v>4304503</x:v>
      </x:c>
      <x:c r="J936" t="str">
        <x:v>SABRINE LLC</x:v>
      </x:c>
      <x:c r="K936" s="55" t="n">
        <x:v>41186</x:v>
      </x:c>
      <x:c r="L936" t="str">
        <x:v>Queens</x:v>
      </x:c>
      <x:c r="M936" t="str">
        <x:v>New York</x:v>
      </x:c>
      <x:c r="N936" t="str">
        <x:v>DOMESTIC LIMITED LIABILITY COMPANY</x:v>
      </x:c>
      <x:c r="O936" t="str">
        <x:v>SABRINE LLC.</x:v>
      </x:c>
      <x:c r="P936" t="str">
        <x:v>301 E. KINGSBRIDGE RD, BRONX, NY, 10458</x:v>
      </x:c>
      <x:c r="Q936" t="str"/>
      <x:c r="R936" t="str"/>
      <x:c r="S936" t="str"/>
      <x:c r="T936" t="str"/>
      <x:c r="U936" t="str"/>
      <x:c r="V936" t="str"/>
      <x:c r="W936" t="str"/>
      <x:c r="X936" t="str"/>
      <x:c r="Y936" t="str">
        <x:v>https://data.ny.gov/Economic-Development/Active-Corporations-Beginning-1800/n9v6-gdp6</x:v>
      </x:c>
    </x:row>
    <x:row r="937">
      <x:c r="A937" t="str">
        <x:v>DOS-5-048</x:v>
      </x:c>
      <x:c r="B937" t="n">
        <x:v>5</x:v>
      </x:c>
      <x:c r="C937" t="str">
        <x:v>36 WEST 37TH STREET, NEW YORK, NY, 10018, US</x:v>
      </x:c>
      <x:c r="D937" t="str">
        <x:v>CONCOURSE HEIGHTS LLC</x:v>
      </x:c>
      <x:c r="E937" t="str">
        <x:v>CONCOURSE HEIGHTS LLC</x:v>
      </x:c>
      <x:c r="F937" t="str">
        <x:v>Active name match</x:v>
      </x:c>
      <x:c r="G937" t="n">
        <x:v>1</x:v>
      </x:c>
      <x:c r="H937" t="n">
        <x:v>0</x:v>
      </x:c>
      <x:c r="I937" t="str">
        <x:v>4996193</x:v>
      </x:c>
      <x:c r="J937" t="str">
        <x:v>CONCOURSE HEIGHTS LLC</x:v>
      </x:c>
      <x:c r="K937" s="55" t="n">
        <x:v>42601</x:v>
      </x:c>
      <x:c r="L937" t="str">
        <x:v>Nassau</x:v>
      </x:c>
      <x:c r="M937" t="str">
        <x:v>New York</x:v>
      </x:c>
      <x:c r="N937" t="str">
        <x:v>DOMESTIC LIMITED LIABILITY COMPANY</x:v>
      </x:c>
      <x:c r="O937" t="str">
        <x:v>CONCOURSE HEIGHTS LLC</x:v>
      </x:c>
      <x:c r="P937" t="str">
        <x:v>19 HILLSIDE AVENUE, ROSLYN, NY, 11577</x:v>
      </x:c>
      <x:c r="Q937" t="str"/>
      <x:c r="R937" t="str"/>
      <x:c r="S937" t="str"/>
      <x:c r="T937" t="str"/>
      <x:c r="U937" t="str"/>
      <x:c r="V937" t="str"/>
      <x:c r="W937" t="str"/>
      <x:c r="X937" t="str"/>
      <x:c r="Y937" t="str">
        <x:v>https://data.ny.gov/Economic-Development/Active-Corporations-Beginning-1800/n9v6-gdp6</x:v>
      </x:c>
    </x:row>
    <x:row r="938">
      <x:c r="A938" t="str">
        <x:v>DOS-5-048</x:v>
      </x:c>
      <x:c r="B938" t="n">
        <x:v>5</x:v>
      </x:c>
      <x:c r="C938" t="str">
        <x:v>36 WEST 37TH STREET, NEW YORK, NY, 10018, US</x:v>
      </x:c>
      <x:c r="D938" t="str">
        <x:v>DOUBLE SALT LLC C O EVAN ROBERTS</x:v>
      </x:c>
      <x:c r="E938" t="str">
        <x:v>DOUBLE SALT LLC C/O EVAN ROBERTS</x:v>
      </x:c>
      <x:c r="F938" t="str">
        <x:v>No active DOS match</x:v>
      </x:c>
      <x:c r="G938" t="n">
        <x:v>0</x:v>
      </x:c>
      <x:c r="H938" t="n">
        <x:v>0</x:v>
      </x:c>
      <x:c r="I938" t="str"/>
      <x:c r="J938" t="str"/>
      <x:c r="K938" s="55" t="str"/>
      <x:c r="L938" t="str"/>
      <x:c r="M938" t="str"/>
      <x:c r="N938" t="str"/>
      <x:c r="O938" t="str"/>
      <x:c r="P938" t="str"/>
      <x:c r="Q938" t="str"/>
      <x:c r="R938" t="str"/>
      <x:c r="S938" t="str"/>
      <x:c r="T938" t="str"/>
      <x:c r="U938" t="str"/>
      <x:c r="V938" t="str"/>
      <x:c r="W938" t="str"/>
      <x:c r="X938" t="str"/>
      <x:c r="Y938" t="str">
        <x:v>https://data.ny.gov/Economic-Development/Active-Corporations-Beginning-1800/n9v6-gdp6</x:v>
      </x:c>
    </x:row>
    <x:row r="939">
      <x:c r="A939" t="str">
        <x:v>DOS-5-048</x:v>
      </x:c>
      <x:c r="B939" t="n">
        <x:v>5</x:v>
      </x:c>
      <x:c r="C939" t="str">
        <x:v>36 WEST 37TH STREET, NEW YORK, NY, 10018, US</x:v>
      </x:c>
      <x:c r="D939" t="str">
        <x:v>FIFTH AVENUE HILLS LLC C O EVAN ROBERTS</x:v>
      </x:c>
      <x:c r="E939" t="str">
        <x:v>FIFTH AVENUE HILLS LLC C/O EVAN ROBERTS</x:v>
      </x:c>
      <x:c r="F939" t="str">
        <x:v>No active DOS match</x:v>
      </x:c>
      <x:c r="G939" t="n">
        <x:v>0</x:v>
      </x:c>
      <x:c r="H939" t="n">
        <x:v>0</x:v>
      </x:c>
      <x:c r="I939" t="str"/>
      <x:c r="J939" t="str"/>
      <x:c r="K939" s="55" t="str"/>
      <x:c r="L939" t="str"/>
      <x:c r="M939" t="str"/>
      <x:c r="N939" t="str"/>
      <x:c r="O939" t="str"/>
      <x:c r="P939" t="str"/>
      <x:c r="Q939" t="str"/>
      <x:c r="R939" t="str"/>
      <x:c r="S939" t="str"/>
      <x:c r="T939" t="str"/>
      <x:c r="U939" t="str"/>
      <x:c r="V939" t="str"/>
      <x:c r="W939" t="str"/>
      <x:c r="X939" t="str"/>
      <x:c r="Y939" t="str">
        <x:v>https://data.ny.gov/Economic-Development/Active-Corporations-Beginning-1800/n9v6-gdp6</x:v>
      </x:c>
    </x:row>
    <x:row r="940">
      <x:c r="A940" t="str">
        <x:v>DOS-5-048</x:v>
      </x:c>
      <x:c r="B940" t="n">
        <x:v>5</x:v>
      </x:c>
      <x:c r="C940" t="str">
        <x:v>36 WEST 37TH STREET, NEW YORK, NY, 10018, US</x:v>
      </x:c>
      <x:c r="D940" t="str">
        <x:v>FIRST 26 LLC C O EVAN ROBERTS</x:v>
      </x:c>
      <x:c r="E940" t="str">
        <x:v>FIRST 26 LLC C/O EVAN ROBERTS</x:v>
      </x:c>
      <x:c r="F940" t="str">
        <x:v>No active DOS match</x:v>
      </x:c>
      <x:c r="G940" t="n">
        <x:v>0</x:v>
      </x:c>
      <x:c r="H940" t="n">
        <x:v>0</x:v>
      </x:c>
      <x:c r="I940" t="str"/>
      <x:c r="J940" t="str"/>
      <x:c r="K940" s="55" t="str"/>
      <x:c r="L940" t="str"/>
      <x:c r="M940" t="str"/>
      <x:c r="N940" t="str"/>
      <x:c r="O940" t="str"/>
      <x:c r="P940" t="str"/>
      <x:c r="Q940" t="str"/>
      <x:c r="R940" t="str"/>
      <x:c r="S940" t="str"/>
      <x:c r="T940" t="str"/>
      <x:c r="U940" t="str"/>
      <x:c r="V940" t="str"/>
      <x:c r="W940" t="str"/>
      <x:c r="X940" t="str"/>
      <x:c r="Y940" t="str">
        <x:v>https://data.ny.gov/Economic-Development/Active-Corporations-Beginning-1800/n9v6-gdp6</x:v>
      </x:c>
    </x:row>
    <x:row r="941">
      <x:c r="A941" t="str">
        <x:v>DOS-5-048</x:v>
      </x:c>
      <x:c r="B941" t="n">
        <x:v>5</x:v>
      </x:c>
      <x:c r="C941" t="str">
        <x:v>36 WEST 37TH STREET, NEW YORK, NY, 10018, US</x:v>
      </x:c>
      <x:c r="D941" t="str">
        <x:v>GREENSTONE 26 LLC</x:v>
      </x:c>
      <x:c r="E941" t="str">
        <x:v>GREENSTONE 26 LLC</x:v>
      </x:c>
      <x:c r="F941" t="str">
        <x:v>Active name match</x:v>
      </x:c>
      <x:c r="G941" t="n">
        <x:v>1</x:v>
      </x:c>
      <x:c r="H941" t="n">
        <x:v>0</x:v>
      </x:c>
      <x:c r="I941" t="str">
        <x:v>4590780</x:v>
      </x:c>
      <x:c r="J941" t="str">
        <x:v>GREENSTONE 26 LLC</x:v>
      </x:c>
      <x:c r="K941" s="55" t="n">
        <x:v>41801</x:v>
      </x:c>
      <x:c r="L941" t="str">
        <x:v>Nassau</x:v>
      </x:c>
      <x:c r="M941" t="str">
        <x:v>New York</x:v>
      </x:c>
      <x:c r="N941" t="str">
        <x:v>DOMESTIC LIMITED LIABILITY COMPANY</x:v>
      </x:c>
      <x:c r="O941" t="str">
        <x:v>GREENSTONE 26 LLC</x:v>
      </x:c>
      <x:c r="P941" t="str">
        <x:v>19 HILLSIDE AVENUE, ROSLYN HEIGHTS, NY, 11577</x:v>
      </x:c>
      <x:c r="Q941" t="str"/>
      <x:c r="R941" t="str"/>
      <x:c r="S941" t="str"/>
      <x:c r="T941" t="str"/>
      <x:c r="U941" t="str"/>
      <x:c r="V941" t="str"/>
      <x:c r="W941" t="str"/>
      <x:c r="X941" t="str"/>
      <x:c r="Y941" t="str">
        <x:v>https://data.ny.gov/Economic-Development/Active-Corporations-Beginning-1800/n9v6-gdp6</x:v>
      </x:c>
    </x:row>
    <x:row r="942">
      <x:c r="A942" t="str">
        <x:v>DOS-5-049</x:v>
      </x:c>
      <x:c r="B942" t="n">
        <x:v>5</x:v>
      </x:c>
      <x:c r="C942" t="str">
        <x:v>48 EAST OLD COUNTRY ROAD, MINEOLA, NY, 11501, US</x:v>
      </x:c>
      <x:c r="D942" t="str">
        <x:v>BELL BLVD COMMONS LLC</x:v>
      </x:c>
      <x:c r="E942" t="str">
        <x:v>BELL BLVD. COMMONS, LLC</x:v>
      </x:c>
      <x:c r="F942" t="str">
        <x:v>Address-corroborated active match</x:v>
      </x:c>
      <x:c r="G942" t="n">
        <x:v>1</x:v>
      </x:c>
      <x:c r="H942" t="n">
        <x:v>2</x:v>
      </x:c>
      <x:c r="I942" t="str">
        <x:v>3655820</x:v>
      </x:c>
      <x:c r="J942" t="str">
        <x:v>BELL BLVD. COMMONS, LLC</x:v>
      </x:c>
      <x:c r="K942" s="55" t="n">
        <x:v>39546</x:v>
      </x:c>
      <x:c r="L942" t="str">
        <x:v>Nassau</x:v>
      </x:c>
      <x:c r="M942" t="str">
        <x:v>New York</x:v>
      </x:c>
      <x:c r="N942" t="str">
        <x:v>DOMESTIC LIMITED LIABILITY COMPANY</x:v>
      </x:c>
      <x:c r="O942" t="str">
        <x:v>BELL BLVD. COMMONS, LLC</x:v>
      </x:c>
      <x:c r="P942" t="str">
        <x:v>48 EAST OLD COUNTRY ROAD, SUITE 203, MINEOLA, NY, 11501</x:v>
      </x:c>
      <x:c r="Q942" t="str"/>
      <x:c r="R942" t="str"/>
      <x:c r="S942" t="str"/>
      <x:c r="T942" t="str"/>
      <x:c r="U942" t="str"/>
      <x:c r="V942" t="str"/>
      <x:c r="W942" t="str"/>
      <x:c r="X942" t="str"/>
      <x:c r="Y942" t="str">
        <x:v>https://data.ny.gov/Economic-Development/Active-Corporations-Beginning-1800/n9v6-gdp6</x:v>
      </x:c>
    </x:row>
    <x:row r="943">
      <x:c r="A943" t="str">
        <x:v>DOS-5-049</x:v>
      </x:c>
      <x:c r="B943" t="n">
        <x:v>5</x:v>
      </x:c>
      <x:c r="C943" t="str">
        <x:v>48 EAST OLD COUNTRY ROAD, MINEOLA, NY, 11501, US</x:v>
      </x:c>
      <x:c r="D943" t="str">
        <x:v>GLENDALE COMMONS LLC</x:v>
      </x:c>
      <x:c r="E943" t="str">
        <x:v>GLENDALE COMMONS LLC</x:v>
      </x:c>
      <x:c r="F943" t="str">
        <x:v>Address-corroborated active match</x:v>
      </x:c>
      <x:c r="G943" t="n">
        <x:v>1</x:v>
      </x:c>
      <x:c r="H943" t="n">
        <x:v>2</x:v>
      </x:c>
      <x:c r="I943" t="str">
        <x:v>3851988</x:v>
      </x:c>
      <x:c r="J943" t="str">
        <x:v>GLENDALE COMMONS LLC</x:v>
      </x:c>
      <x:c r="K943" s="55" t="n">
        <x:v>40058</x:v>
      </x:c>
      <x:c r="L943" t="str">
        <x:v>Nassau</x:v>
      </x:c>
      <x:c r="M943" t="str">
        <x:v>New York</x:v>
      </x:c>
      <x:c r="N943" t="str">
        <x:v>DOMESTIC LIMITED LIABILITY COMPANY</x:v>
      </x:c>
      <x:c r="O943" t="str">
        <x:v>GLENDALE COMMONS LLC</x:v>
      </x:c>
      <x:c r="P943" t="str">
        <x:v>48 EAST OLD COUNTRY ROAD, SUITE 203, MINEOLA, NY, 11501</x:v>
      </x:c>
      <x:c r="Q943" t="str"/>
      <x:c r="R943" t="str"/>
      <x:c r="S943" t="str"/>
      <x:c r="T943" t="str"/>
      <x:c r="U943" t="str"/>
      <x:c r="V943" t="str"/>
      <x:c r="W943" t="str"/>
      <x:c r="X943" t="str"/>
      <x:c r="Y943" t="str">
        <x:v>https://data.ny.gov/Economic-Development/Active-Corporations-Beginning-1800/n9v6-gdp6</x:v>
      </x:c>
    </x:row>
    <x:row r="944">
      <x:c r="A944" t="str">
        <x:v>DOS-5-049</x:v>
      </x:c>
      <x:c r="B944" t="n">
        <x:v>5</x:v>
      </x:c>
      <x:c r="C944" t="str">
        <x:v>48 EAST OLD COUNTRY ROAD, MINEOLA, NY, 11501, US</x:v>
      </x:c>
      <x:c r="D944" t="str">
        <x:v>ROOSEVELT AVENUE COMMONS LLC</x:v>
      </x:c>
      <x:c r="E944" t="str">
        <x:v>ROOSEVELT AVENUE COMMONS LLC</x:v>
      </x:c>
      <x:c r="F944" t="str">
        <x:v>Address-corroborated active match</x:v>
      </x:c>
      <x:c r="G944" t="n">
        <x:v>1</x:v>
      </x:c>
      <x:c r="H944" t="n">
        <x:v>2</x:v>
      </x:c>
      <x:c r="I944" t="str">
        <x:v>4700162</x:v>
      </x:c>
      <x:c r="J944" t="str">
        <x:v>ROOSEVELT AVENUE COMMONS LLC</x:v>
      </x:c>
      <x:c r="K944" s="55" t="n">
        <x:v>42030</x:v>
      </x:c>
      <x:c r="L944" t="str">
        <x:v>Nassau</x:v>
      </x:c>
      <x:c r="M944" t="str">
        <x:v>New York</x:v>
      </x:c>
      <x:c r="N944" t="str">
        <x:v>DOMESTIC LIMITED LIABILITY COMPANY</x:v>
      </x:c>
      <x:c r="O944" t="str">
        <x:v>ROOSEVELT AVENUE COMMONS LLC</x:v>
      </x:c>
      <x:c r="P944" t="str">
        <x:v>48 EAST OLD COUNTRY ROAD, SUITE 203, MINEOLA, NY, 11501</x:v>
      </x:c>
      <x:c r="Q944" t="str"/>
      <x:c r="R944" t="str"/>
      <x:c r="S944" t="str"/>
      <x:c r="T944" t="str"/>
      <x:c r="U944" t="str"/>
      <x:c r="V944" t="str"/>
      <x:c r="W944" t="str"/>
      <x:c r="X944" t="str"/>
      <x:c r="Y944" t="str">
        <x:v>https://data.ny.gov/Economic-Development/Active-Corporations-Beginning-1800/n9v6-gdp6</x:v>
      </x:c>
    </x:row>
    <x:row r="945">
      <x:c r="A945" t="str">
        <x:v>DOS-5-049</x:v>
      </x:c>
      <x:c r="B945" t="n">
        <x:v>5</x:v>
      </x:c>
      <x:c r="C945" t="str">
        <x:v>48 EAST OLD COUNTRY ROAD, MINEOLA, NY, 11501, US</x:v>
      </x:c>
      <x:c r="D945" t="str">
        <x:v>TIFFANY PLAZA COMMONS LLC</x:v>
      </x:c>
      <x:c r="E945" t="str">
        <x:v>TIFFANY PLAZA COMMONS LLC</x:v>
      </x:c>
      <x:c r="F945" t="str">
        <x:v>Address-corroborated active match</x:v>
      </x:c>
      <x:c r="G945" t="n">
        <x:v>1</x:v>
      </x:c>
      <x:c r="H945" t="n">
        <x:v>2</x:v>
      </x:c>
      <x:c r="I945" t="str">
        <x:v>5043804</x:v>
      </x:c>
      <x:c r="J945" t="str">
        <x:v>TIFFANY PLAZA COMMONS LLC</x:v>
      </x:c>
      <x:c r="K945" s="55" t="n">
        <x:v>42702</x:v>
      </x:c>
      <x:c r="L945" t="str">
        <x:v>Nassau</x:v>
      </x:c>
      <x:c r="M945" t="str">
        <x:v>New York</x:v>
      </x:c>
      <x:c r="N945" t="str">
        <x:v>DOMESTIC LIMITED LIABILITY COMPANY</x:v>
      </x:c>
      <x:c r="O945" t="str">
        <x:v>TIFFANY PLAZA COMMONS LLC</x:v>
      </x:c>
      <x:c r="P945" t="str">
        <x:v>48 EAST OLD COUNTRY ROAD,, SUITE 203, MINEOLA, NY, 11501</x:v>
      </x:c>
      <x:c r="Q945" t="str"/>
      <x:c r="R945" t="str"/>
      <x:c r="S945" t="str"/>
      <x:c r="T945" t="str"/>
      <x:c r="U945" t="str"/>
      <x:c r="V945" t="str"/>
      <x:c r="W945" t="str"/>
      <x:c r="X945" t="str"/>
      <x:c r="Y945" t="str">
        <x:v>https://data.ny.gov/Economic-Development/Active-Corporations-Beginning-1800/n9v6-gdp6</x:v>
      </x:c>
    </x:row>
    <x:row r="946">
      <x:c r="A946" t="str">
        <x:v>DOS-5-049</x:v>
      </x:c>
      <x:c r="B946" t="n">
        <x:v>5</x:v>
      </x:c>
      <x:c r="C946" t="str">
        <x:v>48 EAST OLD COUNTRY ROAD, MINEOLA, NY, 11501, US</x:v>
      </x:c>
      <x:c r="D946" t="str">
        <x:v>YELLOWSTONE PROFESSIONAL CONDOS LLC</x:v>
      </x:c>
      <x:c r="E946" t="str">
        <x:v>YELLOWSTONE PROFESSIONAL CONDOS, LLC</x:v>
      </x:c>
      <x:c r="F946" t="str">
        <x:v>Active name match</x:v>
      </x:c>
      <x:c r="G946" t="n">
        <x:v>1</x:v>
      </x:c>
      <x:c r="H946" t="n">
        <x:v>1</x:v>
      </x:c>
      <x:c r="I946" t="str">
        <x:v>3794375</x:v>
      </x:c>
      <x:c r="J946" t="str">
        <x:v>YELLOWSTONE PROFESSIONAL CONDOS, LLC</x:v>
      </x:c>
      <x:c r="K946" s="55" t="n">
        <x:v>39905</x:v>
      </x:c>
      <x:c r="L946" t="str">
        <x:v>Nassau</x:v>
      </x:c>
      <x:c r="M946" t="str">
        <x:v>New York</x:v>
      </x:c>
      <x:c r="N946" t="str">
        <x:v>DOMESTIC LIMITED LIABILITY COMPANY</x:v>
      </x:c>
      <x:c r="O946" t="str">
        <x:v>YELLOWSTONE PROFESSIONAL CONDOS, LLC</x:v>
      </x:c>
      <x:c r="P946" t="str">
        <x:v>48 EAST OLD COUNTRY RD, 203, MINEOLA, NY, 11501</x:v>
      </x:c>
      <x:c r="Q946" t="str"/>
      <x:c r="R946" t="str"/>
      <x:c r="S946" t="str"/>
      <x:c r="T946" t="str"/>
      <x:c r="U946" t="str"/>
      <x:c r="V946" t="str"/>
      <x:c r="W946" t="str"/>
      <x:c r="X946" t="str"/>
      <x:c r="Y946" t="str">
        <x:v>https://data.ny.gov/Economic-Development/Active-Corporations-Beginning-1800/n9v6-gdp6</x:v>
      </x:c>
    </x:row>
    <x:row r="947">
      <x:c r="A947" t="str">
        <x:v>DOS-5-050</x:v>
      </x:c>
      <x:c r="B947" t="n">
        <x:v>5</x:v>
      </x:c>
      <x:c r="C947" t="str">
        <x:v>5328 11TH STREET, LONG ISLAND CITY, NY, 11101, US</x:v>
      </x:c>
      <x:c r="D947" t="str">
        <x:v>13819 JAMAICA LLC</x:v>
      </x:c>
      <x:c r="E947" t="str">
        <x:v>13819 JAMAICA LLC</x:v>
      </x:c>
      <x:c r="F947" t="str">
        <x:v>Active name match</x:v>
      </x:c>
      <x:c r="G947" t="n">
        <x:v>1</x:v>
      </x:c>
      <x:c r="H947" t="n">
        <x:v>1</x:v>
      </x:c>
      <x:c r="I947" t="str">
        <x:v>6713630</x:v>
      </x:c>
      <x:c r="J947" t="str">
        <x:v>13819 JAMAICA LLC</x:v>
      </x:c>
      <x:c r="K947" s="55" t="n">
        <x:v>44957</x:v>
      </x:c>
      <x:c r="L947" t="str">
        <x:v>Queens</x:v>
      </x:c>
      <x:c r="M947" t="str">
        <x:v>New York</x:v>
      </x:c>
      <x:c r="N947" t="str">
        <x:v>DOMESTIC LIMITED LIABILITY COMPANY</x:v>
      </x:c>
      <x:c r="O947" t="str">
        <x:v>13819 JAMAICA LLC</x:v>
      </x:c>
      <x:c r="P947" t="str">
        <x:v>5328 11 STREET, LONG ISLAND CITY, NY, 11101</x:v>
      </x:c>
      <x:c r="Q947" t="str"/>
      <x:c r="R947" t="str"/>
      <x:c r="S947" t="str"/>
      <x:c r="T947" t="str"/>
      <x:c r="U947" t="str"/>
      <x:c r="V947" t="str"/>
      <x:c r="W947" t="str"/>
      <x:c r="X947" t="str"/>
      <x:c r="Y947" t="str">
        <x:v>https://data.ny.gov/Economic-Development/Active-Corporations-Beginning-1800/n9v6-gdp6</x:v>
      </x:c>
    </x:row>
    <x:row r="948">
      <x:c r="A948" t="str">
        <x:v>DOS-5-050</x:v>
      </x:c>
      <x:c r="B948" t="n">
        <x:v>5</x:v>
      </x:c>
      <x:c r="C948" t="str">
        <x:v>5328 11TH STREET, LONG ISLAND CITY, NY, 11101, US</x:v>
      </x:c>
      <x:c r="D948" t="str">
        <x:v>1645 EAST NY LLC</x:v>
      </x:c>
      <x:c r="E948" t="str">
        <x:v>1645 EAST NY LLC</x:v>
      </x:c>
      <x:c r="F948" t="str">
        <x:v>Active name match</x:v>
      </x:c>
      <x:c r="G948" t="n">
        <x:v>1</x:v>
      </x:c>
      <x:c r="H948" t="n">
        <x:v>1</x:v>
      </x:c>
      <x:c r="I948" t="str">
        <x:v>7858796</x:v>
      </x:c>
      <x:c r="J948" t="str">
        <x:v>1645 EAST NY LLC</x:v>
      </x:c>
      <x:c r="K948" s="55" t="n">
        <x:v>46094</x:v>
      </x:c>
      <x:c r="L948" t="str">
        <x:v>Kings</x:v>
      </x:c>
      <x:c r="M948" t="str">
        <x:v>New York</x:v>
      </x:c>
      <x:c r="N948" t="str">
        <x:v>DOMESTIC LIMITED LIABILITY COMPANY</x:v>
      </x:c>
      <x:c r="O948" t="str">
        <x:v>PRABHJIT SINGH</x:v>
      </x:c>
      <x:c r="P948" t="str">
        <x:v>5328 11 STREET, LONG ISLAND CITY, NY, 11101</x:v>
      </x:c>
      <x:c r="Q948" t="str"/>
      <x:c r="R948" t="str"/>
      <x:c r="S948" t="str"/>
      <x:c r="T948" t="str"/>
      <x:c r="U948" t="str"/>
      <x:c r="V948" t="str"/>
      <x:c r="W948" t="str"/>
      <x:c r="X948" t="str"/>
      <x:c r="Y948" t="str">
        <x:v>https://data.ny.gov/Economic-Development/Active-Corporations-Beginning-1800/n9v6-gdp6</x:v>
      </x:c>
    </x:row>
    <x:row r="949">
      <x:c r="A949" t="str">
        <x:v>DOS-5-050</x:v>
      </x:c>
      <x:c r="B949" t="n">
        <x:v>5</x:v>
      </x:c>
      <x:c r="C949" t="str">
        <x:v>5328 11TH STREET, LONG ISLAND CITY, NY, 11101, US</x:v>
      </x:c>
      <x:c r="D949" t="str">
        <x:v>654 STANNES LLC</x:v>
      </x:c>
      <x:c r="E949" t="str">
        <x:v>654 STANNES LLC</x:v>
      </x:c>
      <x:c r="F949" t="str">
        <x:v>Active name match</x:v>
      </x:c>
      <x:c r="G949" t="n">
        <x:v>1</x:v>
      </x:c>
      <x:c r="H949" t="n">
        <x:v>1</x:v>
      </x:c>
      <x:c r="I949" t="str">
        <x:v>7438469</x:v>
      </x:c>
      <x:c r="J949" t="str">
        <x:v>654 STANNES LLC</x:v>
      </x:c>
      <x:c r="K949" s="55" t="n">
        <x:v>45574</x:v>
      </x:c>
      <x:c r="L949" t="str">
        <x:v>Bronx</x:v>
      </x:c>
      <x:c r="M949" t="str">
        <x:v>New York</x:v>
      </x:c>
      <x:c r="N949" t="str">
        <x:v>DOMESTIC LIMITED LIABILITY COMPANY</x:v>
      </x:c>
      <x:c r="O949" t="str">
        <x:v>PRABJIT SINGH</x:v>
      </x:c>
      <x:c r="P949" t="str">
        <x:v>5328 11 street, long island city, NY, 11101</x:v>
      </x:c>
      <x:c r="Q949" t="str"/>
      <x:c r="R949" t="str"/>
      <x:c r="S949" t="str"/>
      <x:c r="T949" t="str"/>
      <x:c r="U949" t="str"/>
      <x:c r="V949" t="str"/>
      <x:c r="W949" t="str"/>
      <x:c r="X949" t="str"/>
      <x:c r="Y949" t="str">
        <x:v>https://data.ny.gov/Economic-Development/Active-Corporations-Beginning-1800/n9v6-gdp6</x:v>
      </x:c>
    </x:row>
    <x:row r="950">
      <x:c r="A950" t="str">
        <x:v>DOS-5-050</x:v>
      </x:c>
      <x:c r="B950" t="n">
        <x:v>5</x:v>
      </x:c>
      <x:c r="C950" t="str">
        <x:v>5328 11TH STREET, LONG ISLAND CITY, NY, 11101, US</x:v>
      </x:c>
      <x:c r="D950" t="str">
        <x:v>7424 ALMEDA LLC</x:v>
      </x:c>
      <x:c r="E950" t="str">
        <x:v>7424 ALMEDA LLC</x:v>
      </x:c>
      <x:c r="F950" t="str">
        <x:v>Active name match</x:v>
      </x:c>
      <x:c r="G950" t="n">
        <x:v>1</x:v>
      </x:c>
      <x:c r="H950" t="n">
        <x:v>1</x:v>
      </x:c>
      <x:c r="I950" t="str">
        <x:v>7561355</x:v>
      </x:c>
      <x:c r="J950" t="str">
        <x:v>7424 ALMEDA LLC</x:v>
      </x:c>
      <x:c r="K950" s="55" t="n">
        <x:v>45733</x:v>
      </x:c>
      <x:c r="L950" t="str">
        <x:v>Kings</x:v>
      </x:c>
      <x:c r="M950" t="str">
        <x:v>New York</x:v>
      </x:c>
      <x:c r="N950" t="str">
        <x:v>DOMESTIC LIMITED LIABILITY COMPANY</x:v>
      </x:c>
      <x:c r="O950" t="str">
        <x:v>7424 ALMEDA LLC</x:v>
      </x:c>
      <x:c r="P950" t="str">
        <x:v>5328 11 street, LIC, long island city, NY, 11101</x:v>
      </x:c>
      <x:c r="Q950" t="str"/>
      <x:c r="R950" t="str"/>
      <x:c r="S950" t="str"/>
      <x:c r="T950" t="str"/>
      <x:c r="U950" t="str"/>
      <x:c r="V950" t="str"/>
      <x:c r="W950" t="str"/>
      <x:c r="X950" t="str"/>
      <x:c r="Y950" t="str">
        <x:v>https://data.ny.gov/Economic-Development/Active-Corporations-Beginning-1800/n9v6-gdp6</x:v>
      </x:c>
    </x:row>
    <x:row r="951">
      <x:c r="A951" t="str">
        <x:v>DOS-5-050</x:v>
      </x:c>
      <x:c r="B951" t="n">
        <x:v>5</x:v>
      </x:c>
      <x:c r="C951" t="str">
        <x:v>5328 11TH STREET, LONG ISLAND CITY, NY, 11101, US</x:v>
      </x:c>
      <x:c r="D951" t="str">
        <x:v>PARK ROCKY LLC</x:v>
      </x:c>
      <x:c r="E951" t="str">
        <x:v>PARK ROCKY LLC</x:v>
      </x:c>
      <x:c r="F951" t="str">
        <x:v>Active name match</x:v>
      </x:c>
      <x:c r="G951" t="n">
        <x:v>1</x:v>
      </x:c>
      <x:c r="H951" t="n">
        <x:v>1</x:v>
      </x:c>
      <x:c r="I951" t="str">
        <x:v>6559154</x:v>
      </x:c>
      <x:c r="J951" t="str">
        <x:v>PARK ROCKY LLC</x:v>
      </x:c>
      <x:c r="K951" s="55" t="n">
        <x:v>44782</x:v>
      </x:c>
      <x:c r="L951" t="str">
        <x:v>Bronx</x:v>
      </x:c>
      <x:c r="M951" t="str">
        <x:v>New York</x:v>
      </x:c>
      <x:c r="N951" t="str">
        <x:v>DOMESTIC LIMITED LIABILITY COMPANY</x:v>
      </x:c>
      <x:c r="O951" t="str">
        <x:v>PARK ROCKY LLC</x:v>
      </x:c>
      <x:c r="P951" t="str">
        <x:v>5328 11 STREET, LONG ISLAND CITY, NY, 11101</x:v>
      </x:c>
      <x:c r="Q951" t="str"/>
      <x:c r="R951" t="str"/>
      <x:c r="S951" t="str"/>
      <x:c r="T951" t="str"/>
      <x:c r="U951" t="str"/>
      <x:c r="V951" t="str"/>
      <x:c r="W951" t="str"/>
      <x:c r="X951" t="str"/>
      <x:c r="Y951" t="str">
        <x:v>https://data.ny.gov/Economic-Development/Active-Corporations-Beginning-1800/n9v6-gdp6</x:v>
      </x:c>
    </x:row>
    <x:row r="952">
      <x:c r="A952" t="str">
        <x:v>DOS-5-051</x:v>
      </x:c>
      <x:c r="B952" t="n">
        <x:v>5</x:v>
      </x:c>
      <x:c r="C952" t="str">
        <x:v>60 COLUMBUS CIRCLE, 20TH FLOOR, NEW YORK, NY, 10023, US</x:v>
      </x:c>
      <x:c r="D952" t="str">
        <x:v>19 INDIA FEE OWNER LLC</x:v>
      </x:c>
      <x:c r="E952" t="str">
        <x:v>19 INDIA FEE OWNER LLC</x:v>
      </x:c>
      <x:c r="F952" t="str">
        <x:v>Active name match</x:v>
      </x:c>
      <x:c r="G952" t="n">
        <x:v>1</x:v>
      </x:c>
      <x:c r="H952" t="n">
        <x:v>0</x:v>
      </x:c>
      <x:c r="I952" t="str">
        <x:v>4832431</x:v>
      </x:c>
      <x:c r="J952" t="str">
        <x:v>19 INDIA FEE OWNER LLC</x:v>
      </x:c>
      <x:c r="K952" s="55" t="n">
        <x:v>42286</x:v>
      </x:c>
      <x:c r="L952" t="str">
        <x:v>New York</x:v>
      </x:c>
      <x:c r="M952" t="str">
        <x:v>Delaware</x:v>
      </x:c>
      <x:c r="N952" t="str">
        <x:v>FOREIGN LIMITED LIABILITY COMPANY</x:v>
      </x:c>
      <x:c r="O952" t="str">
        <x:v>C/O CORPORATION SERVICE COMPANY</x:v>
      </x:c>
      <x:c r="P952" t="str">
        <x:v>80 STATE STREET, ALBANY, NY, 12207</x:v>
      </x:c>
      <x:c r="Q952" t="str"/>
      <x:c r="R952" t="str"/>
      <x:c r="S952" t="str"/>
      <x:c r="T952" t="str"/>
      <x:c r="U952" t="str"/>
      <x:c r="V952" t="str"/>
      <x:c r="W952" t="str"/>
      <x:c r="X952" t="str"/>
      <x:c r="Y952" t="str">
        <x:v>https://data.ny.gov/Economic-Development/Active-Corporations-Beginning-1800/n9v6-gdp6</x:v>
      </x:c>
    </x:row>
    <x:row r="953">
      <x:c r="A953" t="str">
        <x:v>DOS-5-051</x:v>
      </x:c>
      <x:c r="B953" t="n">
        <x:v>5</x:v>
      </x:c>
      <x:c r="C953" t="str">
        <x:v>60 COLUMBUS CIRCLE, 20TH FLOOR, NEW YORK, NY, 10023, US</x:v>
      </x:c>
      <x:c r="D953" t="str">
        <x:v>4 E 94TH ST THU OWNER LLC</x:v>
      </x:c>
      <x:c r="E953" t="str">
        <x:v>4 E. 94TH ST. THU OWNER LLC</x:v>
      </x:c>
      <x:c r="F953" t="str">
        <x:v>Active name match</x:v>
      </x:c>
      <x:c r="G953" t="n">
        <x:v>1</x:v>
      </x:c>
      <x:c r="H953" t="n">
        <x:v>0</x:v>
      </x:c>
      <x:c r="I953" t="str">
        <x:v>4369574</x:v>
      </x:c>
      <x:c r="J953" t="str">
        <x:v>4 E. 94TH ST. THU OWNER LLC</x:v>
      </x:c>
      <x:c r="K953" s="55" t="n">
        <x:v>41339</x:v>
      </x:c>
      <x:c r="L953" t="str">
        <x:v>New York</x:v>
      </x:c>
      <x:c r="M953" t="str">
        <x:v>New York</x:v>
      </x:c>
      <x:c r="N953" t="str">
        <x:v>DOMESTIC LIMITED LIABILITY COMPANY</x:v>
      </x:c>
      <x:c r="O953" t="str">
        <x:v>C/O SPECTOR FOO WEISSMAN</x:v>
      </x:c>
      <x:c r="P953" t="str">
        <x:v>1979 MARCUS AVENUE, E146, LAKE SUCCESS, NY, 11042</x:v>
      </x:c>
      <x:c r="Q953" t="str"/>
      <x:c r="R953" t="str"/>
      <x:c r="S953" t="str">
        <x:v>SPECTOR FOO WEISSMAN</x:v>
      </x:c>
      <x:c r="T953" t="str">
        <x:v>1979 MARCUS AVENUE, E146, LAKE SUCCESS, NEW YORK, 11042</x:v>
      </x:c>
      <x:c r="U953" t="str"/>
      <x:c r="V953" t="str"/>
      <x:c r="W953" t="str"/>
      <x:c r="X953" t="str"/>
      <x:c r="Y953" t="str">
        <x:v>https://data.ny.gov/Economic-Development/Active-Corporations-Beginning-1800/n9v6-gdp6</x:v>
      </x:c>
    </x:row>
    <x:row r="954">
      <x:c r="A954" t="str">
        <x:v>DOS-5-051</x:v>
      </x:c>
      <x:c r="B954" t="n">
        <x:v>5</x:v>
      </x:c>
      <x:c r="C954" t="str">
        <x:v>60 COLUMBUS CIRCLE, 20TH FLOOR, NEW YORK, NY, 10023, US</x:v>
      </x:c>
      <x:c r="D954" t="str">
        <x:v>RSG SHEF 298 WEIRFIELD LLC</x:v>
      </x:c>
      <x:c r="E954" t="str">
        <x:v>RSG-SHEF 298 WEIRFIELD LLC</x:v>
      </x:c>
      <x:c r="F954" t="str">
        <x:v>Active name match</x:v>
      </x:c>
      <x:c r="G954" t="n">
        <x:v>1</x:v>
      </x:c>
      <x:c r="H954" t="n">
        <x:v>1</x:v>
      </x:c>
      <x:c r="I954" t="str">
        <x:v>4491201</x:v>
      </x:c>
      <x:c r="J954" t="str">
        <x:v>RSG-SHEF 298 WEIRFIELD LLC</x:v>
      </x:c>
      <x:c r="K954" s="55" t="n">
        <x:v>41600</x:v>
      </x:c>
      <x:c r="L954" t="str">
        <x:v>Kings</x:v>
      </x:c>
      <x:c r="M954" t="str">
        <x:v>New York</x:v>
      </x:c>
      <x:c r="N954" t="str">
        <x:v>DOMESTIC LIMITED LIABILITY COMPANY</x:v>
      </x:c>
      <x:c r="O954" t="str">
        <x:v>RSG-SHEF 298 WEIRFIELD LLC</x:v>
      </x:c>
      <x:c r="P954" t="str">
        <x:v>60 Columbus Circle, Floor 20, NEW YORK, NY, 10023</x:v>
      </x:c>
      <x:c r="Q954" t="str"/>
      <x:c r="R954" t="str"/>
      <x:c r="S954" t="str"/>
      <x:c r="T954" t="str"/>
      <x:c r="U954" t="str"/>
      <x:c r="V954" t="str"/>
      <x:c r="W954" t="str"/>
      <x:c r="X954" t="str"/>
      <x:c r="Y954" t="str">
        <x:v>https://data.ny.gov/Economic-Development/Active-Corporations-Beginning-1800/n9v6-gdp6</x:v>
      </x:c>
    </x:row>
    <x:row r="955">
      <x:c r="A955" t="str">
        <x:v>DOS-5-051</x:v>
      </x:c>
      <x:c r="B955" t="n">
        <x:v>5</x:v>
      </x:c>
      <x:c r="C955" t="str">
        <x:v>60 COLUMBUS CIRCLE, 20TH FLOOR, NEW YORK, NY, 10023, US</x:v>
      </x:c>
      <x:c r="D955" t="str">
        <x:v>RSG SHEF 477 IRVING LLC</x:v>
      </x:c>
      <x:c r="E955" t="str">
        <x:v>RSG-SHEF 477 IRVING LLC</x:v>
      </x:c>
      <x:c r="F955" t="str">
        <x:v>Active name match</x:v>
      </x:c>
      <x:c r="G955" t="n">
        <x:v>1</x:v>
      </x:c>
      <x:c r="H955" t="n">
        <x:v>1</x:v>
      </x:c>
      <x:c r="I955" t="str">
        <x:v>4426896</x:v>
      </x:c>
      <x:c r="J955" t="str">
        <x:v>RSG-SHEF 477 IRVING LLC</x:v>
      </x:c>
      <x:c r="K955" s="55" t="n">
        <x:v>41460</x:v>
      </x:c>
      <x:c r="L955" t="str">
        <x:v>New York</x:v>
      </x:c>
      <x:c r="M955" t="str">
        <x:v>New York</x:v>
      </x:c>
      <x:c r="N955" t="str">
        <x:v>DOMESTIC LIMITED LIABILITY COMPANY</x:v>
      </x:c>
      <x:c r="O955" t="str">
        <x:v>RSG-SHEF 477 IRVING LLC</x:v>
      </x:c>
      <x:c r="P955" t="str">
        <x:v>60 Columbus Circle, Floor 20, NEW YORK, NY, 10023</x:v>
      </x:c>
      <x:c r="Q955" t="str"/>
      <x:c r="R955" t="str"/>
      <x:c r="S955" t="str"/>
      <x:c r="T955" t="str"/>
      <x:c r="U955" t="str"/>
      <x:c r="V955" t="str"/>
      <x:c r="W955" t="str"/>
      <x:c r="X955" t="str"/>
      <x:c r="Y955" t="str">
        <x:v>https://data.ny.gov/Economic-Development/Active-Corporations-Beginning-1800/n9v6-gdp6</x:v>
      </x:c>
    </x:row>
    <x:row r="956">
      <x:c r="A956" t="str">
        <x:v>DOS-5-051</x:v>
      </x:c>
      <x:c r="B956" t="n">
        <x:v>5</x:v>
      </x:c>
      <x:c r="C956" t="str">
        <x:v>60 COLUMBUS CIRCLE, 20TH FLOOR, NEW YORK, NY, 10023, US</x:v>
      </x:c>
      <x:c r="D956" t="str">
        <x:v>SM 145WEST LLC</x:v>
      </x:c>
      <x:c r="E956" t="str">
        <x:v>SM 145WEST LLC</x:v>
      </x:c>
      <x:c r="F956" t="str">
        <x:v>Active name match</x:v>
      </x:c>
      <x:c r="G956" t="n">
        <x:v>1</x:v>
      </x:c>
      <x:c r="H956" t="n">
        <x:v>0</x:v>
      </x:c>
      <x:c r="I956" t="str">
        <x:v>5587710</x:v>
      </x:c>
      <x:c r="J956" t="str">
        <x:v>SM 145WEST LLC</x:v>
      </x:c>
      <x:c r="K956" s="55" t="n">
        <x:v>43662</x:v>
      </x:c>
      <x:c r="L956" t="str">
        <x:v>New York</x:v>
      </x:c>
      <x:c r="M956" t="str">
        <x:v>Delaware</x:v>
      </x:c>
      <x:c r="N956" t="str">
        <x:v>FOREIGN LIMITED LIABILITY COMPANY</x:v>
      </x:c>
      <x:c r="O956" t="str">
        <x:v>SM 145WEST LLC</x:v>
      </x:c>
      <x:c r="P956" t="str">
        <x:v>411 WEST PUTNAM AVENUE, SUITE 450, GREENWICH, CT, 06830</x:v>
      </x:c>
      <x:c r="Q956" t="str"/>
      <x:c r="R956" t="str"/>
      <x:c r="S956" t="str"/>
      <x:c r="T956" t="str"/>
      <x:c r="U956" t="str"/>
      <x:c r="V956" t="str"/>
      <x:c r="W956" t="str"/>
      <x:c r="X956" t="str"/>
      <x:c r="Y956" t="str">
        <x:v>https://data.ny.gov/Economic-Development/Active-Corporations-Beginning-1800/n9v6-gdp6</x:v>
      </x:c>
    </x:row>
    <x:row r="957">
      <x:c r="A957" t="str">
        <x:v>DOS-5-052</x:v>
      </x:c>
      <x:c r="B957" t="n">
        <x:v>5</x:v>
      </x:c>
      <x:c r="C957" t="str">
        <x:v>74 WEST 47TH STREET, NEW YORK, NY, 10036, US</x:v>
      </x:c>
      <x:c r="D957" t="str">
        <x:v>1302 AVENUE K LLC</x:v>
      </x:c>
      <x:c r="E957" t="str">
        <x:v>1302 AVENUE K, LLC</x:v>
      </x:c>
      <x:c r="F957" t="str">
        <x:v>Address-corroborated active match</x:v>
      </x:c>
      <x:c r="G957" t="n">
        <x:v>1</x:v>
      </x:c>
      <x:c r="H957" t="n">
        <x:v>2</x:v>
      </x:c>
      <x:c r="I957" t="str">
        <x:v>6360007</x:v>
      </x:c>
      <x:c r="J957" t="str">
        <x:v>1302 AVENUE K, LLC</x:v>
      </x:c>
      <x:c r="K957" s="55" t="n">
        <x:v>44560</x:v>
      </x:c>
      <x:c r="L957" t="str">
        <x:v>Kings</x:v>
      </x:c>
      <x:c r="M957" t="str">
        <x:v>New York</x:v>
      </x:c>
      <x:c r="N957" t="str">
        <x:v>DOMESTIC LIMITED LIABILITY COMPANY</x:v>
      </x:c>
      <x:c r="O957" t="str">
        <x:v>1302 AVENUE K, LLC</x:v>
      </x:c>
      <x:c r="P957" t="str">
        <x:v>74 WEST 47th STREET, NEW YORK, NY, 100368606</x:v>
      </x:c>
      <x:c r="Q957" t="str"/>
      <x:c r="R957" t="str"/>
      <x:c r="S957" t="str"/>
      <x:c r="T957" t="str"/>
      <x:c r="U957" t="str"/>
      <x:c r="V957" t="str"/>
      <x:c r="W957" t="str"/>
      <x:c r="X957" t="str"/>
      <x:c r="Y957" t="str">
        <x:v>https://data.ny.gov/Economic-Development/Active-Corporations-Beginning-1800/n9v6-gdp6</x:v>
      </x:c>
    </x:row>
    <x:row r="958">
      <x:c r="A958" t="str">
        <x:v>DOS-5-052</x:v>
      </x:c>
      <x:c r="B958" t="n">
        <x:v>5</x:v>
      </x:c>
      <x:c r="C958" t="str">
        <x:v>74 WEST 47TH STREET, NEW YORK, NY, 10036, US</x:v>
      </x:c>
      <x:c r="D958" t="str">
        <x:v>217 HILLSIDE APARTMENTS LLC</x:v>
      </x:c>
      <x:c r="E958" t="str">
        <x:v>217 HILLSIDE APARTMENTS LLC</x:v>
      </x:c>
      <x:c r="F958" t="str">
        <x:v>Address-corroborated active match</x:v>
      </x:c>
      <x:c r="G958" t="n">
        <x:v>1</x:v>
      </x:c>
      <x:c r="H958" t="n">
        <x:v>2</x:v>
      </x:c>
      <x:c r="I958" t="str">
        <x:v>4784449</x:v>
      </x:c>
      <x:c r="J958" t="str">
        <x:v>217 HILLSIDE APARTMENTS, LLC</x:v>
      </x:c>
      <x:c r="K958" s="55" t="n">
        <x:v>42188</x:v>
      </x:c>
      <x:c r="L958" t="str">
        <x:v>Queens</x:v>
      </x:c>
      <x:c r="M958" t="str">
        <x:v>New York</x:v>
      </x:c>
      <x:c r="N958" t="str">
        <x:v>DOMESTIC LIMITED LIABILITY COMPANY</x:v>
      </x:c>
      <x:c r="O958" t="str">
        <x:v>C/O LEON NEKTALOV</x:v>
      </x:c>
      <x:c r="P958" t="str">
        <x:v>74 WEST 47TH STREET, NEW YORK, NY, 10036</x:v>
      </x:c>
      <x:c r="Q958" t="str"/>
      <x:c r="R958" t="str"/>
      <x:c r="S958" t="str"/>
      <x:c r="T958" t="str"/>
      <x:c r="U958" t="str"/>
      <x:c r="V958" t="str"/>
      <x:c r="W958" t="str"/>
      <x:c r="X958" t="str"/>
      <x:c r="Y958" t="str">
        <x:v>https://data.ny.gov/Economic-Development/Active-Corporations-Beginning-1800/n9v6-gdp6</x:v>
      </x:c>
    </x:row>
    <x:row r="959">
      <x:c r="A959" t="str">
        <x:v>DOS-5-052</x:v>
      </x:c>
      <x:c r="B959" t="n">
        <x:v>5</x:v>
      </x:c>
      <x:c r="C959" t="str">
        <x:v>74 WEST 47TH STREET, NEW YORK, NY, 10036, US</x:v>
      </x:c>
      <x:c r="D959" t="str">
        <x:v>3717 ATLANTIC REALTY LLC</x:v>
      </x:c>
      <x:c r="E959" t="str">
        <x:v>3717 ATLANTIC REALTY LLC</x:v>
      </x:c>
      <x:c r="F959" t="str">
        <x:v>Active name match</x:v>
      </x:c>
      <x:c r="G959" t="n">
        <x:v>1</x:v>
      </x:c>
      <x:c r="H959" t="n">
        <x:v>1</x:v>
      </x:c>
      <x:c r="I959" t="str">
        <x:v>3483951</x:v>
      </x:c>
      <x:c r="J959" t="str">
        <x:v>3717 ATLANTIC REALTY LLC</x:v>
      </x:c>
      <x:c r="K959" s="55" t="n">
        <x:v>39143</x:v>
      </x:c>
      <x:c r="L959" t="str">
        <x:v>Kings</x:v>
      </x:c>
      <x:c r="M959" t="str">
        <x:v>New York</x:v>
      </x:c>
      <x:c r="N959" t="str">
        <x:v>DOMESTIC LIMITED LIABILITY COMPANY</x:v>
      </x:c>
      <x:c r="O959" t="str">
        <x:v>LEON NEKTALOV</x:v>
      </x:c>
      <x:c r="P959" t="str">
        <x:v>74 W 47TH ST, NEW YORK, NY, 10036</x:v>
      </x:c>
      <x:c r="Q959" t="str"/>
      <x:c r="R959" t="str"/>
      <x:c r="S959" t="str"/>
      <x:c r="T959" t="str"/>
      <x:c r="U959" t="str"/>
      <x:c r="V959" t="str"/>
      <x:c r="W959" t="str"/>
      <x:c r="X959" t="str"/>
      <x:c r="Y959" t="str">
        <x:v>https://data.ny.gov/Economic-Development/Active-Corporations-Beginning-1800/n9v6-gdp6</x:v>
      </x:c>
    </x:row>
    <x:row r="960">
      <x:c r="A960" t="str">
        <x:v>DOS-5-052</x:v>
      </x:c>
      <x:c r="B960" t="n">
        <x:v>5</x:v>
      </x:c>
      <x:c r="C960" t="str">
        <x:v>74 WEST 47TH STREET, NEW YORK, NY, 10036, US</x:v>
      </x:c>
      <x:c r="D960" t="str">
        <x:v>ALANELI LLC</x:v>
      </x:c>
      <x:c r="E960" t="str">
        <x:v>ALANELI LLC</x:v>
      </x:c>
      <x:c r="F960" t="str">
        <x:v>Active name match</x:v>
      </x:c>
      <x:c r="G960" t="n">
        <x:v>1</x:v>
      </x:c>
      <x:c r="H960" t="n">
        <x:v>0</x:v>
      </x:c>
      <x:c r="I960" t="str">
        <x:v>6333258</x:v>
      </x:c>
      <x:c r="J960" t="str">
        <x:v>ALANELI LLC</x:v>
      </x:c>
      <x:c r="K960" s="55" t="n">
        <x:v>44522</x:v>
      </x:c>
      <x:c r="L960" t="str">
        <x:v>Queens</x:v>
      </x:c>
      <x:c r="M960" t="str">
        <x:v>New York</x:v>
      </x:c>
      <x:c r="N960" t="str">
        <x:v>DOMESTIC LIMITED LIABILITY COMPANY</x:v>
      </x:c>
      <x:c r="O960" t="str">
        <x:v>ALANELI LLC</x:v>
      </x:c>
      <x:c r="P960" t="str">
        <x:v>7528 178th Street, FRESH MEADOWS, NY, 11366</x:v>
      </x:c>
      <x:c r="Q960" t="str"/>
      <x:c r="R960" t="str"/>
      <x:c r="S960" t="str"/>
      <x:c r="T960" t="str"/>
      <x:c r="U960" t="str"/>
      <x:c r="V960" t="str"/>
      <x:c r="W960" t="str"/>
      <x:c r="X960" t="str"/>
      <x:c r="Y960" t="str">
        <x:v>https://data.ny.gov/Economic-Development/Active-Corporations-Beginning-1800/n9v6-gdp6</x:v>
      </x:c>
    </x:row>
    <x:row r="961">
      <x:c r="A961" t="str">
        <x:v>DOS-5-052</x:v>
      </x:c>
      <x:c r="B961" t="n">
        <x:v>5</x:v>
      </x:c>
      <x:c r="C961" t="str">
        <x:v>74 WEST 47TH STREET, NEW YORK, NY, 10036, US</x:v>
      </x:c>
      <x:c r="D961" t="str">
        <x:v>QUEENS APARTMENT MANAGEMENT LLC</x:v>
      </x:c>
      <x:c r="E961" t="str">
        <x:v>QUEENS APARTMENT MANAGEMENT, LLC</x:v>
      </x:c>
      <x:c r="F961" t="str">
        <x:v>Active name match</x:v>
      </x:c>
      <x:c r="G961" t="n">
        <x:v>1</x:v>
      </x:c>
      <x:c r="H961" t="n">
        <x:v>0</x:v>
      </x:c>
      <x:c r="I961" t="str">
        <x:v>3640947</x:v>
      </x:c>
      <x:c r="J961" t="str">
        <x:v>QUEENS APARTMENT MANAGEMENT, LLC</x:v>
      </x:c>
      <x:c r="K961" s="55" t="n">
        <x:v>39513</x:v>
      </x:c>
      <x:c r="L961" t="str">
        <x:v>Queens</x:v>
      </x:c>
      <x:c r="M961" t="str">
        <x:v>New York</x:v>
      </x:c>
      <x:c r="N961" t="str">
        <x:v>DOMESTIC LIMITED LIABILITY COMPANY</x:v>
      </x:c>
      <x:c r="O961" t="str">
        <x:v>TSYNGAUZ &amp; ASSOCIATES PC</x:v>
      </x:c>
      <x:c r="P961" t="str">
        <x:v>114 MULBERRY STREET, 1ST FL., NEW YORK, NY, 10013</x:v>
      </x:c>
      <x:c r="Q961" t="str"/>
      <x:c r="R961" t="str"/>
      <x:c r="S961" t="str"/>
      <x:c r="T961" t="str"/>
      <x:c r="U961" t="str"/>
      <x:c r="V961" t="str"/>
      <x:c r="W961" t="str"/>
      <x:c r="X961" t="str"/>
      <x:c r="Y961" t="str">
        <x:v>https://data.ny.gov/Economic-Development/Active-Corporations-Beginning-1800/n9v6-gdp6</x:v>
      </x:c>
    </x:row>
    <x:row r="962">
      <x:c r="A962" t="str">
        <x:v>DOS-5-053</x:v>
      </x:c>
      <x:c r="B962" t="n">
        <x:v>5</x:v>
      </x:c>
      <x:c r="C962" t="str">
        <x:v>766  AMSTERDAM AVENUE, NY, NY, 10025, US</x:v>
      </x:c>
      <x:c r="D962" t="str">
        <x:v>BRUSCO EQUITIES LLC</x:v>
      </x:c>
      <x:c r="E962" t="str">
        <x:v>BRUSCO EQUITIES LLC</x:v>
      </x:c>
      <x:c r="F962" t="str">
        <x:v>Address-corroborated active match</x:v>
      </x:c>
      <x:c r="G962" t="n">
        <x:v>1</x:v>
      </x:c>
      <x:c r="H962" t="n">
        <x:v>2</x:v>
      </x:c>
      <x:c r="I962" t="str">
        <x:v>2204666</x:v>
      </x:c>
      <x:c r="J962" t="str">
        <x:v>BRUSCO EQUITIES LLC</x:v>
      </x:c>
      <x:c r="K962" s="55" t="n">
        <x:v>35767</x:v>
      </x:c>
      <x:c r="L962" t="str">
        <x:v>New York</x:v>
      </x:c>
      <x:c r="M962" t="str">
        <x:v>New York</x:v>
      </x:c>
      <x:c r="N962" t="str">
        <x:v>DOMESTIC LIMITED LIABILITY COMPANY</x:v>
      </x:c>
      <x:c r="O962" t="str">
        <x:v>BRUSCO EQUITIES LLC</x:v>
      </x:c>
      <x:c r="P962" t="str">
        <x:v>766 AMSTERDAM AVE, NEW YORK, NY, 10025</x:v>
      </x:c>
      <x:c r="Q962" t="str"/>
      <x:c r="R962" t="str"/>
      <x:c r="S962" t="str"/>
      <x:c r="T962" t="str"/>
      <x:c r="U962" t="str"/>
      <x:c r="V962" t="str"/>
      <x:c r="W962" t="str"/>
      <x:c r="X962" t="str"/>
      <x:c r="Y962" t="str">
        <x:v>https://data.ny.gov/Economic-Development/Active-Corporations-Beginning-1800/n9v6-gdp6</x:v>
      </x:c>
    </x:row>
    <x:row r="963">
      <x:c r="A963" t="str">
        <x:v>DOS-5-053</x:v>
      </x:c>
      <x:c r="B963" t="n">
        <x:v>5</x:v>
      </x:c>
      <x:c r="C963" t="str">
        <x:v>766  AMSTERDAM AVENUE, NY, NY, 10025, US</x:v>
      </x:c>
      <x:c r="D963" t="str">
        <x:v>JFB REALTY LLC</x:v>
      </x:c>
      <x:c r="E963" t="str">
        <x:v>JFB REALTY LLC</x:v>
      </x:c>
      <x:c r="F963" t="str">
        <x:v>Active name match</x:v>
      </x:c>
      <x:c r="G963" t="n">
        <x:v>1</x:v>
      </x:c>
      <x:c r="H963" t="n">
        <x:v>0</x:v>
      </x:c>
      <x:c r="I963" t="str">
        <x:v>2204725</x:v>
      </x:c>
      <x:c r="J963" t="str">
        <x:v>JFB REALTY LLC</x:v>
      </x:c>
      <x:c r="K963" s="55" t="n">
        <x:v>35767</x:v>
      </x:c>
      <x:c r="L963" t="str">
        <x:v>New York</x:v>
      </x:c>
      <x:c r="M963" t="str">
        <x:v>New York</x:v>
      </x:c>
      <x:c r="N963" t="str">
        <x:v>DOMESTIC LIMITED LIABILITY COMPANY</x:v>
      </x:c>
      <x:c r="O963" t="str">
        <x:v>JFB REALTY LLC</x:v>
      </x:c>
      <x:c r="P963" t="str">
        <x:v>101 W 69TH STREET, SUITE 1C, NEW YORK, NY, 10023</x:v>
      </x:c>
      <x:c r="Q963" t="str"/>
      <x:c r="R963" t="str"/>
      <x:c r="S963" t="str"/>
      <x:c r="T963" t="str"/>
      <x:c r="U963" t="str"/>
      <x:c r="V963" t="str"/>
      <x:c r="W963" t="str"/>
      <x:c r="X963" t="str"/>
      <x:c r="Y963" t="str">
        <x:v>https://data.ny.gov/Economic-Development/Active-Corporations-Beginning-1800/n9v6-gdp6</x:v>
      </x:c>
    </x:row>
    <x:row r="964">
      <x:c r="A964" t="str">
        <x:v>DOS-5-053</x:v>
      </x:c>
      <x:c r="B964" t="n">
        <x:v>5</x:v>
      </x:c>
      <x:c r="C964" t="str">
        <x:v>766  AMSTERDAM AVENUE, NY, NY, 10025, US</x:v>
      </x:c>
      <x:c r="D964" t="str">
        <x:v>NUNZ EQUITIES EAST LLC</x:v>
      </x:c>
      <x:c r="E964" t="str">
        <x:v>NUNZ EQUITIES EAST LLC</x:v>
      </x:c>
      <x:c r="F964" t="str">
        <x:v>Address-corroborated active match</x:v>
      </x:c>
      <x:c r="G964" t="n">
        <x:v>1</x:v>
      </x:c>
      <x:c r="H964" t="n">
        <x:v>2</x:v>
      </x:c>
      <x:c r="I964" t="str">
        <x:v>2214029</x:v>
      </x:c>
      <x:c r="J964" t="str">
        <x:v>NUNZ EQUITIES EAST LLC</x:v>
      </x:c>
      <x:c r="K964" s="55" t="n">
        <x:v>35800</x:v>
      </x:c>
      <x:c r="L964" t="str">
        <x:v>New York</x:v>
      </x:c>
      <x:c r="M964" t="str">
        <x:v>New York</x:v>
      </x:c>
      <x:c r="N964" t="str">
        <x:v>DOMESTIC LIMITED LIABILITY COMPANY</x:v>
      </x:c>
      <x:c r="O964" t="str">
        <x:v>C/O BRUSCO REALTY, TT:JOSEPH ANNUNZIATA</x:v>
      </x:c>
      <x:c r="P964" t="str">
        <x:v>766 AMSTERDAM AVE, NEW YORK, NY, 10025</x:v>
      </x:c>
      <x:c r="Q964" t="str"/>
      <x:c r="R964" t="str"/>
      <x:c r="S964" t="str"/>
      <x:c r="T964" t="str"/>
      <x:c r="U964" t="str"/>
      <x:c r="V964" t="str"/>
      <x:c r="W964" t="str"/>
      <x:c r="X964" t="str"/>
      <x:c r="Y964" t="str">
        <x:v>https://data.ny.gov/Economic-Development/Active-Corporations-Beginning-1800/n9v6-gdp6</x:v>
      </x:c>
    </x:row>
    <x:row r="965">
      <x:c r="A965" t="str">
        <x:v>DOS-5-053</x:v>
      </x:c>
      <x:c r="B965" t="n">
        <x:v>5</x:v>
      </x:c>
      <x:c r="C965" t="str">
        <x:v>766  AMSTERDAM AVENUE, NY, NY, 10025, US</x:v>
      </x:c>
      <x:c r="D965" t="str">
        <x:v>PARKWAY EAST PROPERTIES LLC</x:v>
      </x:c>
      <x:c r="E965" t="str">
        <x:v>PARKWAY EAST PROPERTIES, L.L.C.</x:v>
      </x:c>
      <x:c r="F965" t="str">
        <x:v>No active DOS match</x:v>
      </x:c>
      <x:c r="G965" t="n">
        <x:v>0</x:v>
      </x:c>
      <x:c r="H965" t="n">
        <x:v>0</x:v>
      </x:c>
      <x:c r="I965" t="str"/>
      <x:c r="J965" t="str"/>
      <x:c r="K965" s="55" t="str"/>
      <x:c r="L965" t="str"/>
      <x:c r="M965" t="str"/>
      <x:c r="N965" t="str"/>
      <x:c r="O965" t="str"/>
      <x:c r="P965" t="str"/>
      <x:c r="Q965" t="str"/>
      <x:c r="R965" t="str"/>
      <x:c r="S965" t="str"/>
      <x:c r="T965" t="str"/>
      <x:c r="U965" t="str"/>
      <x:c r="V965" t="str"/>
      <x:c r="W965" t="str"/>
      <x:c r="X965" t="str"/>
      <x:c r="Y965" t="str">
        <x:v>https://data.ny.gov/Economic-Development/Active-Corporations-Beginning-1800/n9v6-gdp6</x:v>
      </x:c>
    </x:row>
    <x:row r="966">
      <x:c r="A966" t="str">
        <x:v>DOS-5-053</x:v>
      </x:c>
      <x:c r="B966" t="n">
        <x:v>5</x:v>
      </x:c>
      <x:c r="C966" t="str">
        <x:v>766  AMSTERDAM AVENUE, NY, NY, 10025, US</x:v>
      </x:c>
      <x:c r="D966" t="str">
        <x:v>RIA PROPERTIES LLC</x:v>
      </x:c>
      <x:c r="E966" t="str">
        <x:v>RIA PROPERTIES L.L.C.</x:v>
      </x:c>
      <x:c r="F966" t="str">
        <x:v>Active name match</x:v>
      </x:c>
      <x:c r="G966" t="n">
        <x:v>1</x:v>
      </x:c>
      <x:c r="H966" t="n">
        <x:v>0</x:v>
      </x:c>
      <x:c r="I966" t="str">
        <x:v>2210588</x:v>
      </x:c>
      <x:c r="J966" t="str">
        <x:v>RIA PROPERTIES, L.L.C.</x:v>
      </x:c>
      <x:c r="K966" s="55" t="n">
        <x:v>35786</x:v>
      </x:c>
      <x:c r="L966" t="str">
        <x:v>Westchester</x:v>
      </x:c>
      <x:c r="M966" t="str">
        <x:v>New York</x:v>
      </x:c>
      <x:c r="N966" t="str">
        <x:v>DOMESTIC LIMITED LIABILITY COMPANY</x:v>
      </x:c>
      <x:c r="O966" t="str">
        <x:v>LOUIS BRISCO</x:v>
      </x:c>
      <x:c r="P966" t="str">
        <x:v>FENWICK KEATO MGT, 419 PARK AVE   7TH FL, NEW YORK, NY, 10016</x:v>
      </x:c>
      <x:c r="Q966" t="str"/>
      <x:c r="R966" t="str"/>
      <x:c r="S966" t="str"/>
      <x:c r="T966" t="str"/>
      <x:c r="U966" t="str"/>
      <x:c r="V966" t="str"/>
      <x:c r="W966" t="str"/>
      <x:c r="X966" t="str"/>
      <x:c r="Y966" t="str">
        <x:v>https://data.ny.gov/Economic-Development/Active-Corporations-Beginning-1800/n9v6-gdp6</x:v>
      </x:c>
    </x:row>
    <x:row r="967">
      <x:c r="A967" t="str">
        <x:v>DOS-5-054</x:v>
      </x:c>
      <x:c r="B967" t="n">
        <x:v>5</x:v>
      </x:c>
      <x:c r="C967" t="str">
        <x:v>805  THIRD AVENUE, NEW YORK, NY, 10022, US | 805 THIRD AVENUE, NEW YORK, NY, 10022, US</x:v>
      </x:c>
      <x:c r="D967" t="str">
        <x:v>1937 FIRST 109 LLC</x:v>
      </x:c>
      <x:c r="E967" t="str">
        <x:v>1937 FIRST 109 LLC</x:v>
      </x:c>
      <x:c r="F967" t="str">
        <x:v>Active name match</x:v>
      </x:c>
      <x:c r="G967" t="n">
        <x:v>1</x:v>
      </x:c>
      <x:c r="H967" t="n">
        <x:v>0</x:v>
      </x:c>
      <x:c r="I967" t="str">
        <x:v>5195457</x:v>
      </x:c>
      <x:c r="J967" t="str">
        <x:v>1937 FIRST 109 LLC</x:v>
      </x:c>
      <x:c r="K967" s="55" t="n">
        <x:v>42978</x:v>
      </x:c>
      <x:c r="L967" t="str">
        <x:v>New York</x:v>
      </x:c>
      <x:c r="M967" t="str">
        <x:v>Delaware</x:v>
      </x:c>
      <x:c r="N967" t="str">
        <x:v>FOREIGN LIMITED LIABILITY COMPANY</x:v>
      </x:c>
      <x:c r="O967" t="str">
        <x:v>C T CORPORATION SYSTEM</x:v>
      </x:c>
      <x:c r="P967" t="str">
        <x:v>28 LIBERTY ST., NEW YORK, NY, 10005</x:v>
      </x:c>
      <x:c r="Q967" t="str"/>
      <x:c r="R967" t="str"/>
      <x:c r="S967" t="str">
        <x:v>C T CORPORATION SYSTEM</x:v>
      </x:c>
      <x:c r="T967" t="str">
        <x:v>28 LIBERTY ST., NEW YORK, NEW YORK, 10005</x:v>
      </x:c>
      <x:c r="U967" t="str"/>
      <x:c r="V967" t="str"/>
      <x:c r="W967" t="str"/>
      <x:c r="X967" t="str"/>
      <x:c r="Y967" t="str">
        <x:v>https://data.ny.gov/Economic-Development/Active-Corporations-Beginning-1800/n9v6-gdp6</x:v>
      </x:c>
    </x:row>
    <x:row r="968">
      <x:c r="A968" t="str">
        <x:v>DOS-5-054</x:v>
      </x:c>
      <x:c r="B968" t="n">
        <x:v>5</x:v>
      </x:c>
      <x:c r="C968" t="str">
        <x:v>805  THIRD AVENUE, NEW YORK, NY, 10022, US | 805 THIRD AVENUE, NEW YORK, NY, 10022, US</x:v>
      </x:c>
      <x:c r="D968" t="str">
        <x:v>224 EAST 74TH LLC</x:v>
      </x:c>
      <x:c r="E968" t="str">
        <x:v>224 EAST 74TH LLC</x:v>
      </x:c>
      <x:c r="F968" t="str">
        <x:v>Address-corroborated active match</x:v>
      </x:c>
      <x:c r="G968" t="n">
        <x:v>1</x:v>
      </x:c>
      <x:c r="H968" t="n">
        <x:v>2</x:v>
      </x:c>
      <x:c r="I968" t="str">
        <x:v>2270861</x:v>
      </x:c>
      <x:c r="J968" t="str">
        <x:v>224 EAST 74TH LLC</x:v>
      </x:c>
      <x:c r="K968" s="55" t="n">
        <x:v>35964</x:v>
      </x:c>
      <x:c r="L968" t="str">
        <x:v>New York</x:v>
      </x:c>
      <x:c r="M968" t="str">
        <x:v>Delaware</x:v>
      </x:c>
      <x:c r="N968" t="str">
        <x:v>FOREIGN LIMITED LIABILITY COMPANY</x:v>
      </x:c>
      <x:c r="O968" t="str">
        <x:v>C/O DELTA REALTY</x:v>
      </x:c>
      <x:c r="P968" t="str">
        <x:v>805 THIRD AVE, SSUITE 1100, NEW YORK, NY, 10022</x:v>
      </x:c>
      <x:c r="Q968" t="str"/>
      <x:c r="R968" t="str"/>
      <x:c r="S968" t="str"/>
      <x:c r="T968" t="str"/>
      <x:c r="U968" t="str"/>
      <x:c r="V968" t="str"/>
      <x:c r="W968" t="str"/>
      <x:c r="X968" t="str"/>
      <x:c r="Y968" t="str">
        <x:v>https://data.ny.gov/Economic-Development/Active-Corporations-Beginning-1800/n9v6-gdp6</x:v>
      </x:c>
    </x:row>
    <x:row r="969">
      <x:c r="A969" t="str">
        <x:v>DOS-5-054</x:v>
      </x:c>
      <x:c r="B969" t="n">
        <x:v>5</x:v>
      </x:c>
      <x:c r="C969" t="str">
        <x:v>805  THIRD AVENUE, NEW YORK, NY, 10022, US | 805 THIRD AVENUE, NEW YORK, NY, 10022, US</x:v>
      </x:c>
      <x:c r="D969" t="str">
        <x:v>555 TENTH AVENUE II LLC</x:v>
      </x:c>
      <x:c r="E969" t="str">
        <x:v>555 TENTH AVENUE II LLC</x:v>
      </x:c>
      <x:c r="F969" t="str">
        <x:v>Active name match</x:v>
      </x:c>
      <x:c r="G969" t="n">
        <x:v>1</x:v>
      </x:c>
      <x:c r="H969" t="n">
        <x:v>0</x:v>
      </x:c>
      <x:c r="I969" t="str">
        <x:v>4702693</x:v>
      </x:c>
      <x:c r="J969" t="str">
        <x:v>555 TENTH AVENUE II LLC</x:v>
      </x:c>
      <x:c r="K969" s="55" t="n">
        <x:v>42034</x:v>
      </x:c>
      <x:c r="L969" t="str">
        <x:v>New York</x:v>
      </x:c>
      <x:c r="M969" t="str">
        <x:v>Delaware</x:v>
      </x:c>
      <x:c r="N969" t="str">
        <x:v>FOREIGN LIMITED LIABILITY COMPANY</x:v>
      </x:c>
      <x:c r="O969" t="str">
        <x:v>C T CORPORATION SYSTEM</x:v>
      </x:c>
      <x:c r="P969" t="str">
        <x:v>28 LIBERTY ST., NEW YORK, NY, 10005</x:v>
      </x:c>
      <x:c r="Q969" t="str"/>
      <x:c r="R969" t="str"/>
      <x:c r="S969" t="str"/>
      <x:c r="T969" t="str"/>
      <x:c r="U969" t="str"/>
      <x:c r="V969" t="str"/>
      <x:c r="W969" t="str"/>
      <x:c r="X969" t="str"/>
      <x:c r="Y969" t="str">
        <x:v>https://data.ny.gov/Economic-Development/Active-Corporations-Beginning-1800/n9v6-gdp6</x:v>
      </x:c>
    </x:row>
    <x:row r="970">
      <x:c r="A970" t="str">
        <x:v>DOS-5-054</x:v>
      </x:c>
      <x:c r="B970" t="n">
        <x:v>5</x:v>
      </x:c>
      <x:c r="C970" t="str">
        <x:v>805  THIRD AVENUE, NEW YORK, NY, 10022, US | 805 THIRD AVENUE, NEW YORK, NY, 10022, US</x:v>
      </x:c>
      <x:c r="D970" t="str">
        <x:v>555 TENTH AVENUE LLC</x:v>
      </x:c>
      <x:c r="E970" t="str">
        <x:v>555 TENTH AVENUE  LLC</x:v>
      </x:c>
      <x:c r="F970" t="str">
        <x:v>Active name match</x:v>
      </x:c>
      <x:c r="G970" t="n">
        <x:v>1</x:v>
      </x:c>
      <x:c r="H970" t="n">
        <x:v>0</x:v>
      </x:c>
      <x:c r="I970" t="str">
        <x:v>4702698</x:v>
      </x:c>
      <x:c r="J970" t="str">
        <x:v>555 TENTH AVENUE LLC</x:v>
      </x:c>
      <x:c r="K970" s="55" t="n">
        <x:v>42034</x:v>
      </x:c>
      <x:c r="L970" t="str">
        <x:v>New York</x:v>
      </x:c>
      <x:c r="M970" t="str">
        <x:v>Delaware</x:v>
      </x:c>
      <x:c r="N970" t="str">
        <x:v>FOREIGN LIMITED LIABILITY COMPANY</x:v>
      </x:c>
      <x:c r="O970" t="str">
        <x:v>C T CORPORATION SYSTEM</x:v>
      </x:c>
      <x:c r="P970" t="str">
        <x:v>28 LIBERTY ST., NEW YORK, NY, 10005</x:v>
      </x:c>
      <x:c r="Q970" t="str"/>
      <x:c r="R970" t="str"/>
      <x:c r="S970" t="str"/>
      <x:c r="T970" t="str"/>
      <x:c r="U970" t="str"/>
      <x:c r="V970" t="str"/>
      <x:c r="W970" t="str"/>
      <x:c r="X970" t="str"/>
      <x:c r="Y970" t="str">
        <x:v>https://data.ny.gov/Economic-Development/Active-Corporations-Beginning-1800/n9v6-gdp6</x:v>
      </x:c>
    </x:row>
    <x:row r="971">
      <x:c r="A971" t="str">
        <x:v>DOS-5-054</x:v>
      </x:c>
      <x:c r="B971" t="n">
        <x:v>5</x:v>
      </x:c>
      <x:c r="C971" t="str">
        <x:v>805  THIRD AVENUE, NEW YORK, NY, 10022, US | 805 THIRD AVENUE, NEW YORK, NY, 10022, US</x:v>
      </x:c>
      <x:c r="D971" t="str">
        <x:v>BELMONT HOLDING LLC</x:v>
      </x:c>
      <x:c r="E971" t="str">
        <x:v>BELMONT HOLDING LLC</x:v>
      </x:c>
      <x:c r="F971" t="str">
        <x:v>Active name match</x:v>
      </x:c>
      <x:c r="G971" t="n">
        <x:v>1</x:v>
      </x:c>
      <x:c r="H971" t="n">
        <x:v>1</x:v>
      </x:c>
      <x:c r="I971" t="str">
        <x:v>1963761</x:v>
      </x:c>
      <x:c r="J971" t="str">
        <x:v>BELMONT HOLDING LLC</x:v>
      </x:c>
      <x:c r="K971" s="55" t="n">
        <x:v>34983</x:v>
      </x:c>
      <x:c r="L971" t="str">
        <x:v>New York</x:v>
      </x:c>
      <x:c r="M971" t="str">
        <x:v>New York</x:v>
      </x:c>
      <x:c r="N971" t="str">
        <x:v>DOMESTIC LIMITED LIABILITY COMPANY</x:v>
      </x:c>
      <x:c r="O971" t="str">
        <x:v>BELMONT HOLDING LLC</x:v>
      </x:c>
      <x:c r="P971" t="str">
        <x:v>227 E 56TH ST, STE 401, NEW YORK, NY, 10022</x:v>
      </x:c>
      <x:c r="Q971" t="str"/>
      <x:c r="R971" t="str"/>
      <x:c r="S971" t="str"/>
      <x:c r="T971" t="str"/>
      <x:c r="U971" t="str"/>
      <x:c r="V971" t="str"/>
      <x:c r="W971" t="str"/>
      <x:c r="X971" t="str"/>
      <x:c r="Y971" t="str">
        <x:v>https://data.ny.gov/Economic-Development/Active-Corporations-Beginning-1800/n9v6-gdp6</x:v>
      </x:c>
    </x:row>
    <x:row r="972">
      <x:c r="A972" t="str">
        <x:v>DOS-5-055</x:v>
      </x:c>
      <x:c r="B972" t="n">
        <x:v>5</x:v>
      </x:c>
      <x:c r="C972" t="str">
        <x:v>9 DONNA LANE, SYOSSET, NY, 11791, US</x:v>
      </x:c>
      <x:c r="D972" t="str">
        <x:v>FEEDERS LLC</x:v>
      </x:c>
      <x:c r="E972" t="str">
        <x:v>FEEDERS LLC</x:v>
      </x:c>
      <x:c r="F972" t="str">
        <x:v>Address-corroborated active match</x:v>
      </x:c>
      <x:c r="G972" t="n">
        <x:v>1</x:v>
      </x:c>
      <x:c r="H972" t="n">
        <x:v>2</x:v>
      </x:c>
      <x:c r="I972" t="str">
        <x:v>5172882</x:v>
      </x:c>
      <x:c r="J972" t="str">
        <x:v>FEEDERS LLC</x:v>
      </x:c>
      <x:c r="K972" s="55" t="n">
        <x:v>42935</x:v>
      </x:c>
      <x:c r="L972" t="str">
        <x:v>Nassau</x:v>
      </x:c>
      <x:c r="M972" t="str">
        <x:v>New York</x:v>
      </x:c>
      <x:c r="N972" t="str">
        <x:v>DOMESTIC LIMITED LIABILITY COMPANY</x:v>
      </x:c>
      <x:c r="O972" t="str">
        <x:v>HUI DENG GAO</x:v>
      </x:c>
      <x:c r="P972" t="str">
        <x:v>9 DONNA LANE, SYOSSET, NY, 11791</x:v>
      </x:c>
      <x:c r="Q972" t="str"/>
      <x:c r="R972" t="str"/>
      <x:c r="S972" t="str"/>
      <x:c r="T972" t="str"/>
      <x:c r="U972" t="str"/>
      <x:c r="V972" t="str"/>
      <x:c r="W972" t="str"/>
      <x:c r="X972" t="str"/>
      <x:c r="Y972" t="str">
        <x:v>https://data.ny.gov/Economic-Development/Active-Corporations-Beginning-1800/n9v6-gdp6</x:v>
      </x:c>
    </x:row>
    <x:row r="973">
      <x:c r="A973" t="str">
        <x:v>DOS-5-055</x:v>
      </x:c>
      <x:c r="B973" t="n">
        <x:v>5</x:v>
      </x:c>
      <x:c r="C973" t="str">
        <x:v>9 DONNA LANE, SYOSSET, NY, 11791, US</x:v>
      </x:c>
      <x:c r="D973" t="str">
        <x:v>GENHON LLC</x:v>
      </x:c>
      <x:c r="E973" t="str">
        <x:v>GENHON LLC</x:v>
      </x:c>
      <x:c r="F973" t="str">
        <x:v>Address-corroborated active match</x:v>
      </x:c>
      <x:c r="G973" t="n">
        <x:v>1</x:v>
      </x:c>
      <x:c r="H973" t="n">
        <x:v>2</x:v>
      </x:c>
      <x:c r="I973" t="str">
        <x:v>5068444</x:v>
      </x:c>
      <x:c r="J973" t="str">
        <x:v>GENHON LLC</x:v>
      </x:c>
      <x:c r="K973" s="55" t="n">
        <x:v>42752</x:v>
      </x:c>
      <x:c r="L973" t="str">
        <x:v>Nassau</x:v>
      </x:c>
      <x:c r="M973" t="str">
        <x:v>New York</x:v>
      </x:c>
      <x:c r="N973" t="str">
        <x:v>DOMESTIC LIMITED LIABILITY COMPANY</x:v>
      </x:c>
      <x:c r="O973" t="str">
        <x:v>ALLAN HONG GAO</x:v>
      </x:c>
      <x:c r="P973" t="str">
        <x:v>9 DONNA LANE, SYOSSET, NY, 11791</x:v>
      </x:c>
      <x:c r="Q973" t="str"/>
      <x:c r="R973" t="str"/>
      <x:c r="S973" t="str">
        <x:v>ALLAN HONG GAO</x:v>
      </x:c>
      <x:c r="T973" t="str">
        <x:v>9 DONNA LANE, SYOSSET, NEW YORK, 11791</x:v>
      </x:c>
      <x:c r="U973" t="str"/>
      <x:c r="V973" t="str"/>
      <x:c r="W973" t="str"/>
      <x:c r="X973" t="str"/>
      <x:c r="Y973" t="str">
        <x:v>https://data.ny.gov/Economic-Development/Active-Corporations-Beginning-1800/n9v6-gdp6</x:v>
      </x:c>
    </x:row>
    <x:row r="974">
      <x:c r="A974" t="str">
        <x:v>DOS-5-055</x:v>
      </x:c>
      <x:c r="B974" t="n">
        <x:v>5</x:v>
      </x:c>
      <x:c r="C974" t="str">
        <x:v>9 DONNA LANE, SYOSSET, NY, 11791, US</x:v>
      </x:c>
      <x:c r="D974" t="str">
        <x:v>GINGWOH LLC</x:v>
      </x:c>
      <x:c r="E974" t="str">
        <x:v>GINGWOH LLC</x:v>
      </x:c>
      <x:c r="F974" t="str">
        <x:v>Address-corroborated active match</x:v>
      </x:c>
      <x:c r="G974" t="n">
        <x:v>1</x:v>
      </x:c>
      <x:c r="H974" t="n">
        <x:v>2</x:v>
      </x:c>
      <x:c r="I974" t="str">
        <x:v>5070168</x:v>
      </x:c>
      <x:c r="J974" t="str">
        <x:v>GINGWOH LLC</x:v>
      </x:c>
      <x:c r="K974" s="55" t="n">
        <x:v>42753</x:v>
      </x:c>
      <x:c r="L974" t="str">
        <x:v>Nassau</x:v>
      </x:c>
      <x:c r="M974" t="str">
        <x:v>New York</x:v>
      </x:c>
      <x:c r="N974" t="str">
        <x:v>DOMESTIC LIMITED LIABILITY COMPANY</x:v>
      </x:c>
      <x:c r="O974" t="str">
        <x:v>ALLAN HONG GAO</x:v>
      </x:c>
      <x:c r="P974" t="str">
        <x:v>9 DONNA LANE, SYOSSET, NY, 11791</x:v>
      </x:c>
      <x:c r="Q974" t="str"/>
      <x:c r="R974" t="str"/>
      <x:c r="S974" t="str">
        <x:v>ALLAN HONG GAO</x:v>
      </x:c>
      <x:c r="T974" t="str">
        <x:v>9 DONNA LANE, SYOSSET, NEW YORK, 11791</x:v>
      </x:c>
      <x:c r="U974" t="str"/>
      <x:c r="V974" t="str"/>
      <x:c r="W974" t="str"/>
      <x:c r="X974" t="str"/>
      <x:c r="Y974" t="str">
        <x:v>https://data.ny.gov/Economic-Development/Active-Corporations-Beginning-1800/n9v6-gdp6</x:v>
      </x:c>
    </x:row>
    <x:row r="975">
      <x:c r="A975" t="str">
        <x:v>DOS-5-055</x:v>
      </x:c>
      <x:c r="B975" t="n">
        <x:v>5</x:v>
      </x:c>
      <x:c r="C975" t="str">
        <x:v>9 DONNA LANE, SYOSSET, NY, 11791, US</x:v>
      </x:c>
      <x:c r="D975" t="str">
        <x:v>LAFON LLC</x:v>
      </x:c>
      <x:c r="E975" t="str">
        <x:v>LAFON LLC</x:v>
      </x:c>
      <x:c r="F975" t="str">
        <x:v>Address-corroborated active match</x:v>
      </x:c>
      <x:c r="G975" t="n">
        <x:v>1</x:v>
      </x:c>
      <x:c r="H975" t="n">
        <x:v>2</x:v>
      </x:c>
      <x:c r="I975" t="str">
        <x:v>5380130</x:v>
      </x:c>
      <x:c r="J975" t="str">
        <x:v>LAFON LLC</x:v>
      </x:c>
      <x:c r="K975" s="55" t="n">
        <x:v>43304</x:v>
      </x:c>
      <x:c r="L975" t="str">
        <x:v>Nassau</x:v>
      </x:c>
      <x:c r="M975" t="str">
        <x:v>New York</x:v>
      </x:c>
      <x:c r="N975" t="str">
        <x:v>DOMESTIC LIMITED LIABILITY COMPANY</x:v>
      </x:c>
      <x:c r="O975" t="str">
        <x:v>LAFON LLC</x:v>
      </x:c>
      <x:c r="P975" t="str">
        <x:v>9 DONNA LANE, SYOSSET, NY, 11791</x:v>
      </x:c>
      <x:c r="Q975" t="str"/>
      <x:c r="R975" t="str"/>
      <x:c r="S975" t="str">
        <x:v>HUI DENG GAO</x:v>
      </x:c>
      <x:c r="T975" t="str">
        <x:v>9 DONNA LANE, SYOSSET, NEW YORK, 11791</x:v>
      </x:c>
      <x:c r="U975" t="str"/>
      <x:c r="V975" t="str"/>
      <x:c r="W975" t="str"/>
      <x:c r="X975" t="str"/>
      <x:c r="Y975" t="str">
        <x:v>https://data.ny.gov/Economic-Development/Active-Corporations-Beginning-1800/n9v6-gdp6</x:v>
      </x:c>
    </x:row>
    <x:row r="976">
      <x:c r="A976" t="str">
        <x:v>DOS-5-055</x:v>
      </x:c>
      <x:c r="B976" t="n">
        <x:v>5</x:v>
      </x:c>
      <x:c r="C976" t="str">
        <x:v>9 DONNA LANE, SYOSSET, NY, 11791, US</x:v>
      </x:c>
      <x:c r="D976" t="str">
        <x:v>MELBORN LLC</x:v>
      </x:c>
      <x:c r="E976" t="str">
        <x:v>MELBORN LLC</x:v>
      </x:c>
      <x:c r="F976" t="str">
        <x:v>Address-corroborated active match</x:v>
      </x:c>
      <x:c r="G976" t="n">
        <x:v>1</x:v>
      </x:c>
      <x:c r="H976" t="n">
        <x:v>2</x:v>
      </x:c>
      <x:c r="I976" t="str">
        <x:v>5172869</x:v>
      </x:c>
      <x:c r="J976" t="str">
        <x:v>MELBORN LLC</x:v>
      </x:c>
      <x:c r="K976" s="55" t="n">
        <x:v>42935</x:v>
      </x:c>
      <x:c r="L976" t="str">
        <x:v>Nassau</x:v>
      </x:c>
      <x:c r="M976" t="str">
        <x:v>New York</x:v>
      </x:c>
      <x:c r="N976" t="str">
        <x:v>DOMESTIC LIMITED LIABILITY COMPANY</x:v>
      </x:c>
      <x:c r="O976" t="str">
        <x:v>ALLAN HONG GAO</x:v>
      </x:c>
      <x:c r="P976" t="str">
        <x:v>9 DONNA LANE, SYOSSET, NY, 11791</x:v>
      </x:c>
      <x:c r="Q976" t="str"/>
      <x:c r="R976" t="str"/>
      <x:c r="S976" t="str"/>
      <x:c r="T976" t="str"/>
      <x:c r="U976" t="str"/>
      <x:c r="V976" t="str"/>
      <x:c r="W976" t="str"/>
      <x:c r="X976" t="str"/>
      <x:c r="Y976" t="str">
        <x:v>https://data.ny.gov/Economic-Development/Active-Corporations-Beginning-1800/n9v6-gdp6</x:v>
      </x:c>
    </x:row>
    <x:row r="977">
      <x:c r="A977" t="str">
        <x:v>DOS-5-056</x:v>
      </x:c>
      <x:c r="B977" t="n">
        <x:v>5</x:v>
      </x:c>
      <x:c r="C977" t="str">
        <x:v>PO BOX 290012, BROOKLYN, NY, 11229, US</x:v>
      </x:c>
      <x:c r="D977" t="str">
        <x:v>1363 PINSON LLC</x:v>
      </x:c>
      <x:c r="E977" t="str">
        <x:v>1363 PINSON LLC</x:v>
      </x:c>
      <x:c r="F977" t="str">
        <x:v>Active name match</x:v>
      </x:c>
      <x:c r="G977" t="n">
        <x:v>1</x:v>
      </x:c>
      <x:c r="H977" t="n">
        <x:v>1</x:v>
      </x:c>
      <x:c r="I977" t="str">
        <x:v>5320839</x:v>
      </x:c>
      <x:c r="J977" t="str">
        <x:v>1363 PINSON LLC</x:v>
      </x:c>
      <x:c r="K977" s="55" t="n">
        <x:v>43201</x:v>
      </x:c>
      <x:c r="L977" t="str">
        <x:v>Queens</x:v>
      </x:c>
      <x:c r="M977" t="str">
        <x:v>New York</x:v>
      </x:c>
      <x:c r="N977" t="str">
        <x:v>DOMESTIC LIMITED LIABILITY COMPANY</x:v>
      </x:c>
      <x:c r="O977" t="str">
        <x:v>1363 PINSON LLC</x:v>
      </x:c>
      <x:c r="P977" t="str">
        <x:v>POB 290012, BROOKLYN, NY, 11229</x:v>
      </x:c>
      <x:c r="Q977" t="str"/>
      <x:c r="R977" t="str"/>
      <x:c r="S977" t="str"/>
      <x:c r="T977" t="str"/>
      <x:c r="U977" t="str"/>
      <x:c r="V977" t="str"/>
      <x:c r="W977" t="str"/>
      <x:c r="X977" t="str"/>
      <x:c r="Y977" t="str">
        <x:v>https://data.ny.gov/Economic-Development/Active-Corporations-Beginning-1800/n9v6-gdp6</x:v>
      </x:c>
    </x:row>
    <x:row r="978">
      <x:c r="A978" t="str">
        <x:v>DOS-5-056</x:v>
      </x:c>
      <x:c r="B978" t="n">
        <x:v>5</x:v>
      </x:c>
      <x:c r="C978" t="str">
        <x:v>PO BOX 290012, BROOKLYN, NY, 11229, US</x:v>
      </x:c>
      <x:c r="D978" t="str">
        <x:v>170 BAY 31ST ST LLC</x:v>
      </x:c>
      <x:c r="E978" t="str">
        <x:v>170 BAY 31ST ST LLC</x:v>
      </x:c>
      <x:c r="F978" t="str">
        <x:v>Address-corroborated active match</x:v>
      </x:c>
      <x:c r="G978" t="n">
        <x:v>1</x:v>
      </x:c>
      <x:c r="H978" t="n">
        <x:v>2</x:v>
      </x:c>
      <x:c r="I978" t="str">
        <x:v>3649677</x:v>
      </x:c>
      <x:c r="J978" t="str">
        <x:v>170 BAY 31ST ST LLC</x:v>
      </x:c>
      <x:c r="K978" s="55" t="n">
        <x:v>39533</x:v>
      </x:c>
      <x:c r="L978" t="str">
        <x:v>Kings</x:v>
      </x:c>
      <x:c r="M978" t="str">
        <x:v>New York</x:v>
      </x:c>
      <x:c r="N978" t="str">
        <x:v>DOMESTIC LIMITED LIABILITY COMPANY</x:v>
      </x:c>
      <x:c r="O978" t="str">
        <x:v>170 BAY 31ST ST LLC</x:v>
      </x:c>
      <x:c r="P978" t="str">
        <x:v>PO BOX 290012, BROOKLYN, NY, 11229</x:v>
      </x:c>
      <x:c r="Q978" t="str"/>
      <x:c r="R978" t="str"/>
      <x:c r="S978" t="str"/>
      <x:c r="T978" t="str"/>
      <x:c r="U978" t="str"/>
      <x:c r="V978" t="str"/>
      <x:c r="W978" t="str"/>
      <x:c r="X978" t="str"/>
      <x:c r="Y978" t="str">
        <x:v>https://data.ny.gov/Economic-Development/Active-Corporations-Beginning-1800/n9v6-gdp6</x:v>
      </x:c>
    </x:row>
    <x:row r="979">
      <x:c r="A979" t="str">
        <x:v>DOS-5-056</x:v>
      </x:c>
      <x:c r="B979" t="n">
        <x:v>5</x:v>
      </x:c>
      <x:c r="C979" t="str">
        <x:v>PO BOX 290012, BROOKLYN, NY, 11229, US</x:v>
      </x:c>
      <x:c r="D979" t="str">
        <x:v>209 BEACH 28 LLC</x:v>
      </x:c>
      <x:c r="E979" t="str">
        <x:v>209 BEACH 28 LLC</x:v>
      </x:c>
      <x:c r="F979" t="str">
        <x:v>Active name match</x:v>
      </x:c>
      <x:c r="G979" t="n">
        <x:v>1</x:v>
      </x:c>
      <x:c r="H979" t="n">
        <x:v>1</x:v>
      </x:c>
      <x:c r="I979" t="str">
        <x:v>5344179</x:v>
      </x:c>
      <x:c r="J979" t="str">
        <x:v>209 BEACH 28 LLC</x:v>
      </x:c>
      <x:c r="K979" s="55" t="n">
        <x:v>43238</x:v>
      </x:c>
      <x:c r="L979" t="str">
        <x:v>Queens</x:v>
      </x:c>
      <x:c r="M979" t="str">
        <x:v>New York</x:v>
      </x:c>
      <x:c r="N979" t="str">
        <x:v>DOMESTIC LIMITED LIABILITY COMPANY</x:v>
      </x:c>
      <x:c r="O979" t="str">
        <x:v>209 BEACH 28 LLC</x:v>
      </x:c>
      <x:c r="P979" t="str">
        <x:v>POB 290012, BROOKLYN, NY, 11229</x:v>
      </x:c>
      <x:c r="Q979" t="str"/>
      <x:c r="R979" t="str"/>
      <x:c r="S979" t="str"/>
      <x:c r="T979" t="str"/>
      <x:c r="U979" t="str"/>
      <x:c r="V979" t="str"/>
      <x:c r="W979" t="str"/>
      <x:c r="X979" t="str"/>
      <x:c r="Y979" t="str">
        <x:v>https://data.ny.gov/Economic-Development/Active-Corporations-Beginning-1800/n9v6-gdp6</x:v>
      </x:c>
    </x:row>
    <x:row r="980">
      <x:c r="A980" t="str">
        <x:v>DOS-5-056</x:v>
      </x:c>
      <x:c r="B980" t="n">
        <x:v>5</x:v>
      </x:c>
      <x:c r="C980" t="str">
        <x:v>PO BOX 290012, BROOKLYN, NY, 11229, US</x:v>
      </x:c>
      <x:c r="D980" t="str">
        <x:v>262 45 ST LLC</x:v>
      </x:c>
      <x:c r="E980" t="str">
        <x:v>262 45 ST LLC</x:v>
      </x:c>
      <x:c r="F980" t="str">
        <x:v>Active name match</x:v>
      </x:c>
      <x:c r="G980" t="n">
        <x:v>1</x:v>
      </x:c>
      <x:c r="H980" t="n">
        <x:v>1</x:v>
      </x:c>
      <x:c r="I980" t="str">
        <x:v>4096248</x:v>
      </x:c>
      <x:c r="J980" t="str">
        <x:v>262 45 ST LLC</x:v>
      </x:c>
      <x:c r="K980" s="55" t="n">
        <x:v>40681</x:v>
      </x:c>
      <x:c r="L980" t="str">
        <x:v>Kings</x:v>
      </x:c>
      <x:c r="M980" t="str">
        <x:v>New York</x:v>
      </x:c>
      <x:c r="N980" t="str">
        <x:v>DOMESTIC LIMITED LIABILITY COMPANY</x:v>
      </x:c>
      <x:c r="O980" t="str">
        <x:v>262 45 ST LLC</x:v>
      </x:c>
      <x:c r="P980" t="str">
        <x:v>POB 290012, BROOKLYN, NY, 11229</x:v>
      </x:c>
      <x:c r="Q980" t="str"/>
      <x:c r="R980" t="str"/>
      <x:c r="S980" t="str"/>
      <x:c r="T980" t="str"/>
      <x:c r="U980" t="str"/>
      <x:c r="V980" t="str"/>
      <x:c r="W980" t="str"/>
      <x:c r="X980" t="str"/>
      <x:c r="Y980" t="str">
        <x:v>https://data.ny.gov/Economic-Development/Active-Corporations-Beginning-1800/n9v6-gdp6</x:v>
      </x:c>
    </x:row>
    <x:row r="981">
      <x:c r="A981" t="str">
        <x:v>DOS-5-056</x:v>
      </x:c>
      <x:c r="B981" t="n">
        <x:v>5</x:v>
      </x:c>
      <x:c r="C981" t="str">
        <x:v>PO BOX 290012, BROOKLYN, NY, 11229, US</x:v>
      </x:c>
      <x:c r="D981" t="str">
        <x:v>Q184 2 LLC</x:v>
      </x:c>
      <x:c r="E981" t="str">
        <x:v>Q184-2 LLC</x:v>
      </x:c>
      <x:c r="F981" t="str">
        <x:v>Active name match</x:v>
      </x:c>
      <x:c r="G981" t="n">
        <x:v>1</x:v>
      </x:c>
      <x:c r="H981" t="n">
        <x:v>0</x:v>
      </x:c>
      <x:c r="I981" t="str">
        <x:v>5514102</x:v>
      </x:c>
      <x:c r="J981" t="str">
        <x:v>Q184-2 LLC</x:v>
      </x:c>
      <x:c r="K981" s="55" t="n">
        <x:v>43539</x:v>
      </x:c>
      <x:c r="L981" t="str">
        <x:v>Kings</x:v>
      </x:c>
      <x:c r="M981" t="str">
        <x:v>New York</x:v>
      </x:c>
      <x:c r="N981" t="str">
        <x:v>DOMESTIC LIMITED LIABILITY COMPANY</x:v>
      </x:c>
      <x:c r="O981" t="str">
        <x:v>Q184-2 LLC</x:v>
      </x:c>
      <x:c r="P981" t="str">
        <x:v>2917 AVENUE M, BROOKLYN, NY, 11210</x:v>
      </x:c>
      <x:c r="Q981" t="str"/>
      <x:c r="R981" t="str"/>
      <x:c r="S981" t="str"/>
      <x:c r="T981" t="str"/>
      <x:c r="U981" t="str"/>
      <x:c r="V981" t="str"/>
      <x:c r="W981" t="str"/>
      <x:c r="X981" t="str"/>
      <x:c r="Y981" t="str">
        <x:v>https://data.ny.gov/Economic-Development/Active-Corporations-Beginning-1800/n9v6-gdp6</x:v>
      </x:c>
    </x:row>
    <x:row r="982">
      <x:c r="A982" t="str">
        <x:v>DOS-5-057</x:v>
      </x:c>
      <x:c r="B982" t="n">
        <x:v>5</x:v>
      </x:c>
      <x:c r="C982" t="str">
        <x:v>1021 38TH STREET, BROOKLYN, NY, 11219, US</x:v>
      </x:c>
      <x:c r="D982" t="str">
        <x:v>1058 PACIFIC STREET LLC</x:v>
      </x:c>
      <x:c r="E982" t="str">
        <x:v>1058 PACIFIC STREET LLC</x:v>
      </x:c>
      <x:c r="F982" t="str">
        <x:v>Address-corroborated active match</x:v>
      </x:c>
      <x:c r="G982" t="n">
        <x:v>1</x:v>
      </x:c>
      <x:c r="H982" t="n">
        <x:v>2</x:v>
      </x:c>
      <x:c r="I982" t="str">
        <x:v>7739339</x:v>
      </x:c>
      <x:c r="J982" t="str">
        <x:v>1058 PACIFIC STREET LLC</x:v>
      </x:c>
      <x:c r="K982" s="55" t="n">
        <x:v>45951</x:v>
      </x:c>
      <x:c r="L982" t="str">
        <x:v>Kings</x:v>
      </x:c>
      <x:c r="M982" t="str">
        <x:v>New York</x:v>
      </x:c>
      <x:c r="N982" t="str">
        <x:v>DOMESTIC LIMITED LIABILITY COMPANY</x:v>
      </x:c>
      <x:c r="O982" t="str">
        <x:v>1058 Pacific Street LLC</x:v>
      </x:c>
      <x:c r="P982" t="str">
        <x:v>1021 38th Street, Brooklyn, NY, 11219</x:v>
      </x:c>
      <x:c r="Q982" t="str"/>
      <x:c r="R982" t="str"/>
      <x:c r="S982" t="str"/>
      <x:c r="T982" t="str"/>
      <x:c r="U982" t="str"/>
      <x:c r="V982" t="str"/>
      <x:c r="W982" t="str"/>
      <x:c r="X982" t="str"/>
      <x:c r="Y982" t="str">
        <x:v>https://data.ny.gov/Economic-Development/Active-Corporations-Beginning-1800/n9v6-gdp6</x:v>
      </x:c>
    </x:row>
    <x:row r="983">
      <x:c r="A983" t="str">
        <x:v>DOS-5-057</x:v>
      </x:c>
      <x:c r="B983" t="n">
        <x:v>5</x:v>
      </x:c>
      <x:c r="C983" t="str">
        <x:v>1021 38TH STREET, BROOKLYN, NY, 11219, US</x:v>
      </x:c>
      <x:c r="D983" t="str">
        <x:v>120 EAST 144 OWNER LLC</x:v>
      </x:c>
      <x:c r="E983" t="str">
        <x:v>120 EAST 144 OWNER LLC</x:v>
      </x:c>
      <x:c r="F983" t="str">
        <x:v>Address-corroborated active match</x:v>
      </x:c>
      <x:c r="G983" t="n">
        <x:v>1</x:v>
      </x:c>
      <x:c r="H983" t="n">
        <x:v>2</x:v>
      </x:c>
      <x:c r="I983" t="str">
        <x:v>6887128</x:v>
      </x:c>
      <x:c r="J983" t="str">
        <x:v>120 EAST 144 OWNER LLC</x:v>
      </x:c>
      <x:c r="K983" s="55" t="n">
        <x:v>45103</x:v>
      </x:c>
      <x:c r="L983" t="str">
        <x:v>Kings</x:v>
      </x:c>
      <x:c r="M983" t="str">
        <x:v>Delaware</x:v>
      </x:c>
      <x:c r="N983" t="str">
        <x:v>FOREIGN LIMITED LIABILITY COMPANY</x:v>
      </x:c>
      <x:c r="O983" t="str">
        <x:v>120 EAST 144 OWNER LLC</x:v>
      </x:c>
      <x:c r="P983" t="str">
        <x:v>1021 38th street, BROOKLYN, NY, 11219</x:v>
      </x:c>
      <x:c r="Q983" t="str"/>
      <x:c r="R983" t="str"/>
      <x:c r="S983" t="str"/>
      <x:c r="T983" t="str"/>
      <x:c r="U983" t="str"/>
      <x:c r="V983" t="str"/>
      <x:c r="W983" t="str"/>
      <x:c r="X983" t="str"/>
      <x:c r="Y983" t="str">
        <x:v>https://data.ny.gov/Economic-Development/Active-Corporations-Beginning-1800/n9v6-gdp6</x:v>
      </x:c>
    </x:row>
    <x:row r="984">
      <x:c r="A984" t="str">
        <x:v>DOS-5-057</x:v>
      </x:c>
      <x:c r="B984" t="n">
        <x:v>5</x:v>
      </x:c>
      <x:c r="C984" t="str">
        <x:v>1021 38TH STREET, BROOKLYN, NY, 11219, US</x:v>
      </x:c>
      <x:c r="D984" t="str">
        <x:v>1533 1541 60 STREET LLC</x:v>
      </x:c>
      <x:c r="E984" t="str">
        <x:v>1533-1541 60 STREET LLC</x:v>
      </x:c>
      <x:c r="F984" t="str">
        <x:v>Address-corroborated active match</x:v>
      </x:c>
      <x:c r="G984" t="n">
        <x:v>1</x:v>
      </x:c>
      <x:c r="H984" t="n">
        <x:v>2</x:v>
      </x:c>
      <x:c r="I984" t="str">
        <x:v>7211670</x:v>
      </x:c>
      <x:c r="J984" t="str">
        <x:v>1533-1541 60 STREET LLC</x:v>
      </x:c>
      <x:c r="K984" s="55" t="n">
        <x:v>45281</x:v>
      </x:c>
      <x:c r="L984" t="str">
        <x:v>Kings</x:v>
      </x:c>
      <x:c r="M984" t="str">
        <x:v>Delaware</x:v>
      </x:c>
      <x:c r="N984" t="str">
        <x:v>FOREIGN LIMITED LIABILITY COMPANY</x:v>
      </x:c>
      <x:c r="O984" t="str">
        <x:v>1533-1541 60 STREET LLC</x:v>
      </x:c>
      <x:c r="P984" t="str">
        <x:v>1021 38th st, BROOKLYN, NY, 11219</x:v>
      </x:c>
      <x:c r="Q984" t="str"/>
      <x:c r="R984" t="str"/>
      <x:c r="S984" t="str"/>
      <x:c r="T984" t="str"/>
      <x:c r="U984" t="str"/>
      <x:c r="V984" t="str"/>
      <x:c r="W984" t="str"/>
      <x:c r="X984" t="str"/>
      <x:c r="Y984" t="str">
        <x:v>https://data.ny.gov/Economic-Development/Active-Corporations-Beginning-1800/n9v6-gdp6</x:v>
      </x:c>
    </x:row>
    <x:row r="985">
      <x:c r="A985" t="str">
        <x:v>DOS-5-057</x:v>
      </x:c>
      <x:c r="B985" t="n">
        <x:v>5</x:v>
      </x:c>
      <x:c r="C985" t="str">
        <x:v>1021 38TH STREET, BROOKLYN, NY, 11219, US</x:v>
      </x:c>
      <x:c r="D985" t="str">
        <x:v>1555 60TH STREET LLC</x:v>
      </x:c>
      <x:c r="E985" t="str">
        <x:v>1555 60TH STREET LLC</x:v>
      </x:c>
      <x:c r="F985" t="str">
        <x:v>Address-corroborated active match</x:v>
      </x:c>
      <x:c r="G985" t="n">
        <x:v>1</x:v>
      </x:c>
      <x:c r="H985" t="n">
        <x:v>2</x:v>
      </x:c>
      <x:c r="I985" t="str">
        <x:v>6829581</x:v>
      </x:c>
      <x:c r="J985" t="str">
        <x:v>1555 60TH STREET LLC</x:v>
      </x:c>
      <x:c r="K985" s="55" t="n">
        <x:v>45056</x:v>
      </x:c>
      <x:c r="L985" t="str">
        <x:v>Kings</x:v>
      </x:c>
      <x:c r="M985" t="str">
        <x:v>New York</x:v>
      </x:c>
      <x:c r="N985" t="str">
        <x:v>DOMESTIC LIMITED LIABILITY COMPANY</x:v>
      </x:c>
      <x:c r="O985" t="str">
        <x:v>1555 60TH STREET LLC</x:v>
      </x:c>
      <x:c r="P985" t="str">
        <x:v>1021 38TH STREET, BROOKLYN, NY, 11219</x:v>
      </x:c>
      <x:c r="Q985" t="str"/>
      <x:c r="R985" t="str"/>
      <x:c r="S985" t="str"/>
      <x:c r="T985" t="str"/>
      <x:c r="U985" t="str"/>
      <x:c r="V985" t="str"/>
      <x:c r="W985" t="str"/>
      <x:c r="X985" t="str"/>
      <x:c r="Y985" t="str">
        <x:v>https://data.ny.gov/Economic-Development/Active-Corporations-Beginning-1800/n9v6-gdp6</x:v>
      </x:c>
    </x:row>
    <x:row r="986">
      <x:c r="A986" t="str">
        <x:v>DOS-5-057</x:v>
      </x:c>
      <x:c r="B986" t="n">
        <x:v>5</x:v>
      </x:c>
      <x:c r="C986" t="str">
        <x:v>1021 38TH STREET, BROOKLYN, NY, 11219, US</x:v>
      </x:c>
      <x:c r="D986" t="str">
        <x:v>WALTON STREET GC DEVELOPMENTS LLC</x:v>
      </x:c>
      <x:c r="E986" t="str">
        <x:v>WALTON STREET GC DEVELOPMENTS LLC</x:v>
      </x:c>
      <x:c r="F986" t="str">
        <x:v>Address-corroborated active match</x:v>
      </x:c>
      <x:c r="G986" t="n">
        <x:v>1</x:v>
      </x:c>
      <x:c r="H986" t="n">
        <x:v>2</x:v>
      </x:c>
      <x:c r="I986" t="str">
        <x:v>6575812</x:v>
      </x:c>
      <x:c r="J986" t="str">
        <x:v>WALTON STREET GC DEVELOPMENTS LLC</x:v>
      </x:c>
      <x:c r="K986" s="55" t="n">
        <x:v>44804</x:v>
      </x:c>
      <x:c r="L986" t="str">
        <x:v>Kings</x:v>
      </x:c>
      <x:c r="M986" t="str">
        <x:v>New York</x:v>
      </x:c>
      <x:c r="N986" t="str">
        <x:v>DOMESTIC LIMITED LIABILITY COMPANY</x:v>
      </x:c>
      <x:c r="O986" t="str">
        <x:v>WALTON STREET GC DEVELOPMENTS LLC</x:v>
      </x:c>
      <x:c r="P986" t="str">
        <x:v>1021 38TH STREET, BROOKLYN, NY, 11219</x:v>
      </x:c>
      <x:c r="Q986" t="str"/>
      <x:c r="R986" t="str"/>
      <x:c r="S986" t="str"/>
      <x:c r="T986" t="str"/>
      <x:c r="U986" t="str"/>
      <x:c r="V986" t="str"/>
      <x:c r="W986" t="str"/>
      <x:c r="X986" t="str"/>
      <x:c r="Y986" t="str">
        <x:v>https://data.ny.gov/Economic-Development/Active-Corporations-Beginning-1800/n9v6-gdp6</x:v>
      </x:c>
    </x:row>
    <x:row r="987">
      <x:c r="A987" t="str">
        <x:v>DOS-5-058</x:v>
      </x:c>
      <x:c r="B987" t="n">
        <x:v>5</x:v>
      </x:c>
      <x:c r="C987" t="str">
        <x:v>124  EAST 63RD STREET, NEW YORK, NY, 10021, US</x:v>
      </x:c>
      <x:c r="D987" t="str">
        <x:v>BELMONT OWNERS LLC</x:v>
      </x:c>
      <x:c r="E987" t="str">
        <x:v>BELMONT OWNERS LLC</x:v>
      </x:c>
      <x:c r="F987" t="str">
        <x:v>Active name match</x:v>
      </x:c>
      <x:c r="G987" t="n">
        <x:v>1</x:v>
      </x:c>
      <x:c r="H987" t="n">
        <x:v>1</x:v>
      </x:c>
      <x:c r="I987" t="str">
        <x:v>2525513</x:v>
      </x:c>
      <x:c r="J987" t="str">
        <x:v>BELMONT OWNERS LLC</x:v>
      </x:c>
      <x:c r="K987" s="55" t="n">
        <x:v>36704</x:v>
      </x:c>
      <x:c r="L987" t="str">
        <x:v>New York</x:v>
      </x:c>
      <x:c r="M987" t="str">
        <x:v>New York</x:v>
      </x:c>
      <x:c r="N987" t="str">
        <x:v>DOMESTIC LIMITED LIABILITY COMPANY</x:v>
      </x:c>
      <x:c r="O987" t="str">
        <x:v>BELMONT OWNERS LLC</x:v>
      </x:c>
      <x:c r="P987" t="str">
        <x:v>770 LEXINGTON AVE, NEW YORK, NY, 10021</x:v>
      </x:c>
      <x:c r="Q987" t="str"/>
      <x:c r="R987" t="str"/>
      <x:c r="S987" t="str">
        <x:v>GORDON HAMM</x:v>
      </x:c>
      <x:c r="T987" t="str">
        <x:v>124 EAST 63RD STREET, NEW YORK, NEW YORK, 10021</x:v>
      </x:c>
      <x:c r="U987" t="str"/>
      <x:c r="V987" t="str"/>
      <x:c r="W987" t="str"/>
      <x:c r="X987" t="str"/>
      <x:c r="Y987" t="str">
        <x:v>https://data.ny.gov/Economic-Development/Active-Corporations-Beginning-1800/n9v6-gdp6</x:v>
      </x:c>
    </x:row>
    <x:row r="988">
      <x:c r="A988" t="str">
        <x:v>DOS-5-058</x:v>
      </x:c>
      <x:c r="B988" t="n">
        <x:v>5</x:v>
      </x:c>
      <x:c r="C988" t="str">
        <x:v>124  EAST 63RD STREET, NEW YORK, NY, 10021, US</x:v>
      </x:c>
      <x:c r="D988" t="str">
        <x:v>CHAPLAND OWNERS LLC</x:v>
      </x:c>
      <x:c r="E988" t="str">
        <x:v>CHAPLAND OWNERS LLC</x:v>
      </x:c>
      <x:c r="F988" t="str">
        <x:v>Active name match</x:v>
      </x:c>
      <x:c r="G988" t="n">
        <x:v>1</x:v>
      </x:c>
      <x:c r="H988" t="n">
        <x:v>0</x:v>
      </x:c>
      <x:c r="I988" t="str">
        <x:v>2525618</x:v>
      </x:c>
      <x:c r="J988" t="str">
        <x:v>CHAPLAND OWNERS LLC</x:v>
      </x:c>
      <x:c r="K988" s="55" t="n">
        <x:v>36704</x:v>
      </x:c>
      <x:c r="L988" t="str">
        <x:v>New York</x:v>
      </x:c>
      <x:c r="M988" t="str">
        <x:v>New York</x:v>
      </x:c>
      <x:c r="N988" t="str">
        <x:v>DOMESTIC LIMITED LIABILITY COMPANY</x:v>
      </x:c>
      <x:c r="O988" t="str">
        <x:v>CHAPLAND OWNERS LLC</x:v>
      </x:c>
      <x:c r="P988" t="str">
        <x:v>770 LEXINGTON AVENUE FL 11, NEW YORK, NY, 10065</x:v>
      </x:c>
      <x:c r="Q988" t="str"/>
      <x:c r="R988" t="str"/>
      <x:c r="S988" t="str"/>
      <x:c r="T988" t="str"/>
      <x:c r="U988" t="str"/>
      <x:c r="V988" t="str"/>
      <x:c r="W988" t="str"/>
      <x:c r="X988" t="str"/>
      <x:c r="Y988" t="str">
        <x:v>https://data.ny.gov/Economic-Development/Active-Corporations-Beginning-1800/n9v6-gdp6</x:v>
      </x:c>
    </x:row>
    <x:row r="989">
      <x:c r="A989" t="str">
        <x:v>DOS-5-058</x:v>
      </x:c>
      <x:c r="B989" t="n">
        <x:v>5</x:v>
      </x:c>
      <x:c r="C989" t="str">
        <x:v>124  EAST 63RD STREET, NEW YORK, NY, 10021, US</x:v>
      </x:c>
      <x:c r="D989" t="str">
        <x:v>EVANS OWNERS LLC</x:v>
      </x:c>
      <x:c r="E989" t="str">
        <x:v>EVANS OWNERS LLC</x:v>
      </x:c>
      <x:c r="F989" t="str">
        <x:v>No active DOS match</x:v>
      </x:c>
      <x:c r="G989" t="n">
        <x:v>0</x:v>
      </x:c>
      <x:c r="H989" t="n">
        <x:v>0</x:v>
      </x:c>
      <x:c r="I989" t="str"/>
      <x:c r="J989" t="str"/>
      <x:c r="K989" s="55" t="str"/>
      <x:c r="L989" t="str"/>
      <x:c r="M989" t="str"/>
      <x:c r="N989" t="str"/>
      <x:c r="O989" t="str"/>
      <x:c r="P989" t="str"/>
      <x:c r="Q989" t="str"/>
      <x:c r="R989" t="str"/>
      <x:c r="S989" t="str"/>
      <x:c r="T989" t="str"/>
      <x:c r="U989" t="str"/>
      <x:c r="V989" t="str"/>
      <x:c r="W989" t="str"/>
      <x:c r="X989" t="str"/>
      <x:c r="Y989" t="str">
        <x:v>https://data.ny.gov/Economic-Development/Active-Corporations-Beginning-1800/n9v6-gdp6</x:v>
      </x:c>
    </x:row>
    <x:row r="990">
      <x:c r="A990" t="str">
        <x:v>DOS-5-058</x:v>
      </x:c>
      <x:c r="B990" t="n">
        <x:v>5</x:v>
      </x:c>
      <x:c r="C990" t="str">
        <x:v>124  EAST 63RD STREET, NEW YORK, NY, 10021, US</x:v>
      </x:c>
      <x:c r="D990" t="str">
        <x:v>REDBALL OWNERS LLC</x:v>
      </x:c>
      <x:c r="E990" t="str">
        <x:v>REDBALL OWNERS LLC</x:v>
      </x:c>
      <x:c r="F990" t="str">
        <x:v>Active name match</x:v>
      </x:c>
      <x:c r="G990" t="n">
        <x:v>1</x:v>
      </x:c>
      <x:c r="H990" t="n">
        <x:v>0</x:v>
      </x:c>
      <x:c r="I990" t="str">
        <x:v>2525558</x:v>
      </x:c>
      <x:c r="J990" t="str">
        <x:v>REDBALL OWNERS LLC</x:v>
      </x:c>
      <x:c r="K990" s="55" t="n">
        <x:v>36704</x:v>
      </x:c>
      <x:c r="L990" t="str">
        <x:v>New York</x:v>
      </x:c>
      <x:c r="M990" t="str">
        <x:v>New York</x:v>
      </x:c>
      <x:c r="N990" t="str">
        <x:v>DOMESTIC LIMITED LIABILITY COMPANY</x:v>
      </x:c>
      <x:c r="O990" t="str">
        <x:v>GORDON HAMM</x:v>
      </x:c>
      <x:c r="P990" t="str">
        <x:v>c/o Garage Management Company, 770 Lexington Avenue 11th FL, New York, NY, 10065</x:v>
      </x:c>
      <x:c r="Q990" t="str"/>
      <x:c r="R990" t="str"/>
      <x:c r="S990" t="str"/>
      <x:c r="T990" t="str"/>
      <x:c r="U990" t="str"/>
      <x:c r="V990" t="str"/>
      <x:c r="W990" t="str"/>
      <x:c r="X990" t="str"/>
      <x:c r="Y990" t="str">
        <x:v>https://data.ny.gov/Economic-Development/Active-Corporations-Beginning-1800/n9v6-gdp6</x:v>
      </x:c>
    </x:row>
    <x:row r="991">
      <x:c r="A991" t="str">
        <x:v>DOS-5-058</x:v>
      </x:c>
      <x:c r="B991" t="n">
        <x:v>5</x:v>
      </x:c>
      <x:c r="C991" t="str">
        <x:v>124  EAST 63RD STREET, NEW YORK, NY, 10021, US</x:v>
      </x:c>
      <x:c r="D991" t="str">
        <x:v>RIBAR OWNERS LLC</x:v>
      </x:c>
      <x:c r="E991" t="str">
        <x:v>RIBAR OWNERS LLC</x:v>
      </x:c>
      <x:c r="F991" t="str">
        <x:v>Active name match</x:v>
      </x:c>
      <x:c r="G991" t="n">
        <x:v>1</x:v>
      </x:c>
      <x:c r="H991" t="n">
        <x:v>0</x:v>
      </x:c>
      <x:c r="I991" t="str">
        <x:v>2525473</x:v>
      </x:c>
      <x:c r="J991" t="str">
        <x:v>RIBAR OWNERS LLC</x:v>
      </x:c>
      <x:c r="K991" s="55" t="n">
        <x:v>36704</x:v>
      </x:c>
      <x:c r="L991" t="str">
        <x:v>New York</x:v>
      </x:c>
      <x:c r="M991" t="str">
        <x:v>New York</x:v>
      </x:c>
      <x:c r="N991" t="str">
        <x:v>DOMESTIC LIMITED LIABILITY COMPANY</x:v>
      </x:c>
      <x:c r="O991" t="str">
        <x:v>GORDON HAMM</x:v>
      </x:c>
      <x:c r="P991" t="str">
        <x:v>c/o Garage Management Company, 770 Lexington Ave, 11th FL, NEW YORK, NY, 10065</x:v>
      </x:c>
      <x:c r="Q991" t="str"/>
      <x:c r="R991" t="str"/>
      <x:c r="S991" t="str">
        <x:v>GORDON HAMM</x:v>
      </x:c>
      <x:c r="T991" t="str">
        <x:v>124 EAST 63RD STREET, NEW YORK, NEW YORK, 10021</x:v>
      </x:c>
      <x:c r="U991" t="str"/>
      <x:c r="V991" t="str"/>
      <x:c r="W991" t="str"/>
      <x:c r="X991" t="str"/>
      <x:c r="Y991" t="str">
        <x:v>https://data.ny.gov/Economic-Development/Active-Corporations-Beginning-1800/n9v6-gdp6</x:v>
      </x:c>
    </x:row>
    <x:row r="992">
      <x:c r="A992" t="str">
        <x:v>DOS-5-059</x:v>
      </x:c>
      <x:c r="B992" t="n">
        <x:v>5</x:v>
      </x:c>
      <x:c r="C992" t="str">
        <x:v>134-03 35TH AVENUE, FLUSHING, NY, 11354, US</x:v>
      </x:c>
      <x:c r="D992" t="str">
        <x:v>A AND C INTERNATIONAL MANAGEMENT GROUP LLC</x:v>
      </x:c>
      <x:c r="E992" t="str">
        <x:v>A&amp;C INTERNATIONAL MANAGEMENT GROUP, LLC</x:v>
      </x:c>
      <x:c r="F992" t="str">
        <x:v>Active name match</x:v>
      </x:c>
      <x:c r="G992" t="n">
        <x:v>1</x:v>
      </x:c>
      <x:c r="H992" t="n">
        <x:v>0</x:v>
      </x:c>
      <x:c r="I992" t="str">
        <x:v>3309807</x:v>
      </x:c>
      <x:c r="J992" t="str">
        <x:v>A &amp; C INTERNATIONAL MANAGEMENT GROUP, LLC</x:v>
      </x:c>
      <x:c r="K992" s="55" t="n">
        <x:v>38741</x:v>
      </x:c>
      <x:c r="L992" t="str">
        <x:v>Kings</x:v>
      </x:c>
      <x:c r="M992" t="str">
        <x:v>New York</x:v>
      </x:c>
      <x:c r="N992" t="str">
        <x:v>DOMESTIC LIMITED LIABILITY COMPANY</x:v>
      </x:c>
      <x:c r="O992" t="str">
        <x:v>A &amp; C INTERNATIONAL MANAGEMENT GROUP, LLC</x:v>
      </x:c>
      <x:c r="P992" t="str">
        <x:v>248-47 VAN ZANDT AVENUE, LITTLE NECK, NY, 11362</x:v>
      </x:c>
      <x:c r="Q992" t="str"/>
      <x:c r="R992" t="str"/>
      <x:c r="S992" t="str"/>
      <x:c r="T992" t="str"/>
      <x:c r="U992" t="str"/>
      <x:c r="V992" t="str"/>
      <x:c r="W992" t="str"/>
      <x:c r="X992" t="str"/>
      <x:c r="Y992" t="str">
        <x:v>https://data.ny.gov/Economic-Development/Active-Corporations-Beginning-1800/n9v6-gdp6</x:v>
      </x:c>
    </x:row>
    <x:row r="993">
      <x:c r="A993" t="str">
        <x:v>DOS-5-059</x:v>
      </x:c>
      <x:c r="B993" t="n">
        <x:v>5</x:v>
      </x:c>
      <x:c r="C993" t="str">
        <x:v>134-03 35TH AVENUE, FLUSHING, NY, 11354, US</x:v>
      </x:c>
      <x:c r="D993" t="str">
        <x:v>DOWNING STREET REALTY LLC</x:v>
      </x:c>
      <x:c r="E993" t="str">
        <x:v>DOWNING STREET REALTY LLC</x:v>
      </x:c>
      <x:c r="F993" t="str">
        <x:v>Active name match</x:v>
      </x:c>
      <x:c r="G993" t="n">
        <x:v>1</x:v>
      </x:c>
      <x:c r="H993" t="n">
        <x:v>0</x:v>
      </x:c>
      <x:c r="I993" t="str">
        <x:v>4106961</x:v>
      </x:c>
      <x:c r="J993" t="str">
        <x:v>DOWNING STREET REALTY, LLC</x:v>
      </x:c>
      <x:c r="K993" s="55" t="n">
        <x:v>40709</x:v>
      </x:c>
      <x:c r="L993" t="str">
        <x:v>Queens</x:v>
      </x:c>
      <x:c r="M993" t="str">
        <x:v>New York</x:v>
      </x:c>
      <x:c r="N993" t="str">
        <x:v>DOMESTIC LIMITED LIABILITY COMPANY</x:v>
      </x:c>
      <x:c r="O993" t="str">
        <x:v>DOWNING STREET REALTY, LLC</x:v>
      </x:c>
      <x:c r="P993" t="str">
        <x:v>112-15 Northern Blvd, #2, Corona, NY, 11368</x:v>
      </x:c>
      <x:c r="Q993" t="str"/>
      <x:c r="R993" t="str"/>
      <x:c r="S993" t="str"/>
      <x:c r="T993" t="str"/>
      <x:c r="U993" t="str"/>
      <x:c r="V993" t="str"/>
      <x:c r="W993" t="str"/>
      <x:c r="X993" t="str"/>
      <x:c r="Y993" t="str">
        <x:v>https://data.ny.gov/Economic-Development/Active-Corporations-Beginning-1800/n9v6-gdp6</x:v>
      </x:c>
    </x:row>
    <x:row r="994">
      <x:c r="A994" t="str">
        <x:v>DOS-5-059</x:v>
      </x:c>
      <x:c r="B994" t="n">
        <x:v>5</x:v>
      </x:c>
      <x:c r="C994" t="str">
        <x:v>134-03 35TH AVENUE, FLUSHING, NY, 11354, US</x:v>
      </x:c>
      <x:c r="D994" t="str">
        <x:v>FLUSHING VENTURE CAPITAL LLC</x:v>
      </x:c>
      <x:c r="E994" t="str">
        <x:v>FLUSHING VENTURE CAPITAL, LLC</x:v>
      </x:c>
      <x:c r="F994" t="str">
        <x:v>Active name match</x:v>
      </x:c>
      <x:c r="G994" t="n">
        <x:v>1</x:v>
      </x:c>
      <x:c r="H994" t="n">
        <x:v>1</x:v>
      </x:c>
      <x:c r="I994" t="str">
        <x:v>3384099</x:v>
      </x:c>
      <x:c r="J994" t="str">
        <x:v>FLUSHING VENTURE CAPITAL, LLC</x:v>
      </x:c>
      <x:c r="K994" s="55" t="n">
        <x:v>38901</x:v>
      </x:c>
      <x:c r="L994" t="str">
        <x:v>Queens</x:v>
      </x:c>
      <x:c r="M994" t="str">
        <x:v>New York</x:v>
      </x:c>
      <x:c r="N994" t="str">
        <x:v>DOMESTIC LIMITED LIABILITY COMPANY</x:v>
      </x:c>
      <x:c r="O994" t="str">
        <x:v>FLUSHING VENTURE CAPITAL, LLC</x:v>
      </x:c>
      <x:c r="P994" t="str">
        <x:v>33-66 farrington street suite 200, FLUSHING, NY, 11354</x:v>
      </x:c>
      <x:c r="Q994" t="str"/>
      <x:c r="R994" t="str"/>
      <x:c r="S994" t="str"/>
      <x:c r="T994" t="str"/>
      <x:c r="U994" t="str"/>
      <x:c r="V994" t="str"/>
      <x:c r="W994" t="str"/>
      <x:c r="X994" t="str"/>
      <x:c r="Y994" t="str">
        <x:v>https://data.ny.gov/Economic-Development/Active-Corporations-Beginning-1800/n9v6-gdp6</x:v>
      </x:c>
    </x:row>
    <x:row r="995">
      <x:c r="A995" t="str">
        <x:v>DOS-5-059</x:v>
      </x:c>
      <x:c r="B995" t="n">
        <x:v>5</x:v>
      </x:c>
      <x:c r="C995" t="str">
        <x:v>134-03 35TH AVENUE, FLUSHING, NY, 11354, US</x:v>
      </x:c>
      <x:c r="D995" t="str">
        <x:v>QUEENS PLAZA VENTURES LLC</x:v>
      </x:c>
      <x:c r="E995" t="str">
        <x:v>QUEENS PLAZA VENTURES, LLC</x:v>
      </x:c>
      <x:c r="F995" t="str">
        <x:v>Active name match</x:v>
      </x:c>
      <x:c r="G995" t="n">
        <x:v>1</x:v>
      </x:c>
      <x:c r="H995" t="n">
        <x:v>1</x:v>
      </x:c>
      <x:c r="I995" t="str">
        <x:v>3443476</x:v>
      </x:c>
      <x:c r="J995" t="str">
        <x:v>QUEENS PLAZA VENTURES, LLC</x:v>
      </x:c>
      <x:c r="K995" s="55" t="n">
        <x:v>39051</x:v>
      </x:c>
      <x:c r="L995" t="str">
        <x:v>Queens</x:v>
      </x:c>
      <x:c r="M995" t="str">
        <x:v>New York</x:v>
      </x:c>
      <x:c r="N995" t="str">
        <x:v>DOMESTIC LIMITED LIABILITY COMPANY</x:v>
      </x:c>
      <x:c r="O995" t="str">
        <x:v>QUEENS PLAZA VENTURES, LLC</x:v>
      </x:c>
      <x:c r="P995" t="str">
        <x:v>3366 Farrington Street, Suite 200, FLUSHING, NY, 11354</x:v>
      </x:c>
      <x:c r="Q995" t="str"/>
      <x:c r="R995" t="str"/>
      <x:c r="S995" t="str"/>
      <x:c r="T995" t="str"/>
      <x:c r="U995" t="str"/>
      <x:c r="V995" t="str"/>
      <x:c r="W995" t="str"/>
      <x:c r="X995" t="str"/>
      <x:c r="Y995" t="str">
        <x:v>https://data.ny.gov/Economic-Development/Active-Corporations-Beginning-1800/n9v6-gdp6</x:v>
      </x:c>
    </x:row>
    <x:row r="996">
      <x:c r="A996" t="str">
        <x:v>DOS-5-059</x:v>
      </x:c>
      <x:c r="B996" t="n">
        <x:v>5</x:v>
      </x:c>
      <x:c r="C996" t="str">
        <x:v>134-03 35TH AVENUE, FLUSHING, NY, 11354, US</x:v>
      </x:c>
      <x:c r="D996" t="str">
        <x:v>UNITED DEVELOPMENT VENTURE LLC</x:v>
      </x:c>
      <x:c r="E996" t="str">
        <x:v>UNITED DEVELOPMENT VENTURE, LLC</x:v>
      </x:c>
      <x:c r="F996" t="str">
        <x:v>Active name match</x:v>
      </x:c>
      <x:c r="G996" t="n">
        <x:v>1</x:v>
      </x:c>
      <x:c r="H996" t="n">
        <x:v>0</x:v>
      </x:c>
      <x:c r="I996" t="str">
        <x:v>3506003</x:v>
      </x:c>
      <x:c r="J996" t="str">
        <x:v>UNITED DEVELOPMENT VENTURE, LLC</x:v>
      </x:c>
      <x:c r="K996" s="55" t="n">
        <x:v>39192</x:v>
      </x:c>
      <x:c r="L996" t="str">
        <x:v>Queens</x:v>
      </x:c>
      <x:c r="M996" t="str">
        <x:v>New York</x:v>
      </x:c>
      <x:c r="N996" t="str">
        <x:v>DOMESTIC LIMITED LIABILITY COMPANY</x:v>
      </x:c>
      <x:c r="O996" t="str">
        <x:v>UNITED DEVELOPMENT VENTURE, LLC</x:v>
      </x:c>
      <x:c r="P996" t="str">
        <x:v>112-15 Northern Blvd #2, Corona, NY, 11368</x:v>
      </x:c>
      <x:c r="Q996" t="str"/>
      <x:c r="R996" t="str"/>
      <x:c r="S996" t="str"/>
      <x:c r="T996" t="str"/>
      <x:c r="U996" t="str"/>
      <x:c r="V996" t="str"/>
      <x:c r="W996" t="str"/>
      <x:c r="X996" t="str"/>
      <x:c r="Y996" t="str">
        <x:v>https://data.ny.gov/Economic-Development/Active-Corporations-Beginning-1800/n9v6-gdp6</x:v>
      </x:c>
    </x:row>
    <x:row r="997">
      <x:c r="A997" t="str">
        <x:v>DOS-5-060</x:v>
      </x:c>
      <x:c r="B997" t="n">
        <x:v>5</x:v>
      </x:c>
      <x:c r="C997" t="str">
        <x:v>134 N 4TH STREET, BROOKLYN, NY, 11249, US | 134 N. 4TH STREET, BROOKLYN, NY, 11249, US</x:v>
      </x:c>
      <x:c r="D997" t="str">
        <x:v>153 BERRY PREMIUM LLC</x:v>
      </x:c>
      <x:c r="E997" t="str">
        <x:v>153 BERRY PREMIUM LLC</x:v>
      </x:c>
      <x:c r="F997" t="str">
        <x:v>Active name match</x:v>
      </x:c>
      <x:c r="G997" t="n">
        <x:v>1</x:v>
      </x:c>
      <x:c r="H997" t="n">
        <x:v>1</x:v>
      </x:c>
      <x:c r="I997" t="str">
        <x:v>5710917</x:v>
      </x:c>
      <x:c r="J997" t="str">
        <x:v>153 BERRY PREMIUM LLC</x:v>
      </x:c>
      <x:c r="K997" s="55" t="n">
        <x:v>43879</x:v>
      </x:c>
      <x:c r="L997" t="str">
        <x:v>Kings</x:v>
      </x:c>
      <x:c r="M997" t="str">
        <x:v>New York</x:v>
      </x:c>
      <x:c r="N997" t="str">
        <x:v>DOMESTIC LIMITED LIABILITY COMPANY</x:v>
      </x:c>
      <x:c r="O997" t="str">
        <x:v>153 BERRY PREMIUM LLC</x:v>
      </x:c>
      <x:c r="P997" t="str">
        <x:v>134 NORTH 4TH STREET, 2ND FL, BROOKLYN, NY, 11249</x:v>
      </x:c>
      <x:c r="Q997" t="str"/>
      <x:c r="R997" t="str"/>
      <x:c r="S997" t="str"/>
      <x:c r="T997" t="str"/>
      <x:c r="U997" t="str"/>
      <x:c r="V997" t="str"/>
      <x:c r="W997" t="str"/>
      <x:c r="X997" t="str"/>
      <x:c r="Y997" t="str">
        <x:v>https://data.ny.gov/Economic-Development/Active-Corporations-Beginning-1800/n9v6-gdp6</x:v>
      </x:c>
    </x:row>
    <x:row r="998">
      <x:c r="A998" t="str">
        <x:v>DOS-5-060</x:v>
      </x:c>
      <x:c r="B998" t="n">
        <x:v>5</x:v>
      </x:c>
      <x:c r="C998" t="str">
        <x:v>134 N 4TH STREET, BROOKLYN, NY, 11249, US | 134 N. 4TH STREET, BROOKLYN, NY, 11249, US</x:v>
      </x:c>
      <x:c r="D998" t="str">
        <x:v>74 76 SOUTH 2ND ST LLC</x:v>
      </x:c>
      <x:c r="E998" t="str">
        <x:v>74-76 SOUTH 2ND ST LLC</x:v>
      </x:c>
      <x:c r="F998" t="str">
        <x:v>Active name match</x:v>
      </x:c>
      <x:c r="G998" t="n">
        <x:v>1</x:v>
      </x:c>
      <x:c r="H998" t="n">
        <x:v>1</x:v>
      </x:c>
      <x:c r="I998" t="str">
        <x:v>5294043</x:v>
      </x:c>
      <x:c r="J998" t="str">
        <x:v>74-76 SOUTH 2ND ST LLC</x:v>
      </x:c>
      <x:c r="K998" s="55" t="n">
        <x:v>43158</x:v>
      </x:c>
      <x:c r="L998" t="str">
        <x:v>Kings</x:v>
      </x:c>
      <x:c r="M998" t="str">
        <x:v>New York</x:v>
      </x:c>
      <x:c r="N998" t="str">
        <x:v>DOMESTIC LIMITED LIABILITY COMPANY</x:v>
      </x:c>
      <x:c r="O998" t="str">
        <x:v>IDAN SHITRIT</x:v>
      </x:c>
      <x:c r="P998" t="str">
        <x:v>134 N 4TH STREET, 2ND FLOOR, BROOKLYN, NY, 11249</x:v>
      </x:c>
      <x:c r="Q998" t="str"/>
      <x:c r="R998" t="str"/>
      <x:c r="S998" t="str"/>
      <x:c r="T998" t="str"/>
      <x:c r="U998" t="str"/>
      <x:c r="V998" t="str"/>
      <x:c r="W998" t="str"/>
      <x:c r="X998" t="str"/>
      <x:c r="Y998" t="str">
        <x:v>https://data.ny.gov/Economic-Development/Active-Corporations-Beginning-1800/n9v6-gdp6</x:v>
      </x:c>
    </x:row>
    <x:row r="999">
      <x:c r="A999" t="str">
        <x:v>DOS-5-060</x:v>
      </x:c>
      <x:c r="B999" t="n">
        <x:v>5</x:v>
      </x:c>
      <x:c r="C999" t="str">
        <x:v>134 N 4TH STREET, BROOKLYN, NY, 11249, US | 134 N. 4TH STREET, BROOKLYN, NY, 11249, US</x:v>
      </x:c>
      <x:c r="D999" t="str">
        <x:v>BEACH 163 LLC</x:v>
      </x:c>
      <x:c r="E999" t="str">
        <x:v>BEACH 163 LLC</x:v>
      </x:c>
      <x:c r="F999" t="str">
        <x:v>Address-corroborated active match</x:v>
      </x:c>
      <x:c r="G999" t="n">
        <x:v>1</x:v>
      </x:c>
      <x:c r="H999" t="n">
        <x:v>2</x:v>
      </x:c>
      <x:c r="I999" t="str">
        <x:v>7463658</x:v>
      </x:c>
      <x:c r="J999" t="str">
        <x:v>BEACH 163 LLC</x:v>
      </x:c>
      <x:c r="K999" s="55" t="n">
        <x:v>45609</x:v>
      </x:c>
      <x:c r="L999" t="str">
        <x:v>Kings</x:v>
      </x:c>
      <x:c r="M999" t="str">
        <x:v>New York</x:v>
      </x:c>
      <x:c r="N999" t="str">
        <x:v>DOMESTIC LIMITED LIABILITY COMPANY</x:v>
      </x:c>
      <x:c r="O999" t="str">
        <x:v>BEACH 163 LLC</x:v>
      </x:c>
      <x:c r="P999" t="str">
        <x:v>134 N 4th Street, Brooklyn, NY, 11249</x:v>
      </x:c>
      <x:c r="Q999" t="str"/>
      <x:c r="R999" t="str"/>
      <x:c r="S999" t="str"/>
      <x:c r="T999" t="str"/>
      <x:c r="U999" t="str"/>
      <x:c r="V999" t="str"/>
      <x:c r="W999" t="str"/>
      <x:c r="X999" t="str"/>
      <x:c r="Y999" t="str">
        <x:v>https://data.ny.gov/Economic-Development/Active-Corporations-Beginning-1800/n9v6-gdp6</x:v>
      </x:c>
    </x:row>
    <x:row r="1000">
      <x:c r="A1000" t="str">
        <x:v>DOS-5-060</x:v>
      </x:c>
      <x:c r="B1000" t="n">
        <x:v>5</x:v>
      </x:c>
      <x:c r="C1000" t="str">
        <x:v>134 N 4TH STREET, BROOKLYN, NY, 11249, US | 134 N. 4TH STREET, BROOKLYN, NY, 11249, US</x:v>
      </x:c>
      <x:c r="D1000" t="str">
        <x:v>BSJ DEVELOPMENT LLC</x:v>
      </x:c>
      <x:c r="E1000" t="str">
        <x:v>BSJ DEVELOPMENT LLC</x:v>
      </x:c>
      <x:c r="F1000" t="str">
        <x:v>Active name match</x:v>
      </x:c>
      <x:c r="G1000" t="n">
        <x:v>1</x:v>
      </x:c>
      <x:c r="H1000" t="n">
        <x:v>0</x:v>
      </x:c>
      <x:c r="I1000" t="str">
        <x:v>4983015</x:v>
      </x:c>
      <x:c r="J1000" t="str">
        <x:v>BSJ DEVELOPMENT LLC</x:v>
      </x:c>
      <x:c r="K1000" s="55" t="n">
        <x:v>42577</x:v>
      </x:c>
      <x:c r="L1000" t="str">
        <x:v>Kings</x:v>
      </x:c>
      <x:c r="M1000" t="str">
        <x:v>New York</x:v>
      </x:c>
      <x:c r="N1000" t="str">
        <x:v>DOMESTIC LIMITED LIABILITY COMPANY</x:v>
      </x:c>
      <x:c r="O1000" t="str">
        <x:v>BSJ DEVELOPMENT LLC</x:v>
      </x:c>
      <x:c r="P1000" t="str">
        <x:v>134 N. 4TH STREET, BROOKLYN, NY, 11211</x:v>
      </x:c>
      <x:c r="Q1000" t="str"/>
      <x:c r="R1000" t="str"/>
      <x:c r="S1000" t="str"/>
      <x:c r="T1000" t="str"/>
      <x:c r="U1000" t="str"/>
      <x:c r="V1000" t="str"/>
      <x:c r="W1000" t="str"/>
      <x:c r="X1000" t="str"/>
      <x:c r="Y1000" t="str">
        <x:v>https://data.ny.gov/Economic-Development/Active-Corporations-Beginning-1800/n9v6-gdp6</x:v>
      </x:c>
    </x:row>
    <x:row r="1001">
      <x:c r="A1001" t="str">
        <x:v>DOS-5-060</x:v>
      </x:c>
      <x:c r="B1001" t="n">
        <x:v>5</x:v>
      </x:c>
      <x:c r="C1001" t="str">
        <x:v>134 N 4TH STREET, BROOKLYN, NY, 11249, US | 134 N. 4TH STREET, BROOKLYN, NY, 11249, US</x:v>
      </x:c>
      <x:c r="D1001" t="str">
        <x:v>FIRE CONSULTANTS LLC</x:v>
      </x:c>
      <x:c r="E1001" t="str">
        <x:v>FIRE CONSULTANTS LLC</x:v>
      </x:c>
      <x:c r="F1001" t="str">
        <x:v>Address-corroborated active match</x:v>
      </x:c>
      <x:c r="G1001" t="n">
        <x:v>1</x:v>
      </x:c>
      <x:c r="H1001" t="n">
        <x:v>2</x:v>
      </x:c>
      <x:c r="I1001" t="str">
        <x:v>5846484</x:v>
      </x:c>
      <x:c r="J1001" t="str">
        <x:v>FIRE CONSULTANTS LLC</x:v>
      </x:c>
      <x:c r="K1001" s="55" t="n">
        <x:v>44103</x:v>
      </x:c>
      <x:c r="L1001" t="str">
        <x:v>Kings</x:v>
      </x:c>
      <x:c r="M1001" t="str">
        <x:v>New York</x:v>
      </x:c>
      <x:c r="N1001" t="str">
        <x:v>DOMESTIC LIMITED LIABILITY COMPANY</x:v>
      </x:c>
      <x:c r="O1001" t="str">
        <x:v>FIRE CONSULTANTS LLC</x:v>
      </x:c>
      <x:c r="P1001" t="str">
        <x:v>134 N. 4TH STREET, BROOKLYN, NY, 11249</x:v>
      </x:c>
      <x:c r="Q1001" t="str"/>
      <x:c r="R1001" t="str"/>
      <x:c r="S1001" t="str">
        <x:v>INCORP SERVICES, INC.</x:v>
      </x:c>
      <x:c r="T1001" t="str">
        <x:v>ONE COMMERCE PLAZA, 99 WASHINGTON AVE., SUITE 805A, ALBANY, NEW YORK, 122102822</x:v>
      </x:c>
      <x:c r="U1001" t="str"/>
      <x:c r="V1001" t="str"/>
      <x:c r="W1001" t="str"/>
      <x:c r="X1001" t="str"/>
      <x:c r="Y1001" t="str">
        <x:v>https://data.ny.gov/Economic-Development/Active-Corporations-Beginning-1800/n9v6-gdp6</x:v>
      </x:c>
    </x:row>
    <x:row r="1002">
      <x:c r="A1002" t="str">
        <x:v>DOS-5-061</x:v>
      </x:c>
      <x:c r="B1002" t="n">
        <x:v>5</x:v>
      </x:c>
      <x:c r="C1002" t="str">
        <x:v>1368 RALPH AVENUE, BROOKLYN, NY, 11236, US</x:v>
      </x:c>
      <x:c r="D1002" t="str">
        <x:v>538 83RD REALTY LLC</x:v>
      </x:c>
      <x:c r="E1002" t="str">
        <x:v>538 83RD REALTY LLC</x:v>
      </x:c>
      <x:c r="F1002" t="str">
        <x:v>Address-corroborated active match</x:v>
      </x:c>
      <x:c r="G1002" t="n">
        <x:v>1</x:v>
      </x:c>
      <x:c r="H1002" t="n">
        <x:v>2</x:v>
      </x:c>
      <x:c r="I1002" t="str">
        <x:v>7012719</x:v>
      </x:c>
      <x:c r="J1002" t="str">
        <x:v>538 83RD REALTY LLC</x:v>
      </x:c>
      <x:c r="K1002" s="55" t="n">
        <x:v>45162</x:v>
      </x:c>
      <x:c r="L1002" t="str">
        <x:v>Kings</x:v>
      </x:c>
      <x:c r="M1002" t="str">
        <x:v>New York</x:v>
      </x:c>
      <x:c r="N1002" t="str">
        <x:v>DOMESTIC LIMITED LIABILITY COMPANY</x:v>
      </x:c>
      <x:c r="O1002" t="str">
        <x:v>THE LIMITED LIABILITY COMPANY</x:v>
      </x:c>
      <x:c r="P1002" t="str">
        <x:v>1368 Ralph Avenue, Brooklyn, NY, 11236</x:v>
      </x:c>
      <x:c r="Q1002" t="str"/>
      <x:c r="R1002" t="str"/>
      <x:c r="S1002" t="str"/>
      <x:c r="T1002" t="str"/>
      <x:c r="U1002" t="str"/>
      <x:c r="V1002" t="str"/>
      <x:c r="W1002" t="str"/>
      <x:c r="X1002" t="str"/>
      <x:c r="Y1002" t="str">
        <x:v>https://data.ny.gov/Economic-Development/Active-Corporations-Beginning-1800/n9v6-gdp6</x:v>
      </x:c>
    </x:row>
    <x:row r="1003">
      <x:c r="A1003" t="str">
        <x:v>DOS-5-061</x:v>
      </x:c>
      <x:c r="B1003" t="n">
        <x:v>5</x:v>
      </x:c>
      <x:c r="C1003" t="str">
        <x:v>1368 RALPH AVENUE, BROOKLYN, NY, 11236, US</x:v>
      </x:c>
      <x:c r="D1003" t="str">
        <x:v>BARGE REALTY LLC</x:v>
      </x:c>
      <x:c r="E1003" t="str">
        <x:v>BARGE REALTY LLC</x:v>
      </x:c>
      <x:c r="F1003" t="str">
        <x:v>Address-corroborated active match</x:v>
      </x:c>
      <x:c r="G1003" t="n">
        <x:v>1</x:v>
      </x:c>
      <x:c r="H1003" t="n">
        <x:v>2</x:v>
      </x:c>
      <x:c r="I1003" t="str">
        <x:v>2849569</x:v>
      </x:c>
      <x:c r="J1003" t="str">
        <x:v>BARGE REALTY LLC</x:v>
      </x:c>
      <x:c r="K1003" s="55" t="n">
        <x:v>37616</x:v>
      </x:c>
      <x:c r="L1003" t="str">
        <x:v>Kings</x:v>
      </x:c>
      <x:c r="M1003" t="str">
        <x:v>New York</x:v>
      </x:c>
      <x:c r="N1003" t="str">
        <x:v>DOMESTIC LIMITED LIABILITY COMPANY</x:v>
      </x:c>
      <x:c r="O1003" t="str">
        <x:v>BARGE REALTY LLC</x:v>
      </x:c>
      <x:c r="P1003" t="str">
        <x:v>1368 RALPH AVENUE, BROOKLYN, NY, 11236</x:v>
      </x:c>
      <x:c r="Q1003" t="str"/>
      <x:c r="R1003" t="str"/>
      <x:c r="S1003" t="str"/>
      <x:c r="T1003" t="str"/>
      <x:c r="U1003" t="str"/>
      <x:c r="V1003" t="str"/>
      <x:c r="W1003" t="str"/>
      <x:c r="X1003" t="str"/>
      <x:c r="Y1003" t="str">
        <x:v>https://data.ny.gov/Economic-Development/Active-Corporations-Beginning-1800/n9v6-gdp6</x:v>
      </x:c>
    </x:row>
    <x:row r="1004">
      <x:c r="A1004" t="str">
        <x:v>DOS-5-061</x:v>
      </x:c>
      <x:c r="B1004" t="n">
        <x:v>5</x:v>
      </x:c>
      <x:c r="C1004" t="str">
        <x:v>1368 RALPH AVENUE, BROOKLYN, NY, 11236, US</x:v>
      </x:c>
      <x:c r="D1004" t="str">
        <x:v>CHLOE DEVELOPMENT LLC</x:v>
      </x:c>
      <x:c r="E1004" t="str">
        <x:v>CHLOE DEVELOPMENT LLC</x:v>
      </x:c>
      <x:c r="F1004" t="str">
        <x:v>Address-corroborated active match</x:v>
      </x:c>
      <x:c r="G1004" t="n">
        <x:v>1</x:v>
      </x:c>
      <x:c r="H1004" t="n">
        <x:v>2</x:v>
      </x:c>
      <x:c r="I1004" t="str">
        <x:v>7007644</x:v>
      </x:c>
      <x:c r="J1004" t="str">
        <x:v>CHLOE DEVELOPMENT LLC</x:v>
      </x:c>
      <x:c r="K1004" s="55" t="n">
        <x:v>45156</x:v>
      </x:c>
      <x:c r="L1004" t="str">
        <x:v>Kings</x:v>
      </x:c>
      <x:c r="M1004" t="str">
        <x:v>New York</x:v>
      </x:c>
      <x:c r="N1004" t="str">
        <x:v>DOMESTIC LIMITED LIABILITY COMPANY</x:v>
      </x:c>
      <x:c r="O1004" t="str">
        <x:v>THE LIMITED LIABILITY COMPANY</x:v>
      </x:c>
      <x:c r="P1004" t="str">
        <x:v>1368 Ralph Avenue, Brooklyn, NY, 11236</x:v>
      </x:c>
      <x:c r="Q1004" t="str"/>
      <x:c r="R1004" t="str"/>
      <x:c r="S1004" t="str"/>
      <x:c r="T1004" t="str"/>
      <x:c r="U1004" t="str"/>
      <x:c r="V1004" t="str"/>
      <x:c r="W1004" t="str"/>
      <x:c r="X1004" t="str"/>
      <x:c r="Y1004" t="str">
        <x:v>https://data.ny.gov/Economic-Development/Active-Corporations-Beginning-1800/n9v6-gdp6</x:v>
      </x:c>
    </x:row>
    <x:row r="1005">
      <x:c r="A1005" t="str">
        <x:v>DOS-5-061</x:v>
      </x:c>
      <x:c r="B1005" t="n">
        <x:v>5</x:v>
      </x:c>
      <x:c r="C1005" t="str">
        <x:v>1368 RALPH AVENUE, BROOKLYN, NY, 11236, US</x:v>
      </x:c>
      <x:c r="D1005" t="str">
        <x:v>JACAL REALTY AND DEVELOPMENT LLC</x:v>
      </x:c>
      <x:c r="E1005" t="str">
        <x:v>JACAL REALTY &amp; DEVELOPMENT, LLC</x:v>
      </x:c>
      <x:c r="F1005" t="str">
        <x:v>Address-corroborated active match</x:v>
      </x:c>
      <x:c r="G1005" t="n">
        <x:v>1</x:v>
      </x:c>
      <x:c r="H1005" t="n">
        <x:v>2</x:v>
      </x:c>
      <x:c r="I1005" t="str">
        <x:v>4767495</x:v>
      </x:c>
      <x:c r="J1005" t="str">
        <x:v>JACAL REALTY &amp; DEVELOPMENT, LLC</x:v>
      </x:c>
      <x:c r="K1005" s="55" t="n">
        <x:v>42157</x:v>
      </x:c>
      <x:c r="L1005" t="str">
        <x:v>Kings</x:v>
      </x:c>
      <x:c r="M1005" t="str">
        <x:v>New York</x:v>
      </x:c>
      <x:c r="N1005" t="str">
        <x:v>DOMESTIC LIMITED LIABILITY COMPANY</x:v>
      </x:c>
      <x:c r="O1005" t="str">
        <x:v>JACAL REALTY &amp; DEVELOPMENT, LLC</x:v>
      </x:c>
      <x:c r="P1005" t="str">
        <x:v>1368 RALPH AVENUE, BROOKLYN, NY, 11236</x:v>
      </x:c>
      <x:c r="Q1005" t="str"/>
      <x:c r="R1005" t="str"/>
      <x:c r="S1005" t="str"/>
      <x:c r="T1005" t="str"/>
      <x:c r="U1005" t="str"/>
      <x:c r="V1005" t="str"/>
      <x:c r="W1005" t="str"/>
      <x:c r="X1005" t="str"/>
      <x:c r="Y1005" t="str">
        <x:v>https://data.ny.gov/Economic-Development/Active-Corporations-Beginning-1800/n9v6-gdp6</x:v>
      </x:c>
    </x:row>
    <x:row r="1006">
      <x:c r="A1006" t="str">
        <x:v>DOS-5-061</x:v>
      </x:c>
      <x:c r="B1006" t="n">
        <x:v>5</x:v>
      </x:c>
      <x:c r="C1006" t="str">
        <x:v>1368 RALPH AVENUE, BROOKLYN, NY, 11236, US</x:v>
      </x:c>
      <x:c r="D1006" t="str">
        <x:v>NEIL ENTERPRISES LLC</x:v>
      </x:c>
      <x:c r="E1006" t="str">
        <x:v>NEIL ENTERPRISES LLC</x:v>
      </x:c>
      <x:c r="F1006" t="str">
        <x:v>Address-corroborated active match</x:v>
      </x:c>
      <x:c r="G1006" t="n">
        <x:v>1</x:v>
      </x:c>
      <x:c r="H1006" t="n">
        <x:v>2</x:v>
      </x:c>
      <x:c r="I1006" t="str">
        <x:v>5264007</x:v>
      </x:c>
      <x:c r="J1006" t="str">
        <x:v>NEIL ENTERPRISES LLC</x:v>
      </x:c>
      <x:c r="K1006" s="55" t="n">
        <x:v>43110</x:v>
      </x:c>
      <x:c r="L1006" t="str">
        <x:v>Kings</x:v>
      </x:c>
      <x:c r="M1006" t="str">
        <x:v>New York</x:v>
      </x:c>
      <x:c r="N1006" t="str">
        <x:v>DOMESTIC LIMITED LIABILITY COMPANY</x:v>
      </x:c>
      <x:c r="O1006" t="str">
        <x:v>NEIL ENTERPRISES LLC</x:v>
      </x:c>
      <x:c r="P1006" t="str">
        <x:v>1368 RALPH AVENUE, BROOKLYN, NY, 11236</x:v>
      </x:c>
      <x:c r="Q1006" t="str"/>
      <x:c r="R1006" t="str"/>
      <x:c r="S1006" t="str"/>
      <x:c r="T1006" t="str"/>
      <x:c r="U1006" t="str"/>
      <x:c r="V1006" t="str"/>
      <x:c r="W1006" t="str"/>
      <x:c r="X1006" t="str"/>
      <x:c r="Y1006" t="str">
        <x:v>https://data.ny.gov/Economic-Development/Active-Corporations-Beginning-1800/n9v6-gdp6</x:v>
      </x:c>
    </x:row>
    <x:row r="1007">
      <x:c r="A1007" t="str">
        <x:v>DOS-5-062</x:v>
      </x:c>
      <x:c r="B1007" t="n">
        <x:v>5</x:v>
      </x:c>
      <x:c r="C1007" t="str">
        <x:v>147 GREENWAY NORTH, FOREST HILLS, NY, 11375, US</x:v>
      </x:c>
      <x:c r="D1007" t="str">
        <x:v>FOREST HILL 147 LLC</x:v>
      </x:c>
      <x:c r="E1007" t="str">
        <x:v>FOREST HILL 147 LLC</x:v>
      </x:c>
      <x:c r="F1007" t="str">
        <x:v>Active name match</x:v>
      </x:c>
      <x:c r="G1007" t="n">
        <x:v>1</x:v>
      </x:c>
      <x:c r="H1007" t="n">
        <x:v>0</x:v>
      </x:c>
      <x:c r="I1007" t="str">
        <x:v>4323088</x:v>
      </x:c>
      <x:c r="J1007" t="str">
        <x:v>FOREST HILL 147 LLC</x:v>
      </x:c>
      <x:c r="K1007" s="55" t="n">
        <x:v>41234</x:v>
      </x:c>
      <x:c r="L1007" t="str">
        <x:v>Queens</x:v>
      </x:c>
      <x:c r="M1007" t="str">
        <x:v>New York</x:v>
      </x:c>
      <x:c r="N1007" t="str">
        <x:v>DOMESTIC LIMITED LIABILITY COMPANY</x:v>
      </x:c>
      <x:c r="O1007" t="str">
        <x:v>FOREST HILL 147 LLC</x:v>
      </x:c>
      <x:c r="P1007" t="str">
        <x:v>87-01 56TH AVE., ELMHURST, NY, 11373</x:v>
      </x:c>
      <x:c r="Q1007" t="str"/>
      <x:c r="R1007" t="str"/>
      <x:c r="S1007" t="str"/>
      <x:c r="T1007" t="str"/>
      <x:c r="U1007" t="str"/>
      <x:c r="V1007" t="str"/>
      <x:c r="W1007" t="str"/>
      <x:c r="X1007" t="str"/>
      <x:c r="Y1007" t="str">
        <x:v>https://data.ny.gov/Economic-Development/Active-Corporations-Beginning-1800/n9v6-gdp6</x:v>
      </x:c>
    </x:row>
    <x:row r="1008">
      <x:c r="A1008" t="str">
        <x:v>DOS-5-062</x:v>
      </x:c>
      <x:c r="B1008" t="n">
        <x:v>5</x:v>
      </x:c>
      <x:c r="C1008" t="str">
        <x:v>147 GREENWAY NORTH, FOREST HILLS, NY, 11375, US</x:v>
      </x:c>
      <x:c r="D1008" t="str">
        <x:v>WW BROOKLYN REALTY LLC</x:v>
      </x:c>
      <x:c r="E1008" t="str">
        <x:v>WW BROOKLYN REALTY LLC</x:v>
      </x:c>
      <x:c r="F1008" t="str">
        <x:v>Active name match</x:v>
      </x:c>
      <x:c r="G1008" t="n">
        <x:v>1</x:v>
      </x:c>
      <x:c r="H1008" t="n">
        <x:v>0</x:v>
      </x:c>
      <x:c r="I1008" t="str">
        <x:v>4329762</x:v>
      </x:c>
      <x:c r="J1008" t="str">
        <x:v>WW BROOKLYN REALTY LLC</x:v>
      </x:c>
      <x:c r="K1008" s="55" t="n">
        <x:v>41250</x:v>
      </x:c>
      <x:c r="L1008" t="str">
        <x:v>Queens</x:v>
      </x:c>
      <x:c r="M1008" t="str">
        <x:v>New York</x:v>
      </x:c>
      <x:c r="N1008" t="str">
        <x:v>DOMESTIC LIMITED LIABILITY COMPANY</x:v>
      </x:c>
      <x:c r="O1008" t="str">
        <x:v>WW BROOKLYN REALTY LLC</x:v>
      </x:c>
      <x:c r="P1008" t="str">
        <x:v>85-16 QUEENS BLVD, ELMHURST, NY, 11373</x:v>
      </x:c>
      <x:c r="Q1008" t="str"/>
      <x:c r="R1008" t="str"/>
      <x:c r="S1008" t="str"/>
      <x:c r="T1008" t="str"/>
      <x:c r="U1008" t="str"/>
      <x:c r="V1008" t="str"/>
      <x:c r="W1008" t="str"/>
      <x:c r="X1008" t="str"/>
      <x:c r="Y1008" t="str">
        <x:v>https://data.ny.gov/Economic-Development/Active-Corporations-Beginning-1800/n9v6-gdp6</x:v>
      </x:c>
    </x:row>
    <x:row r="1009">
      <x:c r="A1009" t="str">
        <x:v>DOS-5-062</x:v>
      </x:c>
      <x:c r="B1009" t="n">
        <x:v>5</x:v>
      </x:c>
      <x:c r="C1009" t="str">
        <x:v>147 GREENWAY NORTH, FOREST HILLS, NY, 11375, US</x:v>
      </x:c>
      <x:c r="D1009" t="str">
        <x:v>WW CORINA REALTY LLC</x:v>
      </x:c>
      <x:c r="E1009" t="str">
        <x:v>WW CORINA REALTY LLC</x:v>
      </x:c>
      <x:c r="F1009" t="str">
        <x:v>Active name match</x:v>
      </x:c>
      <x:c r="G1009" t="n">
        <x:v>1</x:v>
      </x:c>
      <x:c r="H1009" t="n">
        <x:v>0</x:v>
      </x:c>
      <x:c r="I1009" t="str">
        <x:v>4329752</x:v>
      </x:c>
      <x:c r="J1009" t="str">
        <x:v>WW CORINA REALTY LLC</x:v>
      </x:c>
      <x:c r="K1009" s="55" t="n">
        <x:v>41250</x:v>
      </x:c>
      <x:c r="L1009" t="str">
        <x:v>Queens</x:v>
      </x:c>
      <x:c r="M1009" t="str">
        <x:v>New York</x:v>
      </x:c>
      <x:c r="N1009" t="str">
        <x:v>DOMESTIC LIMITED LIABILITY COMPANY</x:v>
      </x:c>
      <x:c r="O1009" t="str">
        <x:v>WW CORINA REALTY LLC</x:v>
      </x:c>
      <x:c r="P1009" t="str">
        <x:v>85-16 QUEENS BLVD, ELMHURST, NY, 11373</x:v>
      </x:c>
      <x:c r="Q1009" t="str"/>
      <x:c r="R1009" t="str"/>
      <x:c r="S1009" t="str"/>
      <x:c r="T1009" t="str"/>
      <x:c r="U1009" t="str"/>
      <x:c r="V1009" t="str"/>
      <x:c r="W1009" t="str"/>
      <x:c r="X1009" t="str"/>
      <x:c r="Y1009" t="str">
        <x:v>https://data.ny.gov/Economic-Development/Active-Corporations-Beginning-1800/n9v6-gdp6</x:v>
      </x:c>
    </x:row>
    <x:row r="1010">
      <x:c r="A1010" t="str">
        <x:v>DOS-5-062</x:v>
      </x:c>
      <x:c r="B1010" t="n">
        <x:v>5</x:v>
      </x:c>
      <x:c r="C1010" t="str">
        <x:v>147 GREENWAY NORTH, FOREST HILLS, NY, 11375, US</x:v>
      </x:c>
      <x:c r="D1010" t="str">
        <x:v>WW EXECUTIVE PLAZA LLC</x:v>
      </x:c>
      <x:c r="E1010" t="str">
        <x:v>WW EXECUTIVE PLAZA LLC</x:v>
      </x:c>
      <x:c r="F1010" t="str">
        <x:v>Address-corroborated active match</x:v>
      </x:c>
      <x:c r="G1010" t="n">
        <x:v>1</x:v>
      </x:c>
      <x:c r="H1010" t="n">
        <x:v>2</x:v>
      </x:c>
      <x:c r="I1010" t="str">
        <x:v>4975205</x:v>
      </x:c>
      <x:c r="J1010" t="str">
        <x:v>WW EXECUTIVE PLAZA LLC</x:v>
      </x:c>
      <x:c r="K1010" s="55" t="n">
        <x:v>42562</x:v>
      </x:c>
      <x:c r="L1010" t="str">
        <x:v>Queens</x:v>
      </x:c>
      <x:c r="M1010" t="str">
        <x:v>New York</x:v>
      </x:c>
      <x:c r="N1010" t="str">
        <x:v>DOMESTIC LIMITED LIABILITY COMPANY</x:v>
      </x:c>
      <x:c r="O1010" t="str">
        <x:v>WW EXECUTIVE PLAZA LLC</x:v>
      </x:c>
      <x:c r="P1010" t="str">
        <x:v>147 GREENWAY NORTH, FOREST HILLS, NY, 11375</x:v>
      </x:c>
      <x:c r="Q1010" t="str"/>
      <x:c r="R1010" t="str"/>
      <x:c r="S1010" t="str"/>
      <x:c r="T1010" t="str"/>
      <x:c r="U1010" t="str"/>
      <x:c r="V1010" t="str"/>
      <x:c r="W1010" t="str"/>
      <x:c r="X1010" t="str"/>
      <x:c r="Y1010" t="str">
        <x:v>https://data.ny.gov/Economic-Development/Active-Corporations-Beginning-1800/n9v6-gdp6</x:v>
      </x:c>
    </x:row>
    <x:row r="1011">
      <x:c r="A1011" t="str">
        <x:v>DOS-5-062</x:v>
      </x:c>
      <x:c r="B1011" t="n">
        <x:v>5</x:v>
      </x:c>
      <x:c r="C1011" t="str">
        <x:v>147 GREENWAY NORTH, FOREST HILLS, NY, 11375, US</x:v>
      </x:c>
      <x:c r="D1011" t="str">
        <x:v>WW JUSTICE TOWER LLC</x:v>
      </x:c>
      <x:c r="E1011" t="str">
        <x:v>WW JUSTICE TOWER LLC</x:v>
      </x:c>
      <x:c r="F1011" t="str">
        <x:v>Address-corroborated active match</x:v>
      </x:c>
      <x:c r="G1011" t="n">
        <x:v>1</x:v>
      </x:c>
      <x:c r="H1011" t="n">
        <x:v>2</x:v>
      </x:c>
      <x:c r="I1011" t="str">
        <x:v>6021924</x:v>
      </x:c>
      <x:c r="J1011" t="str">
        <x:v>WW JUSTICE TOWER LLC</x:v>
      </x:c>
      <x:c r="K1011" s="55" t="n">
        <x:v>44342</x:v>
      </x:c>
      <x:c r="L1011" t="str">
        <x:v>Queens</x:v>
      </x:c>
      <x:c r="M1011" t="str">
        <x:v>New York</x:v>
      </x:c>
      <x:c r="N1011" t="str">
        <x:v>DOMESTIC LIMITED LIABILITY COMPANY</x:v>
      </x:c>
      <x:c r="O1011" t="str">
        <x:v>WW JUSTICE TOWER LLC</x:v>
      </x:c>
      <x:c r="P1011" t="str">
        <x:v>147 GREENWAY NORTH, FOREST HILLS, NY, 11375</x:v>
      </x:c>
      <x:c r="Q1011" t="str"/>
      <x:c r="R1011" t="str"/>
      <x:c r="S1011" t="str"/>
      <x:c r="T1011" t="str"/>
      <x:c r="U1011" t="str"/>
      <x:c r="V1011" t="str"/>
      <x:c r="W1011" t="str"/>
      <x:c r="X1011" t="str"/>
      <x:c r="Y1011" t="str">
        <x:v>https://data.ny.gov/Economic-Development/Active-Corporations-Beginning-1800/n9v6-gdp6</x:v>
      </x:c>
    </x:row>
    <x:row r="1012">
      <x:c r="A1012" t="str">
        <x:v>DOS-5-063</x:v>
      </x:c>
      <x:c r="B1012" t="n">
        <x:v>5</x:v>
      </x:c>
      <x:c r="C1012" t="str">
        <x:v>14718 HILLSIDE AVENUE, JAMAICA, NY, 11435, US</x:v>
      </x:c>
      <x:c r="D1012" t="str">
        <x:v>63RD SAUNDERS LLC</x:v>
      </x:c>
      <x:c r="E1012" t="str">
        <x:v>63RD SAUNDERS LLC</x:v>
      </x:c>
      <x:c r="F1012" t="str">
        <x:v>Active name match</x:v>
      </x:c>
      <x:c r="G1012" t="n">
        <x:v>1</x:v>
      </x:c>
      <x:c r="H1012" t="n">
        <x:v>1</x:v>
      </x:c>
      <x:c r="I1012" t="str">
        <x:v>7175518</x:v>
      </x:c>
      <x:c r="J1012" t="str">
        <x:v>63RD SAUNDERS LLC</x:v>
      </x:c>
      <x:c r="K1012" s="55" t="n">
        <x:v>45236</x:v>
      </x:c>
      <x:c r="L1012" t="str">
        <x:v>Queens</x:v>
      </x:c>
      <x:c r="M1012" t="str">
        <x:v>New York</x:v>
      </x:c>
      <x:c r="N1012" t="str">
        <x:v>DOMESTIC LIMITED LIABILITY COMPANY</x:v>
      </x:c>
      <x:c r="O1012" t="str">
        <x:v>63RD SAUNDERS LLC</x:v>
      </x:c>
      <x:c r="P1012" t="str">
        <x:v>147-18 hillside ave, JAMAICA, NY, 11435</x:v>
      </x:c>
      <x:c r="Q1012" t="str"/>
      <x:c r="R1012" t="str"/>
      <x:c r="S1012" t="str"/>
      <x:c r="T1012" t="str"/>
      <x:c r="U1012" t="str"/>
      <x:c r="V1012" t="str"/>
      <x:c r="W1012" t="str"/>
      <x:c r="X1012" t="str"/>
      <x:c r="Y1012" t="str">
        <x:v>https://data.ny.gov/Economic-Development/Active-Corporations-Beginning-1800/n9v6-gdp6</x:v>
      </x:c>
    </x:row>
    <x:row r="1013">
      <x:c r="A1013" t="str">
        <x:v>DOS-5-063</x:v>
      </x:c>
      <x:c r="B1013" t="n">
        <x:v>5</x:v>
      </x:c>
      <x:c r="C1013" t="str">
        <x:v>14718 HILLSIDE AVENUE, JAMAICA, NY, 11435, US</x:v>
      </x:c>
      <x:c r="D1013" t="str">
        <x:v>BUTTRICK 123 LLC</x:v>
      </x:c>
      <x:c r="E1013" t="str">
        <x:v>BUTTRICK 123 LLC</x:v>
      </x:c>
      <x:c r="F1013" t="str">
        <x:v>Active name match</x:v>
      </x:c>
      <x:c r="G1013" t="n">
        <x:v>1</x:v>
      </x:c>
      <x:c r="H1013" t="n">
        <x:v>1</x:v>
      </x:c>
      <x:c r="I1013" t="str">
        <x:v>6596115</x:v>
      </x:c>
      <x:c r="J1013" t="str">
        <x:v>BUTTRICK 123 LLC</x:v>
      </x:c>
      <x:c r="K1013" s="55" t="n">
        <x:v>44827</x:v>
      </x:c>
      <x:c r="L1013" t="str">
        <x:v>Queens</x:v>
      </x:c>
      <x:c r="M1013" t="str">
        <x:v>New York</x:v>
      </x:c>
      <x:c r="N1013" t="str">
        <x:v>DOMESTIC LIMITED LIABILITY COMPANY</x:v>
      </x:c>
      <x:c r="O1013" t="str">
        <x:v>Buttrick 123 LLC</x:v>
      </x:c>
      <x:c r="P1013" t="str">
        <x:v>147-18 Hillside Ave, Jamaica, NY, 11435</x:v>
      </x:c>
      <x:c r="Q1013" t="str"/>
      <x:c r="R1013" t="str"/>
      <x:c r="S1013" t="str"/>
      <x:c r="T1013" t="str"/>
      <x:c r="U1013" t="str"/>
      <x:c r="V1013" t="str"/>
      <x:c r="W1013" t="str"/>
      <x:c r="X1013" t="str"/>
      <x:c r="Y1013" t="str">
        <x:v>https://data.ny.gov/Economic-Development/Active-Corporations-Beginning-1800/n9v6-gdp6</x:v>
      </x:c>
    </x:row>
    <x:row r="1014">
      <x:c r="A1014" t="str">
        <x:v>DOS-5-063</x:v>
      </x:c>
      <x:c r="B1014" t="n">
        <x:v>5</x:v>
      </x:c>
      <x:c r="C1014" t="str">
        <x:v>14718 HILLSIDE AVENUE, JAMAICA, NY, 11435, US</x:v>
      </x:c>
      <x:c r="D1014" t="str">
        <x:v>MRT BUYERS LLC</x:v>
      </x:c>
      <x:c r="E1014" t="str">
        <x:v>MRT BUYERS LLC</x:v>
      </x:c>
      <x:c r="F1014" t="str">
        <x:v>Active name match</x:v>
      </x:c>
      <x:c r="G1014" t="n">
        <x:v>1</x:v>
      </x:c>
      <x:c r="H1014" t="n">
        <x:v>1</x:v>
      </x:c>
      <x:c r="I1014" t="str">
        <x:v>7579608</x:v>
      </x:c>
      <x:c r="J1014" t="str">
        <x:v>MRT BUYERS LLC</x:v>
      </x:c>
      <x:c r="K1014" s="55" t="n">
        <x:v>45754</x:v>
      </x:c>
      <x:c r="L1014" t="str">
        <x:v>Queens</x:v>
      </x:c>
      <x:c r="M1014" t="str">
        <x:v>New York</x:v>
      </x:c>
      <x:c r="N1014" t="str">
        <x:v>DOMESTIC LIMITED LIABILITY COMPANY</x:v>
      </x:c>
      <x:c r="O1014" t="str">
        <x:v>MRT BUYERS LLC</x:v>
      </x:c>
      <x:c r="P1014" t="str">
        <x:v>147-18 HILLSIDE AVE, JAMAICA, NY, 11435</x:v>
      </x:c>
      <x:c r="Q1014" t="str"/>
      <x:c r="R1014" t="str"/>
      <x:c r="S1014" t="str"/>
      <x:c r="T1014" t="str"/>
      <x:c r="U1014" t="str"/>
      <x:c r="V1014" t="str"/>
      <x:c r="W1014" t="str"/>
      <x:c r="X1014" t="str"/>
      <x:c r="Y1014" t="str">
        <x:v>https://data.ny.gov/Economic-Development/Active-Corporations-Beginning-1800/n9v6-gdp6</x:v>
      </x:c>
    </x:row>
    <x:row r="1015">
      <x:c r="A1015" t="str">
        <x:v>DOS-5-063</x:v>
      </x:c>
      <x:c r="B1015" t="n">
        <x:v>5</x:v>
      </x:c>
      <x:c r="C1015" t="str">
        <x:v>14718 HILLSIDE AVENUE, JAMAICA, NY, 11435, US</x:v>
      </x:c>
      <x:c r="D1015" t="str">
        <x:v>UNION HALL MAZALITO LLC</x:v>
      </x:c>
      <x:c r="E1015" t="str">
        <x:v>UNION HALL MAZALITO LLC</x:v>
      </x:c>
      <x:c r="F1015" t="str">
        <x:v>Active name match</x:v>
      </x:c>
      <x:c r="G1015" t="n">
        <x:v>1</x:v>
      </x:c>
      <x:c r="H1015" t="n">
        <x:v>1</x:v>
      </x:c>
      <x:c r="I1015" t="str">
        <x:v>7562135</x:v>
      </x:c>
      <x:c r="J1015" t="str">
        <x:v>UNION HALL MAZALITO LLC</x:v>
      </x:c>
      <x:c r="K1015" s="55" t="n">
        <x:v>45734</x:v>
      </x:c>
      <x:c r="L1015" t="str">
        <x:v>Queens</x:v>
      </x:c>
      <x:c r="M1015" t="str">
        <x:v>New York</x:v>
      </x:c>
      <x:c r="N1015" t="str">
        <x:v>DOMESTIC LIMITED LIABILITY COMPANY</x:v>
      </x:c>
      <x:c r="O1015" t="str">
        <x:v>union hall mazalito</x:v>
      </x:c>
      <x:c r="P1015" t="str">
        <x:v>147-18 hillside ave, Jamaica, NY, 11435</x:v>
      </x:c>
      <x:c r="Q1015" t="str"/>
      <x:c r="R1015" t="str"/>
      <x:c r="S1015" t="str"/>
      <x:c r="T1015" t="str"/>
      <x:c r="U1015" t="str"/>
      <x:c r="V1015" t="str"/>
      <x:c r="W1015" t="str"/>
      <x:c r="X1015" t="str"/>
      <x:c r="Y1015" t="str">
        <x:v>https://data.ny.gov/Economic-Development/Active-Corporations-Beginning-1800/n9v6-gdp6</x:v>
      </x:c>
    </x:row>
    <x:row r="1016">
      <x:c r="A1016" t="str">
        <x:v>DOS-5-063</x:v>
      </x:c>
      <x:c r="B1016" t="n">
        <x:v>5</x:v>
      </x:c>
      <x:c r="C1016" t="str">
        <x:v>14718 HILLSIDE AVENUE, JAMAICA, NY, 11435, US</x:v>
      </x:c>
      <x:c r="D1016" t="str">
        <x:v>UTICA 2022 LLC</x:v>
      </x:c>
      <x:c r="E1016" t="str">
        <x:v>UTICA 2022 LLC</x:v>
      </x:c>
      <x:c r="F1016" t="str">
        <x:v>Active name match</x:v>
      </x:c>
      <x:c r="G1016" t="n">
        <x:v>1</x:v>
      </x:c>
      <x:c r="H1016" t="n">
        <x:v>1</x:v>
      </x:c>
      <x:c r="I1016" t="str">
        <x:v>6547088</x:v>
      </x:c>
      <x:c r="J1016" t="str">
        <x:v>UTICA 2022 LLC</x:v>
      </x:c>
      <x:c r="K1016" s="55" t="n">
        <x:v>44770</x:v>
      </x:c>
      <x:c r="L1016" t="str">
        <x:v>Queens</x:v>
      </x:c>
      <x:c r="M1016" t="str">
        <x:v>New York</x:v>
      </x:c>
      <x:c r="N1016" t="str">
        <x:v>DOMESTIC LIMITED LIABILITY COMPANY</x:v>
      </x:c>
      <x:c r="O1016" t="str">
        <x:v>UTICA 2022 LLC</x:v>
      </x:c>
      <x:c r="P1016" t="str">
        <x:v>147-18 hillSIDE AVE, JAMAICA, NY, 11435</x:v>
      </x:c>
      <x:c r="Q1016" t="str"/>
      <x:c r="R1016" t="str"/>
      <x:c r="S1016" t="str"/>
      <x:c r="T1016" t="str"/>
      <x:c r="U1016" t="str"/>
      <x:c r="V1016" t="str"/>
      <x:c r="W1016" t="str"/>
      <x:c r="X1016" t="str"/>
      <x:c r="Y1016" t="str">
        <x:v>https://data.ny.gov/Economic-Development/Active-Corporations-Beginning-1800/n9v6-gdp6</x:v>
      </x:c>
    </x:row>
    <x:row r="1017">
      <x:c r="A1017" t="str">
        <x:v>DOS-5-064</x:v>
      </x:c>
      <x:c r="B1017" t="n">
        <x:v>5</x:v>
      </x:c>
      <x:c r="C1017" t="str">
        <x:v>1600 BEVERLY ROAD, SUITE C1, BROOKLYN, NY, 11226, US</x:v>
      </x:c>
      <x:c r="D1017" t="str">
        <x:v>3933 SECOR LLC</x:v>
      </x:c>
      <x:c r="E1017" t="str">
        <x:v>3933 SECOR LLC</x:v>
      </x:c>
      <x:c r="F1017" t="str">
        <x:v>Active name match</x:v>
      </x:c>
      <x:c r="G1017" t="n">
        <x:v>1</x:v>
      </x:c>
      <x:c r="H1017" t="n">
        <x:v>1</x:v>
      </x:c>
      <x:c r="I1017" t="str">
        <x:v>6009808</x:v>
      </x:c>
      <x:c r="J1017" t="str">
        <x:v>3933 SECOR LLC</x:v>
      </x:c>
      <x:c r="K1017" s="55" t="n">
        <x:v>44326</x:v>
      </x:c>
      <x:c r="L1017" t="str">
        <x:v>Kings</x:v>
      </x:c>
      <x:c r="M1017" t="str">
        <x:v>New York</x:v>
      </x:c>
      <x:c r="N1017" t="str">
        <x:v>DOMESTIC LIMITED LIABILITY COMPANY</x:v>
      </x:c>
      <x:c r="O1017" t="str">
        <x:v>ADLER ROSENBERG &amp; ASSOCIATES LLP</x:v>
      </x:c>
      <x:c r="P1017" t="str">
        <x:v>1600 BEVERLEY ROAD, SUITE C1, BROOKLYN, NY, 11226</x:v>
      </x:c>
      <x:c r="Q1017" t="str"/>
      <x:c r="R1017" t="str"/>
      <x:c r="S1017" t="str"/>
      <x:c r="T1017" t="str"/>
      <x:c r="U1017" t="str"/>
      <x:c r="V1017" t="str"/>
      <x:c r="W1017" t="str"/>
      <x:c r="X1017" t="str"/>
      <x:c r="Y1017" t="str">
        <x:v>https://data.ny.gov/Economic-Development/Active-Corporations-Beginning-1800/n9v6-gdp6</x:v>
      </x:c>
    </x:row>
    <x:row r="1018">
      <x:c r="A1018" t="str">
        <x:v>DOS-5-064</x:v>
      </x:c>
      <x:c r="B1018" t="n">
        <x:v>5</x:v>
      </x:c>
      <x:c r="C1018" t="str">
        <x:v>1600 BEVERLY ROAD, SUITE C1, BROOKLYN, NY, 11226, US</x:v>
      </x:c>
      <x:c r="D1018" t="str">
        <x:v>970 STERLING PLACE LLC</x:v>
      </x:c>
      <x:c r="E1018" t="str">
        <x:v>970 STERLING PLACE LLC</x:v>
      </x:c>
      <x:c r="F1018" t="str">
        <x:v>Active name match</x:v>
      </x:c>
      <x:c r="G1018" t="n">
        <x:v>1</x:v>
      </x:c>
      <x:c r="H1018" t="n">
        <x:v>0</x:v>
      </x:c>
      <x:c r="I1018" t="str">
        <x:v>5947936</x:v>
      </x:c>
      <x:c r="J1018" t="str">
        <x:v>970 STERLING PLACE LLC</x:v>
      </x:c>
      <x:c r="K1018" s="55" t="n">
        <x:v>44251</x:v>
      </x:c>
      <x:c r="L1018" t="str">
        <x:v>Kings</x:v>
      </x:c>
      <x:c r="M1018" t="str">
        <x:v>New York</x:v>
      </x:c>
      <x:c r="N1018" t="str">
        <x:v>DOMESTIC LIMITED LIABILITY COMPANY</x:v>
      </x:c>
      <x:c r="O1018" t="str">
        <x:v>970 STERLING PLACE LLC</x:v>
      </x:c>
      <x:c r="P1018" t="str">
        <x:v>942 51st Street, BROOKLYN, NY, 11219</x:v>
      </x:c>
      <x:c r="Q1018" t="str"/>
      <x:c r="R1018" t="str"/>
      <x:c r="S1018" t="str"/>
      <x:c r="T1018" t="str"/>
      <x:c r="U1018" t="str"/>
      <x:c r="V1018" t="str"/>
      <x:c r="W1018" t="str"/>
      <x:c r="X1018" t="str"/>
      <x:c r="Y1018" t="str">
        <x:v>https://data.ny.gov/Economic-Development/Active-Corporations-Beginning-1800/n9v6-gdp6</x:v>
      </x:c>
    </x:row>
    <x:row r="1019">
      <x:c r="A1019" t="str">
        <x:v>DOS-5-064</x:v>
      </x:c>
      <x:c r="B1019" t="n">
        <x:v>5</x:v>
      </x:c>
      <x:c r="C1019" t="str">
        <x:v>1600 BEVERLY ROAD, SUITE C1, BROOKLYN, NY, 11226, US</x:v>
      </x:c>
      <x:c r="D1019" t="str">
        <x:v>URBAN ADVANCEMENT II LLC</x:v>
      </x:c>
      <x:c r="E1019" t="str">
        <x:v>URBAN ADVANCEMENT II LLC</x:v>
      </x:c>
      <x:c r="F1019" t="str">
        <x:v>No active DOS match</x:v>
      </x:c>
      <x:c r="G1019" t="n">
        <x:v>0</x:v>
      </x:c>
      <x:c r="H1019" t="n">
        <x:v>0</x:v>
      </x:c>
      <x:c r="I1019" t="str"/>
      <x:c r="J1019" t="str"/>
      <x:c r="K1019" s="55" t="str"/>
      <x:c r="L1019" t="str"/>
      <x:c r="M1019" t="str"/>
      <x:c r="N1019" t="str"/>
      <x:c r="O1019" t="str"/>
      <x:c r="P1019" t="str"/>
      <x:c r="Q1019" t="str"/>
      <x:c r="R1019" t="str"/>
      <x:c r="S1019" t="str"/>
      <x:c r="T1019" t="str"/>
      <x:c r="U1019" t="str"/>
      <x:c r="V1019" t="str"/>
      <x:c r="W1019" t="str"/>
      <x:c r="X1019" t="str"/>
      <x:c r="Y1019" t="str">
        <x:v>https://data.ny.gov/Economic-Development/Active-Corporations-Beginning-1800/n9v6-gdp6</x:v>
      </x:c>
    </x:row>
    <x:row r="1020">
      <x:c r="A1020" t="str">
        <x:v>DOS-5-064</x:v>
      </x:c>
      <x:c r="B1020" t="n">
        <x:v>5</x:v>
      </x:c>
      <x:c r="C1020" t="str">
        <x:v>1600 BEVERLY ROAD, SUITE C1, BROOKLYN, NY, 11226, US</x:v>
      </x:c>
      <x:c r="D1020" t="str">
        <x:v>URBAN ADVANCEMENT V LLC</x:v>
      </x:c>
      <x:c r="E1020" t="str">
        <x:v>URBAN ADVANCEMENT V LLC</x:v>
      </x:c>
      <x:c r="F1020" t="str">
        <x:v>No active DOS match</x:v>
      </x:c>
      <x:c r="G1020" t="n">
        <x:v>0</x:v>
      </x:c>
      <x:c r="H1020" t="n">
        <x:v>0</x:v>
      </x:c>
      <x:c r="I1020" t="str"/>
      <x:c r="J1020" t="str"/>
      <x:c r="K1020" s="55" t="str"/>
      <x:c r="L1020" t="str"/>
      <x:c r="M1020" t="str"/>
      <x:c r="N1020" t="str"/>
      <x:c r="O1020" t="str"/>
      <x:c r="P1020" t="str"/>
      <x:c r="Q1020" t="str"/>
      <x:c r="R1020" t="str"/>
      <x:c r="S1020" t="str"/>
      <x:c r="T1020" t="str"/>
      <x:c r="U1020" t="str"/>
      <x:c r="V1020" t="str"/>
      <x:c r="W1020" t="str"/>
      <x:c r="X1020" t="str"/>
      <x:c r="Y1020" t="str">
        <x:v>https://data.ny.gov/Economic-Development/Active-Corporations-Beginning-1800/n9v6-gdp6</x:v>
      </x:c>
    </x:row>
    <x:row r="1021">
      <x:c r="A1021" t="str">
        <x:v>DOS-5-064</x:v>
      </x:c>
      <x:c r="B1021" t="n">
        <x:v>5</x:v>
      </x:c>
      <x:c r="C1021" t="str">
        <x:v>1600 BEVERLY ROAD, SUITE C1, BROOKLYN, NY, 11226, US</x:v>
      </x:c>
      <x:c r="D1021" t="str">
        <x:v>URBAN ADVANCEMENT VI LLC</x:v>
      </x:c>
      <x:c r="E1021" t="str">
        <x:v>URBAN ADVANCEMENT VI LLC</x:v>
      </x:c>
      <x:c r="F1021" t="str">
        <x:v>No active DOS match</x:v>
      </x:c>
      <x:c r="G1021" t="n">
        <x:v>0</x:v>
      </x:c>
      <x:c r="H1021" t="n">
        <x:v>0</x:v>
      </x:c>
      <x:c r="I1021" t="str"/>
      <x:c r="J1021" t="str"/>
      <x:c r="K1021" s="55" t="str"/>
      <x:c r="L1021" t="str"/>
      <x:c r="M1021" t="str"/>
      <x:c r="N1021" t="str"/>
      <x:c r="O1021" t="str"/>
      <x:c r="P1021" t="str"/>
      <x:c r="Q1021" t="str"/>
      <x:c r="R1021" t="str"/>
      <x:c r="S1021" t="str"/>
      <x:c r="T1021" t="str"/>
      <x:c r="U1021" t="str"/>
      <x:c r="V1021" t="str"/>
      <x:c r="W1021" t="str"/>
      <x:c r="X1021" t="str"/>
      <x:c r="Y1021" t="str">
        <x:v>https://data.ny.gov/Economic-Development/Active-Corporations-Beginning-1800/n9v6-gdp6</x:v>
      </x:c>
    </x:row>
    <x:row r="1022">
      <x:c r="A1022" t="str">
        <x:v>DOS-5-065</x:v>
      </x:c>
      <x:c r="B1022" t="n">
        <x:v>5</x:v>
      </x:c>
      <x:c r="C1022" t="str">
        <x:v>1682 86TH STREET, BROOKLYN, NY, 11214, US</x:v>
      </x:c>
      <x:c r="D1022" t="str">
        <x:v>1682 86TH STREET REALTY LLC</x:v>
      </x:c>
      <x:c r="E1022" t="str">
        <x:v>1682 86TH STREET REALTY LLC</x:v>
      </x:c>
      <x:c r="F1022" t="str">
        <x:v>Address-corroborated active match</x:v>
      </x:c>
      <x:c r="G1022" t="n">
        <x:v>1</x:v>
      </x:c>
      <x:c r="H1022" t="n">
        <x:v>2</x:v>
      </x:c>
      <x:c r="I1022" t="str">
        <x:v>3709772</x:v>
      </x:c>
      <x:c r="J1022" t="str">
        <x:v>1682 86TH STREET REALTY LLC</x:v>
      </x:c>
      <x:c r="K1022" s="55" t="n">
        <x:v>39675</x:v>
      </x:c>
      <x:c r="L1022" t="str">
        <x:v>Kings</x:v>
      </x:c>
      <x:c r="M1022" t="str">
        <x:v>New York</x:v>
      </x:c>
      <x:c r="N1022" t="str">
        <x:v>DOMESTIC LIMITED LIABILITY COMPANY</x:v>
      </x:c>
      <x:c r="O1022" t="str">
        <x:v>1682 86TH STREET REALTY LLC</x:v>
      </x:c>
      <x:c r="P1022" t="str">
        <x:v>1682 86TH STREET, BROOKLYN, NY, 11214</x:v>
      </x:c>
      <x:c r="Q1022" t="str"/>
      <x:c r="R1022" t="str"/>
      <x:c r="S1022" t="str"/>
      <x:c r="T1022" t="str"/>
      <x:c r="U1022" t="str"/>
      <x:c r="V1022" t="str"/>
      <x:c r="W1022" t="str"/>
      <x:c r="X1022" t="str"/>
      <x:c r="Y1022" t="str">
        <x:v>https://data.ny.gov/Economic-Development/Active-Corporations-Beginning-1800/n9v6-gdp6</x:v>
      </x:c>
    </x:row>
    <x:row r="1023">
      <x:c r="A1023" t="str">
        <x:v>DOS-5-065</x:v>
      </x:c>
      <x:c r="B1023" t="n">
        <x:v>5</x:v>
      </x:c>
      <x:c r="C1023" t="str">
        <x:v>1682 86TH STREET, BROOKLYN, NY, 11214, US</x:v>
      </x:c>
      <x:c r="D1023" t="str">
        <x:v>1720 WEST 11TH STREET REALTY LLC</x:v>
      </x:c>
      <x:c r="E1023" t="str">
        <x:v>1720 WEST 11TH STREET REALTY LLC</x:v>
      </x:c>
      <x:c r="F1023" t="str">
        <x:v>No active DOS match</x:v>
      </x:c>
      <x:c r="G1023" t="n">
        <x:v>0</x:v>
      </x:c>
      <x:c r="H1023" t="n">
        <x:v>0</x:v>
      </x:c>
      <x:c r="I1023" t="str"/>
      <x:c r="J1023" t="str"/>
      <x:c r="K1023" s="55" t="str"/>
      <x:c r="L1023" t="str"/>
      <x:c r="M1023" t="str"/>
      <x:c r="N1023" t="str"/>
      <x:c r="O1023" t="str"/>
      <x:c r="P1023" t="str"/>
      <x:c r="Q1023" t="str"/>
      <x:c r="R1023" t="str"/>
      <x:c r="S1023" t="str"/>
      <x:c r="T1023" t="str"/>
      <x:c r="U1023" t="str"/>
      <x:c r="V1023" t="str"/>
      <x:c r="W1023" t="str"/>
      <x:c r="X1023" t="str"/>
      <x:c r="Y1023" t="str">
        <x:v>https://data.ny.gov/Economic-Development/Active-Corporations-Beginning-1800/n9v6-gdp6</x:v>
      </x:c>
    </x:row>
    <x:row r="1024">
      <x:c r="A1024" t="str">
        <x:v>DOS-5-065</x:v>
      </x:c>
      <x:c r="B1024" t="n">
        <x:v>5</x:v>
      </x:c>
      <x:c r="C1024" t="str">
        <x:v>1682 86TH STREET, BROOKLYN, NY, 11214, US</x:v>
      </x:c>
      <x:c r="D1024" t="str">
        <x:v>2438 40 STILLWELL AVE LLC</x:v>
      </x:c>
      <x:c r="E1024" t="str">
        <x:v>2438-40 STILLWELL AVE LLC</x:v>
      </x:c>
      <x:c r="F1024" t="str">
        <x:v>Address-corroborated active match</x:v>
      </x:c>
      <x:c r="G1024" t="n">
        <x:v>1</x:v>
      </x:c>
      <x:c r="H1024" t="n">
        <x:v>2</x:v>
      </x:c>
      <x:c r="I1024" t="str">
        <x:v>3197621</x:v>
      </x:c>
      <x:c r="J1024" t="str">
        <x:v>2438-40 STILLWELL AVE LLC</x:v>
      </x:c>
      <x:c r="K1024" s="55" t="n">
        <x:v>38470</x:v>
      </x:c>
      <x:c r="L1024" t="str">
        <x:v>Kings</x:v>
      </x:c>
      <x:c r="M1024" t="str">
        <x:v>New York</x:v>
      </x:c>
      <x:c r="N1024" t="str">
        <x:v>DOMESTIC LIMITED LIABILITY COMPANY</x:v>
      </x:c>
      <x:c r="O1024" t="str">
        <x:v>COMPOSTO &amp; FELICIA</x:v>
      </x:c>
      <x:c r="P1024" t="str">
        <x:v>1682 86TH STREET, BROOKLYN, NY, 11214</x:v>
      </x:c>
      <x:c r="Q1024" t="str"/>
      <x:c r="R1024" t="str"/>
      <x:c r="S1024" t="str"/>
      <x:c r="T1024" t="str"/>
      <x:c r="U1024" t="str"/>
      <x:c r="V1024" t="str"/>
      <x:c r="W1024" t="str"/>
      <x:c r="X1024" t="str"/>
      <x:c r="Y1024" t="str">
        <x:v>https://data.ny.gov/Economic-Development/Active-Corporations-Beginning-1800/n9v6-gdp6</x:v>
      </x:c>
    </x:row>
    <x:row r="1025">
      <x:c r="A1025" t="str">
        <x:v>DOS-5-065</x:v>
      </x:c>
      <x:c r="B1025" t="n">
        <x:v>5</x:v>
      </x:c>
      <x:c r="C1025" t="str">
        <x:v>1682 86TH STREET, BROOKLYN, NY, 11214, US</x:v>
      </x:c>
      <x:c r="D1025" t="str">
        <x:v>RUTINO REALTY LLC</x:v>
      </x:c>
      <x:c r="E1025" t="str">
        <x:v>RUTINO REALTY LLC</x:v>
      </x:c>
      <x:c r="F1025" t="str">
        <x:v>Active name match</x:v>
      </x:c>
      <x:c r="G1025" t="n">
        <x:v>1</x:v>
      </x:c>
      <x:c r="H1025" t="n">
        <x:v>0</x:v>
      </x:c>
      <x:c r="I1025" t="str">
        <x:v>5256228</x:v>
      </x:c>
      <x:c r="J1025" t="str">
        <x:v>RUTINO REALTY LLC</x:v>
      </x:c>
      <x:c r="K1025" s="55" t="n">
        <x:v>43096</x:v>
      </x:c>
      <x:c r="L1025" t="str">
        <x:v>Kings</x:v>
      </x:c>
      <x:c r="M1025" t="str">
        <x:v>New York</x:v>
      </x:c>
      <x:c r="N1025" t="str">
        <x:v>DOMESTIC LIMITED LIABILITY COMPANY</x:v>
      </x:c>
      <x:c r="O1025" t="str">
        <x:v>SILVANA TARDIO</x:v>
      </x:c>
      <x:c r="P1025" t="str">
        <x:v>7113 11TH AVENUE, BROOKLYN, NY, 11228</x:v>
      </x:c>
      <x:c r="Q1025" t="str"/>
      <x:c r="R1025" t="str"/>
      <x:c r="S1025" t="str"/>
      <x:c r="T1025" t="str"/>
      <x:c r="U1025" t="str"/>
      <x:c r="V1025" t="str"/>
      <x:c r="W1025" t="str"/>
      <x:c r="X1025" t="str"/>
      <x:c r="Y1025" t="str">
        <x:v>https://data.ny.gov/Economic-Development/Active-Corporations-Beginning-1800/n9v6-gdp6</x:v>
      </x:c>
    </x:row>
    <x:row r="1026">
      <x:c r="A1026" t="str">
        <x:v>DOS-5-065</x:v>
      </x:c>
      <x:c r="B1026" t="n">
        <x:v>5</x:v>
      </x:c>
      <x:c r="C1026" t="str">
        <x:v>1682 86TH STREET, BROOKLYN, NY, 11214, US</x:v>
      </x:c>
      <x:c r="D1026" t="str">
        <x:v>STILLWELL MANAGEMENT LLC</x:v>
      </x:c>
      <x:c r="E1026" t="str">
        <x:v>STILLWELL MANAGEMENT LLC</x:v>
      </x:c>
      <x:c r="F1026" t="str">
        <x:v>Address-corroborated active match</x:v>
      </x:c>
      <x:c r="G1026" t="n">
        <x:v>1</x:v>
      </x:c>
      <x:c r="H1026" t="n">
        <x:v>2</x:v>
      </x:c>
      <x:c r="I1026" t="str">
        <x:v>5590732</x:v>
      </x:c>
      <x:c r="J1026" t="str">
        <x:v>STILLWELL MANAGEMENT LLC</x:v>
      </x:c>
      <x:c r="K1026" s="55" t="n">
        <x:v>43668</x:v>
      </x:c>
      <x:c r="L1026" t="str">
        <x:v>Kings</x:v>
      </x:c>
      <x:c r="M1026" t="str">
        <x:v>New York</x:v>
      </x:c>
      <x:c r="N1026" t="str">
        <x:v>DOMESTIC LIMITED LIABILITY COMPANY</x:v>
      </x:c>
      <x:c r="O1026" t="str">
        <x:v>STILLWELL MANAGEMENT LLC</x:v>
      </x:c>
      <x:c r="P1026" t="str">
        <x:v>1682 86TH STREET, BROOKLYN, NY, 11214</x:v>
      </x:c>
      <x:c r="Q1026" t="str"/>
      <x:c r="R1026" t="str"/>
      <x:c r="S1026" t="str"/>
      <x:c r="T1026" t="str"/>
      <x:c r="U1026" t="str"/>
      <x:c r="V1026" t="str"/>
      <x:c r="W1026" t="str"/>
      <x:c r="X1026" t="str"/>
      <x:c r="Y1026" t="str">
        <x:v>https://data.ny.gov/Economic-Development/Active-Corporations-Beginning-1800/n9v6-gdp6</x:v>
      </x:c>
    </x:row>
    <x:row r="1027">
      <x:c r="A1027" t="str">
        <x:v>DOS-5-066</x:v>
      </x:c>
      <x:c r="B1027" t="n">
        <x:v>5</x:v>
      </x:c>
      <x:c r="C1027" t="str">
        <x:v>1810 COLDEN AVENUE, BRONX, NY, 10462, US</x:v>
      </x:c>
      <x:c r="D1027" t="str">
        <x:v>DELRUSS LLC</x:v>
      </x:c>
      <x:c r="E1027" t="str">
        <x:v>DELRUSS LLC</x:v>
      </x:c>
      <x:c r="F1027" t="str">
        <x:v>Active name match</x:v>
      </x:c>
      <x:c r="G1027" t="n">
        <x:v>1</x:v>
      </x:c>
      <x:c r="H1027" t="n">
        <x:v>0</x:v>
      </x:c>
      <x:c r="I1027" t="str">
        <x:v>2649669</x:v>
      </x:c>
      <x:c r="J1027" t="str">
        <x:v>DELRUSS LLC</x:v>
      </x:c>
      <x:c r="K1027" s="55" t="n">
        <x:v>37055</x:v>
      </x:c>
      <x:c r="L1027" t="str">
        <x:v>Bronx</x:v>
      </x:c>
      <x:c r="M1027" t="str">
        <x:v>New York</x:v>
      </x:c>
      <x:c r="N1027" t="str">
        <x:v>DOMESTIC LIMITED LIABILITY COMPANY</x:v>
      </x:c>
      <x:c r="O1027" t="str">
        <x:v>DELRUSS LLC</x:v>
      </x:c>
      <x:c r="P1027" t="str">
        <x:v>219 R. Wolfs Lane, Pelham, NY, 10803</x:v>
      </x:c>
      <x:c r="Q1027" t="str"/>
      <x:c r="R1027" t="str"/>
      <x:c r="S1027" t="str"/>
      <x:c r="T1027" t="str"/>
      <x:c r="U1027" t="str"/>
      <x:c r="V1027" t="str"/>
      <x:c r="W1027" t="str"/>
      <x:c r="X1027" t="str"/>
      <x:c r="Y1027" t="str">
        <x:v>https://data.ny.gov/Economic-Development/Active-Corporations-Beginning-1800/n9v6-gdp6</x:v>
      </x:c>
    </x:row>
    <x:row r="1028">
      <x:c r="A1028" t="str">
        <x:v>DOS-5-066</x:v>
      </x:c>
      <x:c r="B1028" t="n">
        <x:v>5</x:v>
      </x:c>
      <x:c r="C1028" t="str">
        <x:v>1810 COLDEN AVENUE, BRONX, NY, 10462, US</x:v>
      </x:c>
      <x:c r="D1028" t="str">
        <x:v>GIGI LLC</x:v>
      </x:c>
      <x:c r="E1028" t="str">
        <x:v>GIGI LLC</x:v>
      </x:c>
      <x:c r="F1028" t="str">
        <x:v>Active name match</x:v>
      </x:c>
      <x:c r="G1028" t="n">
        <x:v>1</x:v>
      </x:c>
      <x:c r="H1028" t="n">
        <x:v>0</x:v>
      </x:c>
      <x:c r="I1028" t="str">
        <x:v>2649672</x:v>
      </x:c>
      <x:c r="J1028" t="str">
        <x:v>GIGI LLC</x:v>
      </x:c>
      <x:c r="K1028" s="55" t="n">
        <x:v>37055</x:v>
      </x:c>
      <x:c r="L1028" t="str">
        <x:v>Bronx</x:v>
      </x:c>
      <x:c r="M1028" t="str">
        <x:v>New York</x:v>
      </x:c>
      <x:c r="N1028" t="str">
        <x:v>DOMESTIC LIMITED LIABILITY COMPANY</x:v>
      </x:c>
      <x:c r="O1028" t="str">
        <x:v>GIGI LLC</x:v>
      </x:c>
      <x:c r="P1028" t="str">
        <x:v>219 R. Wolfs Lane, Pelham, NY, 10803</x:v>
      </x:c>
      <x:c r="Q1028" t="str"/>
      <x:c r="R1028" t="str"/>
      <x:c r="S1028" t="str"/>
      <x:c r="T1028" t="str"/>
      <x:c r="U1028" t="str"/>
      <x:c r="V1028" t="str"/>
      <x:c r="W1028" t="str"/>
      <x:c r="X1028" t="str"/>
      <x:c r="Y1028" t="str">
        <x:v>https://data.ny.gov/Economic-Development/Active-Corporations-Beginning-1800/n9v6-gdp6</x:v>
      </x:c>
    </x:row>
    <x:row r="1029">
      <x:c r="A1029" t="str">
        <x:v>DOS-5-066</x:v>
      </x:c>
      <x:c r="B1029" t="n">
        <x:v>5</x:v>
      </x:c>
      <x:c r="C1029" t="str">
        <x:v>1810 COLDEN AVENUE, BRONX, NY, 10462, US</x:v>
      </x:c>
      <x:c r="D1029" t="str">
        <x:v>JOEFRANK LLC</x:v>
      </x:c>
      <x:c r="E1029" t="str">
        <x:v>JOEFRANK LLC</x:v>
      </x:c>
      <x:c r="F1029" t="str">
        <x:v>Address-corroborated active match</x:v>
      </x:c>
      <x:c r="G1029" t="n">
        <x:v>1</x:v>
      </x:c>
      <x:c r="H1029" t="n">
        <x:v>2</x:v>
      </x:c>
      <x:c r="I1029" t="str">
        <x:v>7320960</x:v>
      </x:c>
      <x:c r="J1029" t="str">
        <x:v>JOEFRANK LLC</x:v>
      </x:c>
      <x:c r="K1029" s="55" t="n">
        <x:v>45418</x:v>
      </x:c>
      <x:c r="L1029" t="str">
        <x:v>Bronx</x:v>
      </x:c>
      <x:c r="M1029" t="str">
        <x:v>New York</x:v>
      </x:c>
      <x:c r="N1029" t="str">
        <x:v>DOMESTIC LIMITED LIABILITY COMPANY</x:v>
      </x:c>
      <x:c r="O1029" t="str">
        <x:v>THE LIMITED LIABILITY COMPANY</x:v>
      </x:c>
      <x:c r="P1029" t="str">
        <x:v>1810 COLDEN AVENUE, BRONX, NY, 10462</x:v>
      </x:c>
      <x:c r="Q1029" t="str"/>
      <x:c r="R1029" t="str"/>
      <x:c r="S1029" t="str"/>
      <x:c r="T1029" t="str"/>
      <x:c r="U1029" t="str"/>
      <x:c r="V1029" t="str"/>
      <x:c r="W1029" t="str"/>
      <x:c r="X1029" t="str"/>
      <x:c r="Y1029" t="str">
        <x:v>https://data.ny.gov/Economic-Development/Active-Corporations-Beginning-1800/n9v6-gdp6</x:v>
      </x:c>
    </x:row>
    <x:row r="1030">
      <x:c r="A1030" t="str">
        <x:v>DOS-5-066</x:v>
      </x:c>
      <x:c r="B1030" t="n">
        <x:v>5</x:v>
      </x:c>
      <x:c r="C1030" t="str">
        <x:v>1810 COLDEN AVENUE, BRONX, NY, 10462, US</x:v>
      </x:c>
      <x:c r="D1030" t="str">
        <x:v>S F 11 LLC</x:v>
      </x:c>
      <x:c r="E1030" t="str">
        <x:v>S.F. 11 LLC</x:v>
      </x:c>
      <x:c r="F1030" t="str">
        <x:v>Active name match</x:v>
      </x:c>
      <x:c r="G1030" t="n">
        <x:v>1</x:v>
      </x:c>
      <x:c r="H1030" t="n">
        <x:v>0</x:v>
      </x:c>
      <x:c r="I1030" t="str">
        <x:v>3779996</x:v>
      </x:c>
      <x:c r="J1030" t="str">
        <x:v>S.F. 11 LLC</x:v>
      </x:c>
      <x:c r="K1030" s="55" t="n">
        <x:v>39871</x:v>
      </x:c>
      <x:c r="L1030" t="str">
        <x:v>Bronx</x:v>
      </x:c>
      <x:c r="M1030" t="str">
        <x:v>New York</x:v>
      </x:c>
      <x:c r="N1030" t="str">
        <x:v>DOMESTIC LIMITED LIABILITY COMPANY</x:v>
      </x:c>
      <x:c r="O1030" t="str">
        <x:v>SF 11 LLC</x:v>
      </x:c>
      <x:c r="P1030" t="str">
        <x:v>1810 COLDEN AVENUE, BRONX, NY, 10426</x:v>
      </x:c>
      <x:c r="Q1030" t="str"/>
      <x:c r="R1030" t="str"/>
      <x:c r="S1030" t="str">
        <x:v>C T CORPORATION SYSTEM</x:v>
      </x:c>
      <x:c r="T1030" t="str">
        <x:v>28 LIBERTY ST., NEW YORK, NEW YORK, 10005</x:v>
      </x:c>
      <x:c r="U1030" t="str"/>
      <x:c r="V1030" t="str"/>
      <x:c r="W1030" t="str"/>
      <x:c r="X1030" t="str"/>
      <x:c r="Y1030" t="str">
        <x:v>https://data.ny.gov/Economic-Development/Active-Corporations-Beginning-1800/n9v6-gdp6</x:v>
      </x:c>
    </x:row>
    <x:row r="1031">
      <x:c r="A1031" t="str">
        <x:v>DOS-5-066</x:v>
      </x:c>
      <x:c r="B1031" t="n">
        <x:v>5</x:v>
      </x:c>
      <x:c r="C1031" t="str">
        <x:v>1810 COLDEN AVENUE, BRONX, NY, 10462, US</x:v>
      </x:c>
      <x:c r="D1031" t="str">
        <x:v>SEWARD BEACH LLC</x:v>
      </x:c>
      <x:c r="E1031" t="str">
        <x:v>SEWARD BEACH LLC</x:v>
      </x:c>
      <x:c r="F1031" t="str">
        <x:v>Address-corroborated active match</x:v>
      </x:c>
      <x:c r="G1031" t="n">
        <x:v>1</x:v>
      </x:c>
      <x:c r="H1031" t="n">
        <x:v>2</x:v>
      </x:c>
      <x:c r="I1031" t="str">
        <x:v>5868678</x:v>
      </x:c>
      <x:c r="J1031" t="str">
        <x:v>SEWARD BEACH LLC</x:v>
      </x:c>
      <x:c r="K1031" s="55" t="n">
        <x:v>44134</x:v>
      </x:c>
      <x:c r="L1031" t="str">
        <x:v>Bronx</x:v>
      </x:c>
      <x:c r="M1031" t="str">
        <x:v>New York</x:v>
      </x:c>
      <x:c r="N1031" t="str">
        <x:v>DOMESTIC LIMITED LIABILITY COMPANY</x:v>
      </x:c>
      <x:c r="O1031" t="str">
        <x:v>SALVATORE RUSSO AND FRANK DELPONTE</x:v>
      </x:c>
      <x:c r="P1031" t="str">
        <x:v>1810 COLDEN AVENUE, BRONX, NY, 10462</x:v>
      </x:c>
      <x:c r="Q1031" t="str"/>
      <x:c r="R1031" t="str"/>
      <x:c r="S1031" t="str"/>
      <x:c r="T1031" t="str"/>
      <x:c r="U1031" t="str"/>
      <x:c r="V1031" t="str"/>
      <x:c r="W1031" t="str"/>
      <x:c r="X1031" t="str"/>
      <x:c r="Y1031" t="str">
        <x:v>https://data.ny.gov/Economic-Development/Active-Corporations-Beginning-1800/n9v6-gdp6</x:v>
      </x:c>
    </x:row>
    <x:row r="1032">
      <x:c r="A1032" t="str">
        <x:v>DOS-5-067</x:v>
      </x:c>
      <x:c r="B1032" t="n">
        <x:v>5</x:v>
      </x:c>
      <x:c r="C1032" t="str">
        <x:v>183 WILSON STREET #133, BROOKLYN, NY, 11211, US | 183 WILSON STREET, #133, BROOKLYN, NY, 11211, US</x:v>
      </x:c>
      <x:c r="D1032" t="str">
        <x:v>6 HAVEMEYER STREET LLC</x:v>
      </x:c>
      <x:c r="E1032" t="str">
        <x:v>6 HAVEMEYER STREET LLC</x:v>
      </x:c>
      <x:c r="F1032" t="str">
        <x:v>Active name match</x:v>
      </x:c>
      <x:c r="G1032" t="n">
        <x:v>1</x:v>
      </x:c>
      <x:c r="H1032" t="n">
        <x:v>1</x:v>
      </x:c>
      <x:c r="I1032" t="str">
        <x:v>7079050</x:v>
      </x:c>
      <x:c r="J1032" t="str">
        <x:v>6 HAVEMEYER STREET LLC</x:v>
      </x:c>
      <x:c r="K1032" s="55" t="n">
        <x:v>45182</x:v>
      </x:c>
      <x:c r="L1032" t="str">
        <x:v>Albany</x:v>
      </x:c>
      <x:c r="M1032" t="str">
        <x:v>New York</x:v>
      </x:c>
      <x:c r="N1032" t="str">
        <x:v>DOMESTIC LIMITED LIABILITY COMPANY</x:v>
      </x:c>
      <x:c r="O1032" t="str">
        <x:v>6 HAVEMEYER STREET LLC</x:v>
      </x:c>
      <x:c r="P1032" t="str">
        <x:v>183 WILSON ST STE 133, BROOKLYN, NY, 11211</x:v>
      </x:c>
      <x:c r="Q1032" t="str"/>
      <x:c r="R1032" t="str"/>
      <x:c r="S1032" t="str"/>
      <x:c r="T1032" t="str"/>
      <x:c r="U1032" t="str"/>
      <x:c r="V1032" t="str"/>
      <x:c r="W1032" t="str"/>
      <x:c r="X1032" t="str"/>
      <x:c r="Y1032" t="str">
        <x:v>https://data.ny.gov/Economic-Development/Active-Corporations-Beginning-1800/n9v6-gdp6</x:v>
      </x:c>
    </x:row>
    <x:row r="1033">
      <x:c r="A1033" t="str">
        <x:v>DOS-5-067</x:v>
      </x:c>
      <x:c r="B1033" t="n">
        <x:v>5</x:v>
      </x:c>
      <x:c r="C1033" t="str">
        <x:v>183 WILSON STREET #133, BROOKLYN, NY, 11211, US | 183 WILSON STREET, #133, BROOKLYN, NY, 11211, US</x:v>
      </x:c>
      <x:c r="D1033" t="str">
        <x:v>GRAHAM ASSETS LLC</x:v>
      </x:c>
      <x:c r="E1033" t="str">
        <x:v>GRAHAM ASSETS LLC</x:v>
      </x:c>
      <x:c r="F1033" t="str">
        <x:v>Active name match</x:v>
      </x:c>
      <x:c r="G1033" t="n">
        <x:v>1</x:v>
      </x:c>
      <x:c r="H1033" t="n">
        <x:v>0</x:v>
      </x:c>
      <x:c r="I1033" t="str">
        <x:v>5342961</x:v>
      </x:c>
      <x:c r="J1033" t="str">
        <x:v>GRAHAM ASSETS LLC</x:v>
      </x:c>
      <x:c r="K1033" s="55" t="n">
        <x:v>43236</x:v>
      </x:c>
      <x:c r="L1033" t="str">
        <x:v>Albany</x:v>
      </x:c>
      <x:c r="M1033" t="str">
        <x:v>New York</x:v>
      </x:c>
      <x:c r="N1033" t="str">
        <x:v>DOMESTIC LIMITED LIABILITY COMPANY</x:v>
      </x:c>
      <x:c r="O1033" t="str">
        <x:v>GRAHAM ASSETS LLC</x:v>
      </x:c>
      <x:c r="P1033" t="str">
        <x:v>100A BROADWAY, SUITE 236, BROOKLYN, NY, 11249</x:v>
      </x:c>
      <x:c r="Q1033" t="str"/>
      <x:c r="R1033" t="str"/>
      <x:c r="S1033" t="str"/>
      <x:c r="T1033" t="str"/>
      <x:c r="U1033" t="str"/>
      <x:c r="V1033" t="str"/>
      <x:c r="W1033" t="str"/>
      <x:c r="X1033" t="str"/>
      <x:c r="Y1033" t="str">
        <x:v>https://data.ny.gov/Economic-Development/Active-Corporations-Beginning-1800/n9v6-gdp6</x:v>
      </x:c>
    </x:row>
    <x:row r="1034">
      <x:c r="A1034" t="str">
        <x:v>DOS-5-067</x:v>
      </x:c>
      <x:c r="B1034" t="n">
        <x:v>5</x:v>
      </x:c>
      <x:c r="C1034" t="str">
        <x:v>183 WILSON STREET #133, BROOKLYN, NY, 11211, US | 183 WILSON STREET, #133, BROOKLYN, NY, 11211, US</x:v>
      </x:c>
      <x:c r="D1034" t="str">
        <x:v>SOUTHSIDE UNITS LLC</x:v>
      </x:c>
      <x:c r="E1034" t="str">
        <x:v>SOUTHSIDE UNITS, LLC</x:v>
      </x:c>
      <x:c r="F1034" t="str">
        <x:v>Address-corroborated active match</x:v>
      </x:c>
      <x:c r="G1034" t="n">
        <x:v>1</x:v>
      </x:c>
      <x:c r="H1034" t="n">
        <x:v>2</x:v>
      </x:c>
      <x:c r="I1034" t="str">
        <x:v>3020075</x:v>
      </x:c>
      <x:c r="J1034" t="str">
        <x:v>SOUTHSIDE UNITS, LLC</x:v>
      </x:c>
      <x:c r="K1034" s="55" t="n">
        <x:v>38047</x:v>
      </x:c>
      <x:c r="L1034" t="str">
        <x:v>Kings</x:v>
      </x:c>
      <x:c r="M1034" t="str">
        <x:v>New York</x:v>
      </x:c>
      <x:c r="N1034" t="str">
        <x:v>DOMESTIC LIMITED LIABILITY COMPANY</x:v>
      </x:c>
      <x:c r="O1034" t="str">
        <x:v>SOUTHSIDE UNITS, LLC</x:v>
      </x:c>
      <x:c r="P1034" t="str">
        <x:v>183 WILSON STREET / #133, BROOKLYN, NY, 11211</x:v>
      </x:c>
      <x:c r="Q1034" t="str"/>
      <x:c r="R1034" t="str"/>
      <x:c r="S1034" t="str"/>
      <x:c r="T1034" t="str"/>
      <x:c r="U1034" t="str"/>
      <x:c r="V1034" t="str"/>
      <x:c r="W1034" t="str"/>
      <x:c r="X1034" t="str"/>
      <x:c r="Y1034" t="str">
        <x:v>https://data.ny.gov/Economic-Development/Active-Corporations-Beginning-1800/n9v6-gdp6</x:v>
      </x:c>
    </x:row>
    <x:row r="1035">
      <x:c r="A1035" t="str">
        <x:v>DOS-5-067</x:v>
      </x:c>
      <x:c r="B1035" t="n">
        <x:v>5</x:v>
      </x:c>
      <x:c r="C1035" t="str">
        <x:v>183 WILSON STREET #133, BROOKLYN, NY, 11211, US | 183 WILSON STREET, #133, BROOKLYN, NY, 11211, US</x:v>
      </x:c>
      <x:c r="D1035" t="str">
        <x:v>WHIPPLE JS LLC</x:v>
      </x:c>
      <x:c r="E1035" t="str">
        <x:v>WHIPPLE JS LLC</x:v>
      </x:c>
      <x:c r="F1035" t="str">
        <x:v>Active name match</x:v>
      </x:c>
      <x:c r="G1035" t="n">
        <x:v>1</x:v>
      </x:c>
      <x:c r="H1035" t="n">
        <x:v>1</x:v>
      </x:c>
      <x:c r="I1035" t="str">
        <x:v>6838335</x:v>
      </x:c>
      <x:c r="J1035" t="str">
        <x:v>WHIPPLE JS LLC</x:v>
      </x:c>
      <x:c r="K1035" s="55" t="n">
        <x:v>45065</x:v>
      </x:c>
      <x:c r="L1035" t="str">
        <x:v>Albany</x:v>
      </x:c>
      <x:c r="M1035" t="str">
        <x:v>New York</x:v>
      </x:c>
      <x:c r="N1035" t="str">
        <x:v>DOMESTIC LIMITED LIABILITY COMPANY</x:v>
      </x:c>
      <x:c r="O1035" t="str">
        <x:v>WHIPPLE JS LLC</x:v>
      </x:c>
      <x:c r="P1035" t="str">
        <x:v>183 WILSON ST STE 133, BROOKLYN, NY, 11211</x:v>
      </x:c>
      <x:c r="Q1035" t="str"/>
      <x:c r="R1035" t="str"/>
      <x:c r="S1035" t="str"/>
      <x:c r="T1035" t="str"/>
      <x:c r="U1035" t="str"/>
      <x:c r="V1035" t="str"/>
      <x:c r="W1035" t="str"/>
      <x:c r="X1035" t="str"/>
      <x:c r="Y1035" t="str">
        <x:v>https://data.ny.gov/Economic-Development/Active-Corporations-Beginning-1800/n9v6-gdp6</x:v>
      </x:c>
    </x:row>
    <x:row r="1036">
      <x:c r="A1036" t="str">
        <x:v>DOS-5-067</x:v>
      </x:c>
      <x:c r="B1036" t="n">
        <x:v>5</x:v>
      </x:c>
      <x:c r="C1036" t="str">
        <x:v>183 WILSON STREET #133, BROOKLYN, NY, 11211, US | 183 WILSON STREET, #133, BROOKLYN, NY, 11211, US</x:v>
      </x:c>
      <x:c r="D1036" t="str">
        <x:v>WHIPPLE YN LLC</x:v>
      </x:c>
      <x:c r="E1036" t="str">
        <x:v>WHIPPLE YN LLC</x:v>
      </x:c>
      <x:c r="F1036" t="str">
        <x:v>Active name match</x:v>
      </x:c>
      <x:c r="G1036" t="n">
        <x:v>1</x:v>
      </x:c>
      <x:c r="H1036" t="n">
        <x:v>1</x:v>
      </x:c>
      <x:c r="I1036" t="str">
        <x:v>6840911</x:v>
      </x:c>
      <x:c r="J1036" t="str">
        <x:v>WHIPPLE YN LLC</x:v>
      </x:c>
      <x:c r="K1036" s="55" t="n">
        <x:v>45069</x:v>
      </x:c>
      <x:c r="L1036" t="str">
        <x:v>Albany</x:v>
      </x:c>
      <x:c r="M1036" t="str">
        <x:v>New York</x:v>
      </x:c>
      <x:c r="N1036" t="str">
        <x:v>DOMESTIC LIMITED LIABILITY COMPANY</x:v>
      </x:c>
      <x:c r="O1036" t="str">
        <x:v>WHIPPLE YN LLC</x:v>
      </x:c>
      <x:c r="P1036" t="str">
        <x:v>183 WILSON ST STE 133, BROOKLYN, NY, 11211</x:v>
      </x:c>
      <x:c r="Q1036" t="str"/>
      <x:c r="R1036" t="str"/>
      <x:c r="S1036" t="str"/>
      <x:c r="T1036" t="str"/>
      <x:c r="U1036" t="str"/>
      <x:c r="V1036" t="str"/>
      <x:c r="W1036" t="str"/>
      <x:c r="X1036" t="str"/>
      <x:c r="Y1036" t="str">
        <x:v>https://data.ny.gov/Economic-Development/Active-Corporations-Beginning-1800/n9v6-gdp6</x:v>
      </x:c>
    </x:row>
    <x:row r="1037">
      <x:c r="A1037" t="str">
        <x:v>DOS-5-068</x:v>
      </x:c>
      <x:c r="B1037" t="n">
        <x:v>5</x:v>
      </x:c>
      <x:c r="C1037" t="str">
        <x:v>191-15 JAMAICA AVE, HOLLIS, NY, 11423, US</x:v>
      </x:c>
      <x:c r="D1037" t="str">
        <x:v>200 PROPERTIES LLC</x:v>
      </x:c>
      <x:c r="E1037" t="str">
        <x:v>200 PROPERTIES LLC</x:v>
      </x:c>
      <x:c r="F1037" t="str">
        <x:v>Address-corroborated active match</x:v>
      </x:c>
      <x:c r="G1037" t="n">
        <x:v>1</x:v>
      </x:c>
      <x:c r="H1037" t="n">
        <x:v>2</x:v>
      </x:c>
      <x:c r="I1037" t="str">
        <x:v>4008984</x:v>
      </x:c>
      <x:c r="J1037" t="str">
        <x:v>200 PROPERTIES LLC</x:v>
      </x:c>
      <x:c r="K1037" s="55" t="n">
        <x:v>40470</x:v>
      </x:c>
      <x:c r="L1037" t="str">
        <x:v>Queens</x:v>
      </x:c>
      <x:c r="M1037" t="str">
        <x:v>New York</x:v>
      </x:c>
      <x:c r="N1037" t="str">
        <x:v>DOMESTIC LIMITED LIABILITY COMPANY</x:v>
      </x:c>
      <x:c r="O1037" t="str">
        <x:v>200 PROPERTIES LLC</x:v>
      </x:c>
      <x:c r="P1037" t="str">
        <x:v>191-15 JAMAICA AVE, HOLLIS, NY, 11423</x:v>
      </x:c>
      <x:c r="Q1037" t="str"/>
      <x:c r="R1037" t="str"/>
      <x:c r="S1037" t="str"/>
      <x:c r="T1037" t="str"/>
      <x:c r="U1037" t="str"/>
      <x:c r="V1037" t="str"/>
      <x:c r="W1037" t="str"/>
      <x:c r="X1037" t="str"/>
      <x:c r="Y1037" t="str">
        <x:v>https://data.ny.gov/Economic-Development/Active-Corporations-Beginning-1800/n9v6-gdp6</x:v>
      </x:c>
    </x:row>
    <x:row r="1038">
      <x:c r="A1038" t="str">
        <x:v>DOS-5-068</x:v>
      </x:c>
      <x:c r="B1038" t="n">
        <x:v>5</x:v>
      </x:c>
      <x:c r="C1038" t="str">
        <x:v>191-15 JAMAICA AVE, HOLLIS, NY, 11423, US</x:v>
      </x:c>
      <x:c r="D1038" t="str">
        <x:v>203 MAC DONOUGH LLC</x:v>
      </x:c>
      <x:c r="E1038" t="str">
        <x:v>203 MAC DONOUGH LLC</x:v>
      </x:c>
      <x:c r="F1038" t="str">
        <x:v>No active DOS match</x:v>
      </x:c>
      <x:c r="G1038" t="n">
        <x:v>0</x:v>
      </x:c>
      <x:c r="H1038" t="n">
        <x:v>0</x:v>
      </x:c>
      <x:c r="I1038" t="str"/>
      <x:c r="J1038" t="str"/>
      <x:c r="K1038" s="55" t="str"/>
      <x:c r="L1038" t="str"/>
      <x:c r="M1038" t="str"/>
      <x:c r="N1038" t="str"/>
      <x:c r="O1038" t="str"/>
      <x:c r="P1038" t="str"/>
      <x:c r="Q1038" t="str"/>
      <x:c r="R1038" t="str"/>
      <x:c r="S1038" t="str"/>
      <x:c r="T1038" t="str"/>
      <x:c r="U1038" t="str"/>
      <x:c r="V1038" t="str"/>
      <x:c r="W1038" t="str"/>
      <x:c r="X1038" t="str"/>
      <x:c r="Y1038" t="str">
        <x:v>https://data.ny.gov/Economic-Development/Active-Corporations-Beginning-1800/n9v6-gdp6</x:v>
      </x:c>
    </x:row>
    <x:row r="1039">
      <x:c r="A1039" t="str">
        <x:v>DOS-5-068</x:v>
      </x:c>
      <x:c r="B1039" t="n">
        <x:v>5</x:v>
      </x:c>
      <x:c r="C1039" t="str">
        <x:v>191-15 JAMAICA AVE, HOLLIS, NY, 11423, US</x:v>
      </x:c>
      <x:c r="D1039" t="str">
        <x:v>214 VAN BUREN LLC</x:v>
      </x:c>
      <x:c r="E1039" t="str">
        <x:v>214 VAN BUREN LLC</x:v>
      </x:c>
      <x:c r="F1039" t="str">
        <x:v>Address-corroborated active match</x:v>
      </x:c>
      <x:c r="G1039" t="n">
        <x:v>1</x:v>
      </x:c>
      <x:c r="H1039" t="n">
        <x:v>2</x:v>
      </x:c>
      <x:c r="I1039" t="str">
        <x:v>4159436</x:v>
      </x:c>
      <x:c r="J1039" t="str">
        <x:v>214 VAN BUREN LLC</x:v>
      </x:c>
      <x:c r="K1039" s="55" t="n">
        <x:v>40844</x:v>
      </x:c>
      <x:c r="L1039" t="str">
        <x:v>Queens</x:v>
      </x:c>
      <x:c r="M1039" t="str">
        <x:v>New York</x:v>
      </x:c>
      <x:c r="N1039" t="str">
        <x:v>DOMESTIC LIMITED LIABILITY COMPANY</x:v>
      </x:c>
      <x:c r="O1039" t="str">
        <x:v>214 VAN BUREN LLC</x:v>
      </x:c>
      <x:c r="P1039" t="str">
        <x:v>191-15 JAMAICA AVE., HOLLIS, NY, 11423</x:v>
      </x:c>
      <x:c r="Q1039" t="str"/>
      <x:c r="R1039" t="str"/>
      <x:c r="S1039" t="str"/>
      <x:c r="T1039" t="str"/>
      <x:c r="U1039" t="str"/>
      <x:c r="V1039" t="str"/>
      <x:c r="W1039" t="str"/>
      <x:c r="X1039" t="str"/>
      <x:c r="Y1039" t="str">
        <x:v>https://data.ny.gov/Economic-Development/Active-Corporations-Beginning-1800/n9v6-gdp6</x:v>
      </x:c>
    </x:row>
    <x:row r="1040">
      <x:c r="A1040" t="str">
        <x:v>DOS-5-068</x:v>
      </x:c>
      <x:c r="B1040" t="n">
        <x:v>5</x:v>
      </x:c>
      <x:c r="C1040" t="str">
        <x:v>191-15 JAMAICA AVE, HOLLIS, NY, 11423, US</x:v>
      </x:c>
      <x:c r="D1040" t="str">
        <x:v>OR HAIM PROPERTIES LLC</x:v>
      </x:c>
      <x:c r="E1040" t="str">
        <x:v>OR HAIM PROPERTIES LLC</x:v>
      </x:c>
      <x:c r="F1040" t="str">
        <x:v>Address-corroborated active match</x:v>
      </x:c>
      <x:c r="G1040" t="n">
        <x:v>1</x:v>
      </x:c>
      <x:c r="H1040" t="n">
        <x:v>2</x:v>
      </x:c>
      <x:c r="I1040" t="str">
        <x:v>5247716</x:v>
      </x:c>
      <x:c r="J1040" t="str">
        <x:v>OR HAIM PROPERTIES LLC</x:v>
      </x:c>
      <x:c r="K1040" s="55" t="n">
        <x:v>43077</x:v>
      </x:c>
      <x:c r="L1040" t="str">
        <x:v>Nassau</x:v>
      </x:c>
      <x:c r="M1040" t="str">
        <x:v>New York</x:v>
      </x:c>
      <x:c r="N1040" t="str">
        <x:v>DOMESTIC LIMITED LIABILITY COMPANY</x:v>
      </x:c>
      <x:c r="O1040" t="str">
        <x:v>OR HAIM PROPERTIES LLC</x:v>
      </x:c>
      <x:c r="P1040" t="str">
        <x:v>191-15 JAMAICA AVE., HOLLIS, NY, 11423</x:v>
      </x:c>
      <x:c r="Q1040" t="str"/>
      <x:c r="R1040" t="str"/>
      <x:c r="S1040" t="str"/>
      <x:c r="T1040" t="str"/>
      <x:c r="U1040" t="str"/>
      <x:c r="V1040" t="str"/>
      <x:c r="W1040" t="str"/>
      <x:c r="X1040" t="str"/>
      <x:c r="Y1040" t="str">
        <x:v>https://data.ny.gov/Economic-Development/Active-Corporations-Beginning-1800/n9v6-gdp6</x:v>
      </x:c>
    </x:row>
    <x:row r="1041">
      <x:c r="A1041" t="str">
        <x:v>DOS-5-068</x:v>
      </x:c>
      <x:c r="B1041" t="n">
        <x:v>5</x:v>
      </x:c>
      <x:c r="C1041" t="str">
        <x:v>191-15 JAMAICA AVE, HOLLIS, NY, 11423, US</x:v>
      </x:c>
      <x:c r="D1041" t="str">
        <x:v>YHOR LLC</x:v>
      </x:c>
      <x:c r="E1041" t="str">
        <x:v>YHOR LLC</x:v>
      </x:c>
      <x:c r="F1041" t="str">
        <x:v>Address-corroborated active match</x:v>
      </x:c>
      <x:c r="G1041" t="n">
        <x:v>1</x:v>
      </x:c>
      <x:c r="H1041" t="n">
        <x:v>2</x:v>
      </x:c>
      <x:c r="I1041" t="str">
        <x:v>5125122</x:v>
      </x:c>
      <x:c r="J1041" t="str">
        <x:v>YHOR LLC</x:v>
      </x:c>
      <x:c r="K1041" s="55" t="n">
        <x:v>42850</x:v>
      </x:c>
      <x:c r="L1041" t="str">
        <x:v>Nassau</x:v>
      </x:c>
      <x:c r="M1041" t="str">
        <x:v>New York</x:v>
      </x:c>
      <x:c r="N1041" t="str">
        <x:v>DOMESTIC LIMITED LIABILITY COMPANY</x:v>
      </x:c>
      <x:c r="O1041" t="str">
        <x:v>YHOR LLC</x:v>
      </x:c>
      <x:c r="P1041" t="str">
        <x:v>191-15 JAMAICA AVE., HOLLIS, NY, 11423</x:v>
      </x:c>
      <x:c r="Q1041" t="str"/>
      <x:c r="R1041" t="str"/>
      <x:c r="S1041" t="str"/>
      <x:c r="T1041" t="str"/>
      <x:c r="U1041" t="str"/>
      <x:c r="V1041" t="str"/>
      <x:c r="W1041" t="str"/>
      <x:c r="X1041" t="str"/>
      <x:c r="Y1041" t="str">
        <x:v>https://data.ny.gov/Economic-Development/Active-Corporations-Beginning-1800/n9v6-gdp6</x:v>
      </x:c>
    </x:row>
    <x:row r="1042">
      <x:c r="A1042" t="str">
        <x:v>DOS-5-069</x:v>
      </x:c>
      <x:c r="B1042" t="n">
        <x:v>5</x:v>
      </x:c>
      <x:c r="C1042" t="str">
        <x:v>2383 MCDONALD AVENUE, BROOKLYN, NY, 11223, US</x:v>
      </x:c>
      <x:c r="D1042" t="str">
        <x:v>1976 CROTONA LLC</x:v>
      </x:c>
      <x:c r="E1042" t="str">
        <x:v>1976 CROTONA LLC</x:v>
      </x:c>
      <x:c r="F1042" t="str">
        <x:v>Active name match</x:v>
      </x:c>
      <x:c r="G1042" t="n">
        <x:v>1</x:v>
      </x:c>
      <x:c r="H1042" t="n">
        <x:v>0</x:v>
      </x:c>
      <x:c r="I1042" t="str">
        <x:v>5473033</x:v>
      </x:c>
      <x:c r="J1042" t="str">
        <x:v>1976 CROTONA LLC</x:v>
      </x:c>
      <x:c r="K1042" s="55" t="n">
        <x:v>43475</x:v>
      </x:c>
      <x:c r="L1042" t="str">
        <x:v>Kings</x:v>
      </x:c>
      <x:c r="M1042" t="str">
        <x:v>New York</x:v>
      </x:c>
      <x:c r="N1042" t="str">
        <x:v>DOMESTIC LIMITED LIABILITY COMPANY</x:v>
      </x:c>
      <x:c r="O1042" t="str">
        <x:v>HENRY SHAPIRO</x:v>
      </x:c>
      <x:c r="P1042" t="str">
        <x:v>8 Squan Song Lane, Colts Neck, NJ, 07722</x:v>
      </x:c>
      <x:c r="Q1042" t="str"/>
      <x:c r="R1042" t="str"/>
      <x:c r="S1042" t="str"/>
      <x:c r="T1042" t="str"/>
      <x:c r="U1042" t="str"/>
      <x:c r="V1042" t="str"/>
      <x:c r="W1042" t="str"/>
      <x:c r="X1042" t="str"/>
      <x:c r="Y1042" t="str">
        <x:v>https://data.ny.gov/Economic-Development/Active-Corporations-Beginning-1800/n9v6-gdp6</x:v>
      </x:c>
    </x:row>
    <x:row r="1043">
      <x:c r="A1043" t="str">
        <x:v>DOS-5-069</x:v>
      </x:c>
      <x:c r="B1043" t="n">
        <x:v>5</x:v>
      </x:c>
      <x:c r="C1043" t="str">
        <x:v>2383 MCDONALD AVENUE, BROOKLYN, NY, 11223, US</x:v>
      </x:c>
      <x:c r="D1043" t="str">
        <x:v>316 318 EAST 77 LLC</x:v>
      </x:c>
      <x:c r="E1043" t="str">
        <x:v>316-318 EAST 77 LLC</x:v>
      </x:c>
      <x:c r="F1043" t="str">
        <x:v>Active name match</x:v>
      </x:c>
      <x:c r="G1043" t="n">
        <x:v>1</x:v>
      </x:c>
      <x:c r="H1043" t="n">
        <x:v>1</x:v>
      </x:c>
      <x:c r="I1043" t="str">
        <x:v>7781228</x:v>
      </x:c>
      <x:c r="J1043" t="str">
        <x:v>316-318 EAST 77 LLC</x:v>
      </x:c>
      <x:c r="K1043" s="55" t="n">
        <x:v>46003</x:v>
      </x:c>
      <x:c r="L1043" t="str">
        <x:v>Kings</x:v>
      </x:c>
      <x:c r="M1043" t="str">
        <x:v>New York</x:v>
      </x:c>
      <x:c r="N1043" t="str">
        <x:v>DOMESTIC LIMITED LIABILITY COMPANY</x:v>
      </x:c>
      <x:c r="O1043" t="str">
        <x:v>316-318 EAST 77 LLC</x:v>
      </x:c>
      <x:c r="P1043" t="str">
        <x:v>2184 McDonald Ave, Brooklyn, NY, 11223</x:v>
      </x:c>
      <x:c r="Q1043" t="str"/>
      <x:c r="R1043" t="str"/>
      <x:c r="S1043" t="str"/>
      <x:c r="T1043" t="str"/>
      <x:c r="U1043" t="str"/>
      <x:c r="V1043" t="str"/>
      <x:c r="W1043" t="str"/>
      <x:c r="X1043" t="str"/>
      <x:c r="Y1043" t="str">
        <x:v>https://data.ny.gov/Economic-Development/Active-Corporations-Beginning-1800/n9v6-gdp6</x:v>
      </x:c>
    </x:row>
    <x:row r="1044">
      <x:c r="A1044" t="str">
        <x:v>DOS-5-069</x:v>
      </x:c>
      <x:c r="B1044" t="n">
        <x:v>5</x:v>
      </x:c>
      <x:c r="C1044" t="str">
        <x:v>2383 MCDONALD AVENUE, BROOKLYN, NY, 11223, US</x:v>
      </x:c>
      <x:c r="D1044" t="str">
        <x:v>350 WEST 44 LLC</x:v>
      </x:c>
      <x:c r="E1044" t="str">
        <x:v>350 WEST 44 LLC</x:v>
      </x:c>
      <x:c r="F1044" t="str">
        <x:v>Active name match</x:v>
      </x:c>
      <x:c r="G1044" t="n">
        <x:v>1</x:v>
      </x:c>
      <x:c r="H1044" t="n">
        <x:v>0</x:v>
      </x:c>
      <x:c r="I1044" t="str">
        <x:v>6371110</x:v>
      </x:c>
      <x:c r="J1044" t="str">
        <x:v>350 WEST 44 LLC</x:v>
      </x:c>
      <x:c r="K1044" s="55" t="n">
        <x:v>44571</x:v>
      </x:c>
      <x:c r="L1044" t="str">
        <x:v>Kings</x:v>
      </x:c>
      <x:c r="M1044" t="str">
        <x:v>New York</x:v>
      </x:c>
      <x:c r="N1044" t="str">
        <x:v>DOMESTIC LIMITED LIABILITY COMPANY</x:v>
      </x:c>
      <x:c r="O1044" t="str">
        <x:v>KOPELEVICH &amp; FELDSHEROVA, P.C.</x:v>
      </x:c>
      <x:c r="P1044" t="str">
        <x:v>241 37th Street, Suite B439, Brooklyn, NY, 11232</x:v>
      </x:c>
      <x:c r="Q1044" t="str"/>
      <x:c r="R1044" t="str"/>
      <x:c r="S1044" t="str"/>
      <x:c r="T1044" t="str"/>
      <x:c r="U1044" t="str"/>
      <x:c r="V1044" t="str"/>
      <x:c r="W1044" t="str"/>
      <x:c r="X1044" t="str"/>
      <x:c r="Y1044" t="str">
        <x:v>https://data.ny.gov/Economic-Development/Active-Corporations-Beginning-1800/n9v6-gdp6</x:v>
      </x:c>
    </x:row>
    <x:row r="1045">
      <x:c r="A1045" t="str">
        <x:v>DOS-5-069</x:v>
      </x:c>
      <x:c r="B1045" t="n">
        <x:v>5</x:v>
      </x:c>
      <x:c r="C1045" t="str">
        <x:v>2383 MCDONALD AVENUE, BROOKLYN, NY, 11223, US</x:v>
      </x:c>
      <x:c r="D1045" t="str">
        <x:v>44LIC DEVELOPMENT SP LLC</x:v>
      </x:c>
      <x:c r="E1045" t="str">
        <x:v>44LIC DEVELOPMENT SP LLC</x:v>
      </x:c>
      <x:c r="F1045" t="str">
        <x:v>Address-corroborated active match</x:v>
      </x:c>
      <x:c r="G1045" t="n">
        <x:v>1</x:v>
      </x:c>
      <x:c r="H1045" t="n">
        <x:v>2</x:v>
      </x:c>
      <x:c r="I1045" t="str">
        <x:v>7449229</x:v>
      </x:c>
      <x:c r="J1045" t="str">
        <x:v>44LIC DEVELOPMENT SP LLC</x:v>
      </x:c>
      <x:c r="K1045" s="55" t="n">
        <x:v>45589</x:v>
      </x:c>
      <x:c r="L1045" t="str">
        <x:v>Kings</x:v>
      </x:c>
      <x:c r="M1045" t="str">
        <x:v>New York</x:v>
      </x:c>
      <x:c r="N1045" t="str">
        <x:v>DOMESTIC LIMITED LIABILITY COMPANY</x:v>
      </x:c>
      <x:c r="O1045" t="str">
        <x:v>44LIC DEVELOPMENT SP LLC</x:v>
      </x:c>
      <x:c r="P1045" t="str">
        <x:v>2383 McDonald Avenue, Brooklyn, NY, 11223</x:v>
      </x:c>
      <x:c r="Q1045" t="str"/>
      <x:c r="R1045" t="str"/>
      <x:c r="S1045" t="str"/>
      <x:c r="T1045" t="str"/>
      <x:c r="U1045" t="str"/>
      <x:c r="V1045" t="str"/>
      <x:c r="W1045" t="str"/>
      <x:c r="X1045" t="str"/>
      <x:c r="Y1045" t="str">
        <x:v>https://data.ny.gov/Economic-Development/Active-Corporations-Beginning-1800/n9v6-gdp6</x:v>
      </x:c>
    </x:row>
    <x:row r="1046">
      <x:c r="A1046" t="str">
        <x:v>DOS-5-069</x:v>
      </x:c>
      <x:c r="B1046" t="n">
        <x:v>5</x:v>
      </x:c>
      <x:c r="C1046" t="str">
        <x:v>2383 MCDONALD AVENUE, BROOKLYN, NY, 11223, US</x:v>
      </x:c>
      <x:c r="D1046" t="str">
        <x:v>TERRA DEVELOPERS LLC</x:v>
      </x:c>
      <x:c r="E1046" t="str">
        <x:v>TERRA DEVELOPERS LLC</x:v>
      </x:c>
      <x:c r="F1046" t="str">
        <x:v>Active name match</x:v>
      </x:c>
      <x:c r="G1046" t="n">
        <x:v>1</x:v>
      </x:c>
      <x:c r="H1046" t="n">
        <x:v>1</x:v>
      </x:c>
      <x:c r="I1046" t="str">
        <x:v>5293574</x:v>
      </x:c>
      <x:c r="J1046" t="str">
        <x:v>TERRA DEVELOPERS LLC</x:v>
      </x:c>
      <x:c r="K1046" s="55" t="n">
        <x:v>43157</x:v>
      </x:c>
      <x:c r="L1046" t="str">
        <x:v>Kings</x:v>
      </x:c>
      <x:c r="M1046" t="str">
        <x:v>New York</x:v>
      </x:c>
      <x:c r="N1046" t="str">
        <x:v>DOMESTIC LIMITED LIABILITY COMPANY</x:v>
      </x:c>
      <x:c r="O1046" t="str">
        <x:v>TERRA DEVELOPERS LLC</x:v>
      </x:c>
      <x:c r="P1046" t="str">
        <x:v>2184 MCDONALD AVE, BROOKLYN, NY, 11223</x:v>
      </x:c>
      <x:c r="Q1046" t="str"/>
      <x:c r="R1046" t="str"/>
      <x:c r="S1046" t="str"/>
      <x:c r="T1046" t="str"/>
      <x:c r="U1046" t="str"/>
      <x:c r="V1046" t="str"/>
      <x:c r="W1046" t="str"/>
      <x:c r="X1046" t="str"/>
      <x:c r="Y1046" t="str">
        <x:v>https://data.ny.gov/Economic-Development/Active-Corporations-Beginning-1800/n9v6-gdp6</x:v>
      </x:c>
    </x:row>
    <x:row r="1047">
      <x:c r="A1047" t="str">
        <x:v>DOS-5-070</x:v>
      </x:c>
      <x:c r="B1047" t="n">
        <x:v>5</x:v>
      </x:c>
      <x:c r="C1047" t="str">
        <x:v>25-32 168TH STREET, FLUSHING, NY, 11358, US</x:v>
      </x:c>
      <x:c r="D1047" t="str">
        <x:v>12616 HOLDING LLC</x:v>
      </x:c>
      <x:c r="E1047" t="str">
        <x:v>12616 HOLDING LLC</x:v>
      </x:c>
      <x:c r="F1047" t="str">
        <x:v>Active name match</x:v>
      </x:c>
      <x:c r="G1047" t="n">
        <x:v>1</x:v>
      </x:c>
      <x:c r="H1047" t="n">
        <x:v>0</x:v>
      </x:c>
      <x:c r="I1047" t="str">
        <x:v>4801669</x:v>
      </x:c>
      <x:c r="J1047" t="str">
        <x:v>12616 HOLDING LLC</x:v>
      </x:c>
      <x:c r="K1047" s="55" t="n">
        <x:v>42223</x:v>
      </x:c>
      <x:c r="L1047" t="str">
        <x:v>Queens</x:v>
      </x:c>
      <x:c r="M1047" t="str">
        <x:v>New York</x:v>
      </x:c>
      <x:c r="N1047" t="str">
        <x:v>DOMESTIC LIMITED LIABILITY COMPANY</x:v>
      </x:c>
      <x:c r="O1047" t="str">
        <x:v>12616 HOLDING LLC C/O CPA BUILDING MANAGEMENT</x:v>
      </x:c>
      <x:c r="P1047" t="str">
        <x:v>273 Merrick Road, Lynbrook, NY, 11563</x:v>
      </x:c>
      <x:c r="Q1047" t="str"/>
      <x:c r="R1047" t="str"/>
      <x:c r="S1047" t="str"/>
      <x:c r="T1047" t="str"/>
      <x:c r="U1047" t="str"/>
      <x:c r="V1047" t="str"/>
      <x:c r="W1047" t="str"/>
      <x:c r="X1047" t="str"/>
      <x:c r="Y1047" t="str">
        <x:v>https://data.ny.gov/Economic-Development/Active-Corporations-Beginning-1800/n9v6-gdp6</x:v>
      </x:c>
    </x:row>
    <x:row r="1048">
      <x:c r="A1048" t="str">
        <x:v>DOS-5-070</x:v>
      </x:c>
      <x:c r="B1048" t="n">
        <x:v>5</x:v>
      </x:c>
      <x:c r="C1048" t="str">
        <x:v>25-32 168TH STREET, FLUSHING, NY, 11358, US</x:v>
      </x:c>
      <x:c r="D1048" t="str">
        <x:v>129 19 HOLDING LLC</x:v>
      </x:c>
      <x:c r="E1048" t="str">
        <x:v>129-19 HOLDING, LLC</x:v>
      </x:c>
      <x:c r="F1048" t="str">
        <x:v>Active name match</x:v>
      </x:c>
      <x:c r="G1048" t="n">
        <x:v>1</x:v>
      </x:c>
      <x:c r="H1048" t="n">
        <x:v>0</x:v>
      </x:c>
      <x:c r="I1048" t="str">
        <x:v>3639557</x:v>
      </x:c>
      <x:c r="J1048" t="str">
        <x:v>129-19 HOLDING LLC</x:v>
      </x:c>
      <x:c r="K1048" s="55" t="n">
        <x:v>39511</x:v>
      </x:c>
      <x:c r="L1048" t="str">
        <x:v>Queens</x:v>
      </x:c>
      <x:c r="M1048" t="str">
        <x:v>New York</x:v>
      </x:c>
      <x:c r="N1048" t="str">
        <x:v>DOMESTIC LIMITED LIABILITY COMPANY</x:v>
      </x:c>
      <x:c r="O1048" t="str">
        <x:v>129-19 HOLDING LLC C/O CPA BUILDING MANAGEMENT</x:v>
      </x:c>
      <x:c r="P1048" t="str">
        <x:v>273 MERRICK ROAD, LYNBROOK, NY, 11563</x:v>
      </x:c>
      <x:c r="Q1048" t="str"/>
      <x:c r="R1048" t="str"/>
      <x:c r="S1048" t="str"/>
      <x:c r="T1048" t="str"/>
      <x:c r="U1048" t="str"/>
      <x:c r="V1048" t="str"/>
      <x:c r="W1048" t="str"/>
      <x:c r="X1048" t="str"/>
      <x:c r="Y1048" t="str">
        <x:v>https://data.ny.gov/Economic-Development/Active-Corporations-Beginning-1800/n9v6-gdp6</x:v>
      </x:c>
    </x:row>
    <x:row r="1049">
      <x:c r="A1049" t="str">
        <x:v>DOS-5-070</x:v>
      </x:c>
      <x:c r="B1049" t="n">
        <x:v>5</x:v>
      </x:c>
      <x:c r="C1049" t="str">
        <x:v>25-32 168TH STREET, FLUSHING, NY, 11358, US</x:v>
      </x:c>
      <x:c r="D1049" t="str">
        <x:v>14 21 23 HOLDING LLC</x:v>
      </x:c>
      <x:c r="E1049" t="str">
        <x:v>14-21/23 HOLDING LLC</x:v>
      </x:c>
      <x:c r="F1049" t="str">
        <x:v>Active name match</x:v>
      </x:c>
      <x:c r="G1049" t="n">
        <x:v>1</x:v>
      </x:c>
      <x:c r="H1049" t="n">
        <x:v>0</x:v>
      </x:c>
      <x:c r="I1049" t="str">
        <x:v>3129643</x:v>
      </x:c>
      <x:c r="J1049" t="str">
        <x:v>14-21/23 HOLDING LLC</x:v>
      </x:c>
      <x:c r="K1049" s="55" t="n">
        <x:v>38314</x:v>
      </x:c>
      <x:c r="L1049" t="str">
        <x:v>Queens</x:v>
      </x:c>
      <x:c r="M1049" t="str">
        <x:v>New York</x:v>
      </x:c>
      <x:c r="N1049" t="str">
        <x:v>DOMESTIC LIMITED LIABILITY COMPANY</x:v>
      </x:c>
      <x:c r="O1049" t="str">
        <x:v>14-21/23 HOLDING LLC C/O CPA BUILDING MANAGEMENT</x:v>
      </x:c>
      <x:c r="P1049" t="str">
        <x:v>273 MERRICK ROAD, LYNBROOK, NY, 11563</x:v>
      </x:c>
      <x:c r="Q1049" t="str"/>
      <x:c r="R1049" t="str"/>
      <x:c r="S1049" t="str"/>
      <x:c r="T1049" t="str"/>
      <x:c r="U1049" t="str"/>
      <x:c r="V1049" t="str"/>
      <x:c r="W1049" t="str"/>
      <x:c r="X1049" t="str"/>
      <x:c r="Y1049" t="str">
        <x:v>https://data.ny.gov/Economic-Development/Active-Corporations-Beginning-1800/n9v6-gdp6</x:v>
      </x:c>
    </x:row>
    <x:row r="1050">
      <x:c r="A1050" t="str">
        <x:v>DOS-5-070</x:v>
      </x:c>
      <x:c r="B1050" t="n">
        <x:v>5</x:v>
      </x:c>
      <x:c r="C1050" t="str">
        <x:v>25-32 168TH STREET, FLUSHING, NY, 11358, US</x:v>
      </x:c>
      <x:c r="D1050" t="str">
        <x:v>2218 FULTON STREET LLC</x:v>
      </x:c>
      <x:c r="E1050" t="str">
        <x:v>2218 FULTON STREET LLC</x:v>
      </x:c>
      <x:c r="F1050" t="str">
        <x:v>Active name match</x:v>
      </x:c>
      <x:c r="G1050" t="n">
        <x:v>1</x:v>
      </x:c>
      <x:c r="H1050" t="n">
        <x:v>0</x:v>
      </x:c>
      <x:c r="I1050" t="str">
        <x:v>4163020</x:v>
      </x:c>
      <x:c r="J1050" t="str">
        <x:v>2218 FULTON STREET, LLC</x:v>
      </x:c>
      <x:c r="K1050" s="55" t="n">
        <x:v>40855</x:v>
      </x:c>
      <x:c r="L1050" t="str">
        <x:v>Kings</x:v>
      </x:c>
      <x:c r="M1050" t="str">
        <x:v>New York</x:v>
      </x:c>
      <x:c r="N1050" t="str">
        <x:v>DOMESTIC LIMITED LIABILITY COMPANY</x:v>
      </x:c>
      <x:c r="O1050" t="str">
        <x:v>2218 FULTON STREET, LLC C/O CPA BUILDING MANAGEMENT</x:v>
      </x:c>
      <x:c r="P1050" t="str">
        <x:v>273 Merrick Road, Lynbrook, NY, 11563</x:v>
      </x:c>
      <x:c r="Q1050" t="str"/>
      <x:c r="R1050" t="str"/>
      <x:c r="S1050" t="str"/>
      <x:c r="T1050" t="str"/>
      <x:c r="U1050" t="str"/>
      <x:c r="V1050" t="str"/>
      <x:c r="W1050" t="str"/>
      <x:c r="X1050" t="str"/>
      <x:c r="Y1050" t="str">
        <x:v>https://data.ny.gov/Economic-Development/Active-Corporations-Beginning-1800/n9v6-gdp6</x:v>
      </x:c>
    </x:row>
    <x:row r="1051">
      <x:c r="A1051" t="str">
        <x:v>DOS-5-070</x:v>
      </x:c>
      <x:c r="B1051" t="n">
        <x:v>5</x:v>
      </x:c>
      <x:c r="C1051" t="str">
        <x:v>25-32 168TH STREET, FLUSHING, NY, 11358, US</x:v>
      </x:c>
      <x:c r="D1051" t="str">
        <x:v>25 50 FLB LLC</x:v>
      </x:c>
      <x:c r="E1051" t="str">
        <x:v>25-50 FLB LLC</x:v>
      </x:c>
      <x:c r="F1051" t="str">
        <x:v>Active name match</x:v>
      </x:c>
      <x:c r="G1051" t="n">
        <x:v>1</x:v>
      </x:c>
      <x:c r="H1051" t="n">
        <x:v>0</x:v>
      </x:c>
      <x:c r="I1051" t="str">
        <x:v>3508998</x:v>
      </x:c>
      <x:c r="J1051" t="str">
        <x:v>25-50 FLB LLC</x:v>
      </x:c>
      <x:c r="K1051" s="55" t="n">
        <x:v>39198</x:v>
      </x:c>
      <x:c r="L1051" t="str">
        <x:v>Queens</x:v>
      </x:c>
      <x:c r="M1051" t="str">
        <x:v>New York</x:v>
      </x:c>
      <x:c r="N1051" t="str">
        <x:v>DOMESTIC LIMITED LIABILITY COMPANY</x:v>
      </x:c>
      <x:c r="O1051" t="str">
        <x:v>25-50 FLB LLC C/O CPA BUILDING MANAGEMENT</x:v>
      </x:c>
      <x:c r="P1051" t="str">
        <x:v>273 Merrick Road, Lynbrook, NY, 11563</x:v>
      </x:c>
      <x:c r="Q1051" t="str"/>
      <x:c r="R1051" t="str"/>
      <x:c r="S1051" t="str"/>
      <x:c r="T1051" t="str"/>
      <x:c r="U1051" t="str"/>
      <x:c r="V1051" t="str"/>
      <x:c r="W1051" t="str"/>
      <x:c r="X1051" t="str"/>
      <x:c r="Y1051" t="str">
        <x:v>https://data.ny.gov/Economic-Development/Active-Corporations-Beginning-1800/n9v6-gdp6</x:v>
      </x:c>
    </x:row>
    <x:row r="1052">
      <x:c r="A1052" t="str">
        <x:v>DOS-5-071</x:v>
      </x:c>
      <x:c r="B1052" t="n">
        <x:v>5</x:v>
      </x:c>
      <x:c r="C1052" t="str">
        <x:v>2500  ARTHUR AVENUE, BRONX, NY, US</x:v>
      </x:c>
      <x:c r="D1052" t="str">
        <x:v>BATHGATE LLC</x:v>
      </x:c>
      <x:c r="E1052" t="str">
        <x:v>BATHGATE LLC</x:v>
      </x:c>
      <x:c r="F1052" t="str">
        <x:v>Active name match</x:v>
      </x:c>
      <x:c r="G1052" t="n">
        <x:v>1</x:v>
      </x:c>
      <x:c r="H1052" t="n">
        <x:v>0</x:v>
      </x:c>
      <x:c r="I1052" t="str">
        <x:v>2390210</x:v>
      </x:c>
      <x:c r="J1052" t="str">
        <x:v>BATHGATE LLC</x:v>
      </x:c>
      <x:c r="K1052" s="55" t="n">
        <x:v>36329</x:v>
      </x:c>
      <x:c r="L1052" t="str">
        <x:v>Bronx</x:v>
      </x:c>
      <x:c r="M1052" t="str">
        <x:v>New York</x:v>
      </x:c>
      <x:c r="N1052" t="str">
        <x:v>DOMESTIC LIMITED LIABILITY COMPANY</x:v>
      </x:c>
      <x:c r="O1052" t="str">
        <x:v>BATHGATE LLC</x:v>
      </x:c>
      <x:c r="P1052" t="str">
        <x:v>PO BOX  46, PURCHASE, NY, 10577</x:v>
      </x:c>
      <x:c r="Q1052" t="str"/>
      <x:c r="R1052" t="str"/>
      <x:c r="S1052" t="str"/>
      <x:c r="T1052" t="str"/>
      <x:c r="U1052" t="str"/>
      <x:c r="V1052" t="str"/>
      <x:c r="W1052" t="str"/>
      <x:c r="X1052" t="str"/>
      <x:c r="Y1052" t="str">
        <x:v>https://data.ny.gov/Economic-Development/Active-Corporations-Beginning-1800/n9v6-gdp6</x:v>
      </x:c>
    </x:row>
    <x:row r="1053">
      <x:c r="A1053" t="str">
        <x:v>DOS-5-071</x:v>
      </x:c>
      <x:c r="B1053" t="n">
        <x:v>5</x:v>
      </x:c>
      <x:c r="C1053" t="str">
        <x:v>2500  ARTHUR AVENUE, BRONX, NY, US</x:v>
      </x:c>
      <x:c r="D1053" t="str">
        <x:v>HOFFMAN LLC</x:v>
      </x:c>
      <x:c r="E1053" t="str">
        <x:v>HOFFMAN LLC</x:v>
      </x:c>
      <x:c r="F1053" t="str">
        <x:v>Active name match</x:v>
      </x:c>
      <x:c r="G1053" t="n">
        <x:v>1</x:v>
      </x:c>
      <x:c r="H1053" t="n">
        <x:v>0</x:v>
      </x:c>
      <x:c r="I1053" t="str">
        <x:v>2390206</x:v>
      </x:c>
      <x:c r="J1053" t="str">
        <x:v>HOFFMAN LLC</x:v>
      </x:c>
      <x:c r="K1053" s="55" t="n">
        <x:v>36329</x:v>
      </x:c>
      <x:c r="L1053" t="str">
        <x:v>Bronx</x:v>
      </x:c>
      <x:c r="M1053" t="str">
        <x:v>New York</x:v>
      </x:c>
      <x:c r="N1053" t="str">
        <x:v>DOMESTIC LIMITED LIABILITY COMPANY</x:v>
      </x:c>
      <x:c r="O1053" t="str">
        <x:v>HOFFMAN LLC</x:v>
      </x:c>
      <x:c r="P1053" t="str">
        <x:v>PO BOX 46, PURCHASE, NY, 10577</x:v>
      </x:c>
      <x:c r="Q1053" t="str"/>
      <x:c r="R1053" t="str"/>
      <x:c r="S1053" t="str"/>
      <x:c r="T1053" t="str"/>
      <x:c r="U1053" t="str"/>
      <x:c r="V1053" t="str"/>
      <x:c r="W1053" t="str"/>
      <x:c r="X1053" t="str"/>
      <x:c r="Y1053" t="str">
        <x:v>https://data.ny.gov/Economic-Development/Active-Corporations-Beginning-1800/n9v6-gdp6</x:v>
      </x:c>
    </x:row>
    <x:row r="1054">
      <x:c r="A1054" t="str">
        <x:v>DOS-5-071</x:v>
      </x:c>
      <x:c r="B1054" t="n">
        <x:v>5</x:v>
      </x:c>
      <x:c r="C1054" t="str">
        <x:v>2500  ARTHUR AVENUE, BRONX, NY, US</x:v>
      </x:c>
      <x:c r="D1054" t="str">
        <x:v>LORILLARD LLC</x:v>
      </x:c>
      <x:c r="E1054" t="str">
        <x:v>LORILLARD LLC</x:v>
      </x:c>
      <x:c r="F1054" t="str">
        <x:v>Active name match</x:v>
      </x:c>
      <x:c r="G1054" t="n">
        <x:v>1</x:v>
      </x:c>
      <x:c r="H1054" t="n">
        <x:v>0</x:v>
      </x:c>
      <x:c r="I1054" t="str">
        <x:v>2390223</x:v>
      </x:c>
      <x:c r="J1054" t="str">
        <x:v>LORILLARD LLC</x:v>
      </x:c>
      <x:c r="K1054" s="55" t="n">
        <x:v>36329</x:v>
      </x:c>
      <x:c r="L1054" t="str">
        <x:v>Bronx</x:v>
      </x:c>
      <x:c r="M1054" t="str">
        <x:v>New York</x:v>
      </x:c>
      <x:c r="N1054" t="str">
        <x:v>DOMESTIC LIMITED LIABILITY COMPANY</x:v>
      </x:c>
      <x:c r="O1054" t="str">
        <x:v>LORILLARD LLC</x:v>
      </x:c>
      <x:c r="P1054" t="str">
        <x:v>PO BOX 46, PURCHASE, NY, 10577</x:v>
      </x:c>
      <x:c r="Q1054" t="str"/>
      <x:c r="R1054" t="str"/>
      <x:c r="S1054" t="str"/>
      <x:c r="T1054" t="str"/>
      <x:c r="U1054" t="str"/>
      <x:c r="V1054" t="str"/>
      <x:c r="W1054" t="str"/>
      <x:c r="X1054" t="str"/>
      <x:c r="Y1054" t="str">
        <x:v>https://data.ny.gov/Economic-Development/Active-Corporations-Beginning-1800/n9v6-gdp6</x:v>
      </x:c>
    </x:row>
    <x:row r="1055">
      <x:c r="A1055" t="str">
        <x:v>DOS-5-071</x:v>
      </x:c>
      <x:c r="B1055" t="n">
        <x:v>5</x:v>
      </x:c>
      <x:c r="C1055" t="str">
        <x:v>2500  ARTHUR AVENUE, BRONX, NY, US</x:v>
      </x:c>
      <x:c r="D1055" t="str">
        <x:v>P AND P REALTY LLC</x:v>
      </x:c>
      <x:c r="E1055" t="str">
        <x:v>P &amp; P REALTY LLC</x:v>
      </x:c>
      <x:c r="F1055" t="str">
        <x:v>Active name match</x:v>
      </x:c>
      <x:c r="G1055" t="n">
        <x:v>1</x:v>
      </x:c>
      <x:c r="H1055" t="n">
        <x:v>0</x:v>
      </x:c>
      <x:c r="I1055" t="str">
        <x:v>2390232</x:v>
      </x:c>
      <x:c r="J1055" t="str">
        <x:v>P &amp; P REALTY LLC</x:v>
      </x:c>
      <x:c r="K1055" s="55" t="n">
        <x:v>36329</x:v>
      </x:c>
      <x:c r="L1055" t="str">
        <x:v>Bronx</x:v>
      </x:c>
      <x:c r="M1055" t="str">
        <x:v>New York</x:v>
      </x:c>
      <x:c r="N1055" t="str">
        <x:v>DOMESTIC LIMITED LIABILITY COMPANY</x:v>
      </x:c>
      <x:c r="O1055" t="str">
        <x:v>P &amp; P REALTY LLC</x:v>
      </x:c>
      <x:c r="P1055" t="str">
        <x:v>PO BOX 46, PURCHASE, NY, 10577</x:v>
      </x:c>
      <x:c r="Q1055" t="str"/>
      <x:c r="R1055" t="str"/>
      <x:c r="S1055" t="str"/>
      <x:c r="T1055" t="str"/>
      <x:c r="U1055" t="str"/>
      <x:c r="V1055" t="str"/>
      <x:c r="W1055" t="str"/>
      <x:c r="X1055" t="str"/>
      <x:c r="Y1055" t="str">
        <x:v>https://data.ny.gov/Economic-Development/Active-Corporations-Beginning-1800/n9v6-gdp6</x:v>
      </x:c>
    </x:row>
    <x:row r="1056">
      <x:c r="A1056" t="str">
        <x:v>DOS-5-071</x:v>
      </x:c>
      <x:c r="B1056" t="n">
        <x:v>5</x:v>
      </x:c>
      <x:c r="C1056" t="str">
        <x:v>2500  ARTHUR AVENUE, BRONX, NY, US</x:v>
      </x:c>
      <x:c r="D1056" t="str">
        <x:v>ROSE HILL LLC</x:v>
      </x:c>
      <x:c r="E1056" t="str">
        <x:v>ROSE HILL LLC</x:v>
      </x:c>
      <x:c r="F1056" t="str">
        <x:v>Active name match</x:v>
      </x:c>
      <x:c r="G1056" t="n">
        <x:v>1</x:v>
      </x:c>
      <x:c r="H1056" t="n">
        <x:v>0</x:v>
      </x:c>
      <x:c r="I1056" t="str">
        <x:v>2390201</x:v>
      </x:c>
      <x:c r="J1056" t="str">
        <x:v>ROSE HILL LLC</x:v>
      </x:c>
      <x:c r="K1056" s="55" t="n">
        <x:v>36329</x:v>
      </x:c>
      <x:c r="L1056" t="str">
        <x:v>Bronx</x:v>
      </x:c>
      <x:c r="M1056" t="str">
        <x:v>New York</x:v>
      </x:c>
      <x:c r="N1056" t="str">
        <x:v>DOMESTIC LIMITED LIABILITY COMPANY</x:v>
      </x:c>
      <x:c r="O1056" t="str">
        <x:v>ROSE HILL LLC</x:v>
      </x:c>
      <x:c r="P1056" t="str">
        <x:v>PO BOX 46, PURCHASE, NY, 10577</x:v>
      </x:c>
      <x:c r="Q1056" t="str"/>
      <x:c r="R1056" t="str"/>
      <x:c r="S1056" t="str"/>
      <x:c r="T1056" t="str"/>
      <x:c r="U1056" t="str"/>
      <x:c r="V1056" t="str"/>
      <x:c r="W1056" t="str"/>
      <x:c r="X1056" t="str"/>
      <x:c r="Y1056" t="str">
        <x:v>https://data.ny.gov/Economic-Development/Active-Corporations-Beginning-1800/n9v6-gdp6</x:v>
      </x:c>
    </x:row>
    <x:row r="1057">
      <x:c r="A1057" t="str">
        <x:v>DOS-5-072</x:v>
      </x:c>
      <x:c r="B1057" t="n">
        <x:v>5</x:v>
      </x:c>
      <x:c r="C1057" t="str">
        <x:v>266 47TH STREET, BROOKLYN, NY, 11220, US</x:v>
      </x:c>
      <x:c r="D1057" t="str">
        <x:v>563 EP LLC</x:v>
      </x:c>
      <x:c r="E1057" t="str">
        <x:v>563 EP LLC</x:v>
      </x:c>
      <x:c r="F1057" t="str">
        <x:v>Active name match</x:v>
      </x:c>
      <x:c r="G1057" t="n">
        <x:v>1</x:v>
      </x:c>
      <x:c r="H1057" t="n">
        <x:v>0</x:v>
      </x:c>
      <x:c r="I1057" t="str">
        <x:v>4637880</x:v>
      </x:c>
      <x:c r="J1057" t="str">
        <x:v>563 EP LLC</x:v>
      </x:c>
      <x:c r="K1057" s="55" t="n">
        <x:v>41899</x:v>
      </x:c>
      <x:c r="L1057" t="str">
        <x:v>Sullivan</x:v>
      </x:c>
      <x:c r="M1057" t="str">
        <x:v>New York</x:v>
      </x:c>
      <x:c r="N1057" t="str">
        <x:v>DOMESTIC LIMITED LIABILITY COMPANY</x:v>
      </x:c>
      <x:c r="O1057" t="str">
        <x:v>563 EP LLC</x:v>
      </x:c>
      <x:c r="P1057" t="str">
        <x:v>16 PINE LANE, LOCH SHELDRAKE, NY, 12759</x:v>
      </x:c>
      <x:c r="Q1057" t="str"/>
      <x:c r="R1057" t="str"/>
      <x:c r="S1057" t="str"/>
      <x:c r="T1057" t="str"/>
      <x:c r="U1057" t="str"/>
      <x:c r="V1057" t="str"/>
      <x:c r="W1057" t="str"/>
      <x:c r="X1057" t="str"/>
      <x:c r="Y1057" t="str">
        <x:v>https://data.ny.gov/Economic-Development/Active-Corporations-Beginning-1800/n9v6-gdp6</x:v>
      </x:c>
    </x:row>
    <x:row r="1058">
      <x:c r="A1058" t="str">
        <x:v>DOS-5-072</x:v>
      </x:c>
      <x:c r="B1058" t="n">
        <x:v>5</x:v>
      </x:c>
      <x:c r="C1058" t="str">
        <x:v>266 47TH STREET, BROOKLYN, NY, 11220, US</x:v>
      </x:c>
      <x:c r="D1058" t="str">
        <x:v>568 REALTY PARTNERS LLC</x:v>
      </x:c>
      <x:c r="E1058" t="str">
        <x:v>568 REALTY PARTNERS LLC</x:v>
      </x:c>
      <x:c r="F1058" t="str">
        <x:v>Address-corroborated active match</x:v>
      </x:c>
      <x:c r="G1058" t="n">
        <x:v>1</x:v>
      </x:c>
      <x:c r="H1058" t="n">
        <x:v>2</x:v>
      </x:c>
      <x:c r="I1058" t="str">
        <x:v>4869964</x:v>
      </x:c>
      <x:c r="J1058" t="str">
        <x:v>568 REALTY PARTNERS LLC</x:v>
      </x:c>
      <x:c r="K1058" s="55" t="n">
        <x:v>42366</x:v>
      </x:c>
      <x:c r="L1058" t="str">
        <x:v>Kings</x:v>
      </x:c>
      <x:c r="M1058" t="str">
        <x:v>New York</x:v>
      </x:c>
      <x:c r="N1058" t="str">
        <x:v>DOMESTIC LIMITED LIABILITY COMPANY</x:v>
      </x:c>
      <x:c r="O1058" t="str">
        <x:v>STEVEN ROSS</x:v>
      </x:c>
      <x:c r="P1058" t="str">
        <x:v>266 47TH STREET, BROOKYLN, NY, 11220</x:v>
      </x:c>
      <x:c r="Q1058" t="str"/>
      <x:c r="R1058" t="str"/>
      <x:c r="S1058" t="str"/>
      <x:c r="T1058" t="str"/>
      <x:c r="U1058" t="str"/>
      <x:c r="V1058" t="str"/>
      <x:c r="W1058" t="str"/>
      <x:c r="X1058" t="str"/>
      <x:c r="Y1058" t="str">
        <x:v>https://data.ny.gov/Economic-Development/Active-Corporations-Beginning-1800/n9v6-gdp6</x:v>
      </x:c>
    </x:row>
    <x:row r="1059">
      <x:c r="A1059" t="str">
        <x:v>DOS-5-072</x:v>
      </x:c>
      <x:c r="B1059" t="n">
        <x:v>5</x:v>
      </x:c>
      <x:c r="C1059" t="str">
        <x:v>266 47TH STREET, BROOKLYN, NY, 11220, US</x:v>
      </x:c>
      <x:c r="D1059" t="str">
        <x:v>LOTT ESTATES LLC</x:v>
      </x:c>
      <x:c r="E1059" t="str">
        <x:v>LOTT ESTATES LLC</x:v>
      </x:c>
      <x:c r="F1059" t="str">
        <x:v>Active name match</x:v>
      </x:c>
      <x:c r="G1059" t="n">
        <x:v>1</x:v>
      </x:c>
      <x:c r="H1059" t="n">
        <x:v>0</x:v>
      </x:c>
      <x:c r="I1059" t="str">
        <x:v>5578052</x:v>
      </x:c>
      <x:c r="J1059" t="str">
        <x:v>LOTT ESTATES LLC</x:v>
      </x:c>
      <x:c r="K1059" s="55" t="n">
        <x:v>43642</x:v>
      </x:c>
      <x:c r="L1059" t="str">
        <x:v>Kings</x:v>
      </x:c>
      <x:c r="M1059" t="str">
        <x:v>New York</x:v>
      </x:c>
      <x:c r="N1059" t="str">
        <x:v>DOMESTIC LIMITED LIABILITY COMPANY</x:v>
      </x:c>
      <x:c r="O1059" t="str">
        <x:v>LOTT ESTATES LLC</x:v>
      </x:c>
      <x:c r="P1059" t="str">
        <x:v>5014 16th Ave, suite 383, BROOKLYN, NY, 11204</x:v>
      </x:c>
      <x:c r="Q1059" t="str"/>
      <x:c r="R1059" t="str"/>
      <x:c r="S1059" t="str"/>
      <x:c r="T1059" t="str"/>
      <x:c r="U1059" t="str"/>
      <x:c r="V1059" t="str"/>
      <x:c r="W1059" t="str"/>
      <x:c r="X1059" t="str"/>
      <x:c r="Y1059" t="str">
        <x:v>https://data.ny.gov/Economic-Development/Active-Corporations-Beginning-1800/n9v6-gdp6</x:v>
      </x:c>
    </x:row>
    <x:row r="1060">
      <x:c r="A1060" t="str">
        <x:v>DOS-5-072</x:v>
      </x:c>
      <x:c r="B1060" t="n">
        <x:v>5</x:v>
      </x:c>
      <x:c r="C1060" t="str">
        <x:v>266 47TH STREET, BROOKLYN, NY, 11220, US</x:v>
      </x:c>
      <x:c r="D1060" t="str">
        <x:v>QUE10 LLC</x:v>
      </x:c>
      <x:c r="E1060" t="str">
        <x:v>QUE10 LLC</x:v>
      </x:c>
      <x:c r="F1060" t="str">
        <x:v>Active name match</x:v>
      </x:c>
      <x:c r="G1060" t="n">
        <x:v>1</x:v>
      </x:c>
      <x:c r="H1060" t="n">
        <x:v>1</x:v>
      </x:c>
      <x:c r="I1060" t="str">
        <x:v>7389774</x:v>
      </x:c>
      <x:c r="J1060" t="str">
        <x:v>QUE10 LLC</x:v>
      </x:c>
      <x:c r="K1060" s="55" t="n">
        <x:v>45509</x:v>
      </x:c>
      <x:c r="L1060" t="str">
        <x:v>Kings</x:v>
      </x:c>
      <x:c r="M1060" t="str">
        <x:v>New York</x:v>
      </x:c>
      <x:c r="N1060" t="str">
        <x:v>DOMESTIC LIMITED LIABILITY COMPANY</x:v>
      </x:c>
      <x:c r="O1060" t="str">
        <x:v>QUE10 LLC</x:v>
      </x:c>
      <x:c r="P1060" t="str">
        <x:v>266 47 Street, Floor 2m, Brooklyn, NY, 11220</x:v>
      </x:c>
      <x:c r="Q1060" t="str"/>
      <x:c r="R1060" t="str"/>
      <x:c r="S1060" t="str"/>
      <x:c r="T1060" t="str"/>
      <x:c r="U1060" t="str"/>
      <x:c r="V1060" t="str"/>
      <x:c r="W1060" t="str"/>
      <x:c r="X1060" t="str"/>
      <x:c r="Y1060" t="str">
        <x:v>https://data.ny.gov/Economic-Development/Active-Corporations-Beginning-1800/n9v6-gdp6</x:v>
      </x:c>
    </x:row>
    <x:row r="1061">
      <x:c r="A1061" t="str">
        <x:v>DOS-5-072</x:v>
      </x:c>
      <x:c r="B1061" t="n">
        <x:v>5</x:v>
      </x:c>
      <x:c r="C1061" t="str">
        <x:v>266 47TH STREET, BROOKLYN, NY, 11220, US</x:v>
      </x:c>
      <x:c r="D1061" t="str">
        <x:v>URBAN BHCHESTER LLC</x:v>
      </x:c>
      <x:c r="E1061" t="str">
        <x:v>URBAN BHCHESTER LLC</x:v>
      </x:c>
      <x:c r="F1061" t="str">
        <x:v>Active name match</x:v>
      </x:c>
      <x:c r="G1061" t="n">
        <x:v>1</x:v>
      </x:c>
      <x:c r="H1061" t="n">
        <x:v>0</x:v>
      </x:c>
      <x:c r="I1061" t="str">
        <x:v>5604049</x:v>
      </x:c>
      <x:c r="J1061" t="str">
        <x:v>URBAN BHCHESTER LLC</x:v>
      </x:c>
      <x:c r="K1061" s="55" t="n">
        <x:v>43691</x:v>
      </x:c>
      <x:c r="L1061" t="str">
        <x:v>Kings</x:v>
      </x:c>
      <x:c r="M1061" t="str">
        <x:v>New York</x:v>
      </x:c>
      <x:c r="N1061" t="str">
        <x:v>DOMESTIC LIMITED LIABILITY COMPANY</x:v>
      </x:c>
      <x:c r="O1061" t="str">
        <x:v>URBAN BHCHESTER LLC</x:v>
      </x:c>
      <x:c r="P1061" t="str">
        <x:v>1449 37th Street, Suite 414, BROOKLYN, NY, 11218</x:v>
      </x:c>
      <x:c r="Q1061" t="str"/>
      <x:c r="R1061" t="str"/>
      <x:c r="S1061" t="str"/>
      <x:c r="T1061" t="str"/>
      <x:c r="U1061" t="str"/>
      <x:c r="V1061" t="str"/>
      <x:c r="W1061" t="str"/>
      <x:c r="X1061" t="str"/>
      <x:c r="Y1061" t="str">
        <x:v>https://data.ny.gov/Economic-Development/Active-Corporations-Beginning-1800/n9v6-gdp6</x:v>
      </x:c>
    </x:row>
    <x:row r="1062">
      <x:c r="A1062" t="str">
        <x:v>DOS-5-073</x:v>
      </x:c>
      <x:c r="B1062" t="n">
        <x:v>5</x:v>
      </x:c>
      <x:c r="C1062" t="str">
        <x:v>2738 GERRITSEN AVENUE, BROOKLYN, NY, 11229, US</x:v>
      </x:c>
      <x:c r="D1062" t="str">
        <x:v>2728 GERRITSEN AVENUE LLC</x:v>
      </x:c>
      <x:c r="E1062" t="str">
        <x:v>2728 GERRITSEN AVENUE, LLC</x:v>
      </x:c>
      <x:c r="F1062" t="str">
        <x:v>Address-corroborated active match</x:v>
      </x:c>
      <x:c r="G1062" t="n">
        <x:v>1</x:v>
      </x:c>
      <x:c r="H1062" t="n">
        <x:v>2</x:v>
      </x:c>
      <x:c r="I1062" t="str">
        <x:v>5742003</x:v>
      </x:c>
      <x:c r="J1062" t="str">
        <x:v>2728 GERRITSEN AVENUE, LLC</x:v>
      </x:c>
      <x:c r="K1062" s="55" t="n">
        <x:v>43945</x:v>
      </x:c>
      <x:c r="L1062" t="str">
        <x:v>Kings</x:v>
      </x:c>
      <x:c r="M1062" t="str">
        <x:v>New York</x:v>
      </x:c>
      <x:c r="N1062" t="str">
        <x:v>DOMESTIC LIMITED LIABILITY COMPANY</x:v>
      </x:c>
      <x:c r="O1062" t="str">
        <x:v>C/O LLC</x:v>
      </x:c>
      <x:c r="P1062" t="str">
        <x:v>2738 GERRITSEN AVENUE, BROOKLYN, NY, 11229</x:v>
      </x:c>
      <x:c r="Q1062" t="str"/>
      <x:c r="R1062" t="str"/>
      <x:c r="S1062" t="str"/>
      <x:c r="T1062" t="str"/>
      <x:c r="U1062" t="str"/>
      <x:c r="V1062" t="str"/>
      <x:c r="W1062" t="str"/>
      <x:c r="X1062" t="str"/>
      <x:c r="Y1062" t="str">
        <x:v>https://data.ny.gov/Economic-Development/Active-Corporations-Beginning-1800/n9v6-gdp6</x:v>
      </x:c>
    </x:row>
    <x:row r="1063">
      <x:c r="A1063" t="str">
        <x:v>DOS-5-073</x:v>
      </x:c>
      <x:c r="B1063" t="n">
        <x:v>5</x:v>
      </x:c>
      <x:c r="C1063" t="str">
        <x:v>2738 GERRITSEN AVENUE, BROOKLYN, NY, 11229, US</x:v>
      </x:c>
      <x:c r="D1063" t="str">
        <x:v>2738 GERRITSEN AVENUE LLC</x:v>
      </x:c>
      <x:c r="E1063" t="str">
        <x:v>2738 GERRITSEN AVENUE, LLC</x:v>
      </x:c>
      <x:c r="F1063" t="str">
        <x:v>Address-corroborated active match</x:v>
      </x:c>
      <x:c r="G1063" t="n">
        <x:v>1</x:v>
      </x:c>
      <x:c r="H1063" t="n">
        <x:v>2</x:v>
      </x:c>
      <x:c r="I1063" t="str">
        <x:v>5742006</x:v>
      </x:c>
      <x:c r="J1063" t="str">
        <x:v>2738 GERRITSEN AVENUE, LLC</x:v>
      </x:c>
      <x:c r="K1063" s="55" t="n">
        <x:v>43945</x:v>
      </x:c>
      <x:c r="L1063" t="str">
        <x:v>Kings</x:v>
      </x:c>
      <x:c r="M1063" t="str">
        <x:v>New York</x:v>
      </x:c>
      <x:c r="N1063" t="str">
        <x:v>DOMESTIC LIMITED LIABILITY COMPANY</x:v>
      </x:c>
      <x:c r="O1063" t="str">
        <x:v>C/O LLC</x:v>
      </x:c>
      <x:c r="P1063" t="str">
        <x:v>2738 GERRITSEN AVENUE, BROOKLYN, NY, 11229</x:v>
      </x:c>
      <x:c r="Q1063" t="str"/>
      <x:c r="R1063" t="str"/>
      <x:c r="S1063" t="str"/>
      <x:c r="T1063" t="str"/>
      <x:c r="U1063" t="str"/>
      <x:c r="V1063" t="str"/>
      <x:c r="W1063" t="str"/>
      <x:c r="X1063" t="str"/>
      <x:c r="Y1063" t="str">
        <x:v>https://data.ny.gov/Economic-Development/Active-Corporations-Beginning-1800/n9v6-gdp6</x:v>
      </x:c>
    </x:row>
    <x:row r="1064">
      <x:c r="A1064" t="str">
        <x:v>DOS-5-073</x:v>
      </x:c>
      <x:c r="B1064" t="n">
        <x:v>5</x:v>
      </x:c>
      <x:c r="C1064" t="str">
        <x:v>2738 GERRITSEN AVENUE, BROOKLYN, NY, 11229, US</x:v>
      </x:c>
      <x:c r="D1064" t="str">
        <x:v>2754 GERRITSEN AVENUE LLC</x:v>
      </x:c>
      <x:c r="E1064" t="str">
        <x:v>2754 GERRITSEN AVENUE, LLC</x:v>
      </x:c>
      <x:c r="F1064" t="str">
        <x:v>Address-corroborated active match</x:v>
      </x:c>
      <x:c r="G1064" t="n">
        <x:v>1</x:v>
      </x:c>
      <x:c r="H1064" t="n">
        <x:v>2</x:v>
      </x:c>
      <x:c r="I1064" t="str">
        <x:v>5742009</x:v>
      </x:c>
      <x:c r="J1064" t="str">
        <x:v>2754 GERRITSEN AVENUE, LLC</x:v>
      </x:c>
      <x:c r="K1064" s="55" t="n">
        <x:v>43945</x:v>
      </x:c>
      <x:c r="L1064" t="str">
        <x:v>Kings</x:v>
      </x:c>
      <x:c r="M1064" t="str">
        <x:v>New York</x:v>
      </x:c>
      <x:c r="N1064" t="str">
        <x:v>DOMESTIC LIMITED LIABILITY COMPANY</x:v>
      </x:c>
      <x:c r="O1064" t="str">
        <x:v>C/O LLC</x:v>
      </x:c>
      <x:c r="P1064" t="str">
        <x:v>2738 GERRITSEN AVENUE, BROOKLYN, NY, 11229</x:v>
      </x:c>
      <x:c r="Q1064" t="str"/>
      <x:c r="R1064" t="str"/>
      <x:c r="S1064" t="str"/>
      <x:c r="T1064" t="str"/>
      <x:c r="U1064" t="str"/>
      <x:c r="V1064" t="str"/>
      <x:c r="W1064" t="str"/>
      <x:c r="X1064" t="str"/>
      <x:c r="Y1064" t="str">
        <x:v>https://data.ny.gov/Economic-Development/Active-Corporations-Beginning-1800/n9v6-gdp6</x:v>
      </x:c>
    </x:row>
    <x:row r="1065">
      <x:c r="A1065" t="str">
        <x:v>DOS-5-073</x:v>
      </x:c>
      <x:c r="B1065" t="n">
        <x:v>5</x:v>
      </x:c>
      <x:c r="C1065" t="str">
        <x:v>2738 GERRITSEN AVENUE, BROOKLYN, NY, 11229, US</x:v>
      </x:c>
      <x:c r="D1065" t="str">
        <x:v>BH5 BARTLETT PL LLC</x:v>
      </x:c>
      <x:c r="E1065" t="str">
        <x:v>BH5 BARTLETT PL LLC</x:v>
      </x:c>
      <x:c r="F1065" t="str">
        <x:v>Active name match</x:v>
      </x:c>
      <x:c r="G1065" t="n">
        <x:v>1</x:v>
      </x:c>
      <x:c r="H1065" t="n">
        <x:v>0</x:v>
      </x:c>
      <x:c r="I1065" t="str">
        <x:v>7368139</x:v>
      </x:c>
      <x:c r="J1065" t="str">
        <x:v>BH5 BARTLETT PL LLC</x:v>
      </x:c>
      <x:c r="K1065" s="55" t="n">
        <x:v>45481</x:v>
      </x:c>
      <x:c r="L1065" t="str">
        <x:v>Kings</x:v>
      </x:c>
      <x:c r="M1065" t="str">
        <x:v>New York</x:v>
      </x:c>
      <x:c r="N1065" t="str">
        <x:v>DOMESTIC LIMITED LIABILITY COMPANY</x:v>
      </x:c>
      <x:c r="O1065" t="str">
        <x:v>THE LIMITED LIABILITY COMPANY</x:v>
      </x:c>
      <x:c r="P1065" t="str">
        <x:v>2738 Gerritsen Avenue, Brooklyn, NY, 11234</x:v>
      </x:c>
      <x:c r="Q1065" t="str"/>
      <x:c r="R1065" t="str"/>
      <x:c r="S1065" t="str"/>
      <x:c r="T1065" t="str"/>
      <x:c r="U1065" t="str"/>
      <x:c r="V1065" t="str"/>
      <x:c r="W1065" t="str"/>
      <x:c r="X1065" t="str"/>
      <x:c r="Y1065" t="str">
        <x:v>https://data.ny.gov/Economic-Development/Active-Corporations-Beginning-1800/n9v6-gdp6</x:v>
      </x:c>
    </x:row>
    <x:row r="1066">
      <x:c r="A1066" t="str">
        <x:v>DOS-5-073</x:v>
      </x:c>
      <x:c r="B1066" t="n">
        <x:v>5</x:v>
      </x:c>
      <x:c r="C1066" t="str">
        <x:v>2738 GERRITSEN AVENUE, BROOKLYN, NY, 11229, US</x:v>
      </x:c>
      <x:c r="D1066" t="str">
        <x:v>GERRITSEN PARK LLC</x:v>
      </x:c>
      <x:c r="E1066" t="str">
        <x:v>GERRITSEN PARK LLC</x:v>
      </x:c>
      <x:c r="F1066" t="str">
        <x:v>Address-corroborated active match</x:v>
      </x:c>
      <x:c r="G1066" t="n">
        <x:v>1</x:v>
      </x:c>
      <x:c r="H1066" t="n">
        <x:v>2</x:v>
      </x:c>
      <x:c r="I1066" t="str">
        <x:v>6868466</x:v>
      </x:c>
      <x:c r="J1066" t="str">
        <x:v>GERRITSEN PARK, LLC</x:v>
      </x:c>
      <x:c r="K1066" s="55" t="n">
        <x:v>45083</x:v>
      </x:c>
      <x:c r="L1066" t="str">
        <x:v>Kings</x:v>
      </x:c>
      <x:c r="M1066" t="str">
        <x:v>New York</x:v>
      </x:c>
      <x:c r="N1066" t="str">
        <x:v>DOMESTIC LIMITED LIABILITY COMPANY</x:v>
      </x:c>
      <x:c r="O1066" t="str">
        <x:v>THE LIMITED LIABILITY COMPANY</x:v>
      </x:c>
      <x:c r="P1066" t="str">
        <x:v>2738 Gerritsen Avenue, Brooklyn, NY, 11229</x:v>
      </x:c>
      <x:c r="Q1066" t="str"/>
      <x:c r="R1066" t="str"/>
      <x:c r="S1066" t="str"/>
      <x:c r="T1066" t="str"/>
      <x:c r="U1066" t="str"/>
      <x:c r="V1066" t="str"/>
      <x:c r="W1066" t="str"/>
      <x:c r="X1066" t="str"/>
      <x:c r="Y1066" t="str">
        <x:v>https://data.ny.gov/Economic-Development/Active-Corporations-Beginning-1800/n9v6-gdp6</x:v>
      </x:c>
    </x:row>
    <x:row r="1067">
      <x:c r="A1067" t="str">
        <x:v>DOS-5-074</x:v>
      </x:c>
      <x:c r="B1067" t="n">
        <x:v>5</x:v>
      </x:c>
      <x:c r="C1067" t="str">
        <x:v>3240 LUCERNE STREET, BRONX, NY, 10465, US</x:v>
      </x:c>
      <x:c r="D1067" t="str">
        <x:v>BIG V INTERNATIONAL LLC</x:v>
      </x:c>
      <x:c r="E1067" t="str">
        <x:v>BIG V INTERNATIONAL LLC</x:v>
      </x:c>
      <x:c r="F1067" t="str">
        <x:v>Active name match</x:v>
      </x:c>
      <x:c r="G1067" t="n">
        <x:v>1</x:v>
      </x:c>
      <x:c r="H1067" t="n">
        <x:v>0</x:v>
      </x:c>
      <x:c r="I1067" t="str">
        <x:v>5266746</x:v>
      </x:c>
      <x:c r="J1067" t="str">
        <x:v>BIG V INTERNATIONAL, LLC</x:v>
      </x:c>
      <x:c r="K1067" s="55" t="n">
        <x:v>43116</x:v>
      </x:c>
      <x:c r="L1067" t="str">
        <x:v>Westchester</x:v>
      </x:c>
      <x:c r="M1067" t="str">
        <x:v>New York</x:v>
      </x:c>
      <x:c r="N1067" t="str">
        <x:v>DOMESTIC LIMITED LIABILITY COMPANY</x:v>
      </x:c>
      <x:c r="O1067" t="str">
        <x:v>BIG V INTERNATIONAL, LLC</x:v>
      </x:c>
      <x:c r="P1067" t="str">
        <x:v>2065 BOSTON POST ROAD, LARCHMONT, NY, 10538</x:v>
      </x:c>
      <x:c r="Q1067" t="str"/>
      <x:c r="R1067" t="str"/>
      <x:c r="S1067" t="str"/>
      <x:c r="T1067" t="str"/>
      <x:c r="U1067" t="str"/>
      <x:c r="V1067" t="str"/>
      <x:c r="W1067" t="str"/>
      <x:c r="X1067" t="str"/>
      <x:c r="Y1067" t="str">
        <x:v>https://data.ny.gov/Economic-Development/Active-Corporations-Beginning-1800/n9v6-gdp6</x:v>
      </x:c>
    </x:row>
    <x:row r="1068">
      <x:c r="A1068" t="str">
        <x:v>DOS-5-074</x:v>
      </x:c>
      <x:c r="B1068" t="n">
        <x:v>5</x:v>
      </x:c>
      <x:c r="C1068" t="str">
        <x:v>3240 LUCERNE STREET, BRONX, NY, 10465, US</x:v>
      </x:c>
      <x:c r="D1068" t="str">
        <x:v>CHIROSA LLC</x:v>
      </x:c>
      <x:c r="E1068" t="str">
        <x:v>CHIROSA, LLC</x:v>
      </x:c>
      <x:c r="F1068" t="str">
        <x:v>Active name match</x:v>
      </x:c>
      <x:c r="G1068" t="n">
        <x:v>1</x:v>
      </x:c>
      <x:c r="H1068" t="n">
        <x:v>0</x:v>
      </x:c>
      <x:c r="I1068" t="str">
        <x:v>4105992</x:v>
      </x:c>
      <x:c r="J1068" t="str">
        <x:v>CHIROSA LLC</x:v>
      </x:c>
      <x:c r="K1068" s="55" t="n">
        <x:v>40707</x:v>
      </x:c>
      <x:c r="L1068" t="str">
        <x:v>Westchester</x:v>
      </x:c>
      <x:c r="M1068" t="str">
        <x:v>New York</x:v>
      </x:c>
      <x:c r="N1068" t="str">
        <x:v>DOMESTIC LIMITED LIABILITY COMPANY</x:v>
      </x:c>
      <x:c r="O1068" t="str">
        <x:v>C/O TROY G. BLOMBERG, ESQ.</x:v>
      </x:c>
      <x:c r="P1068" t="str">
        <x:v>365 NORTH AVENUE, NEW ROCHELLE, NY, 10801</x:v>
      </x:c>
      <x:c r="Q1068" t="str"/>
      <x:c r="R1068" t="str"/>
      <x:c r="S1068" t="str"/>
      <x:c r="T1068" t="str"/>
      <x:c r="U1068" t="str"/>
      <x:c r="V1068" t="str"/>
      <x:c r="W1068" t="str"/>
      <x:c r="X1068" t="str"/>
      <x:c r="Y1068" t="str">
        <x:v>https://data.ny.gov/Economic-Development/Active-Corporations-Beginning-1800/n9v6-gdp6</x:v>
      </x:c>
    </x:row>
    <x:row r="1069">
      <x:c r="A1069" t="str">
        <x:v>DOS-5-074</x:v>
      </x:c>
      <x:c r="B1069" t="n">
        <x:v>5</x:v>
      </x:c>
      <x:c r="C1069" t="str">
        <x:v>3240 LUCERNE STREET, BRONX, NY, 10465, US</x:v>
      </x:c>
      <x:c r="D1069" t="str">
        <x:v>GALT LINE FELICIA LLC</x:v>
      </x:c>
      <x:c r="E1069" t="str">
        <x:v>GALT LINE FELICIA LLC</x:v>
      </x:c>
      <x:c r="F1069" t="str">
        <x:v>Active name match</x:v>
      </x:c>
      <x:c r="G1069" t="n">
        <x:v>1</x:v>
      </x:c>
      <x:c r="H1069" t="n">
        <x:v>0</x:v>
      </x:c>
      <x:c r="I1069" t="str">
        <x:v>5319925</x:v>
      </x:c>
      <x:c r="J1069" t="str">
        <x:v>GALT LINE FELICIA LLC</x:v>
      </x:c>
      <x:c r="K1069" s="55" t="n">
        <x:v>43200</x:v>
      </x:c>
      <x:c r="L1069" t="str">
        <x:v>Westchester</x:v>
      </x:c>
      <x:c r="M1069" t="str">
        <x:v>New York</x:v>
      </x:c>
      <x:c r="N1069" t="str">
        <x:v>DOMESTIC LIMITED LIABILITY COMPANY</x:v>
      </x:c>
      <x:c r="O1069" t="str">
        <x:v>GALT LINE FELICIA LLC</x:v>
      </x:c>
      <x:c r="P1069" t="str">
        <x:v>PO BOX 610126, BRONX, NY, 10461</x:v>
      </x:c>
      <x:c r="Q1069" t="str"/>
      <x:c r="R1069" t="str"/>
      <x:c r="S1069" t="str"/>
      <x:c r="T1069" t="str"/>
      <x:c r="U1069" t="str"/>
      <x:c r="V1069" t="str"/>
      <x:c r="W1069" t="str"/>
      <x:c r="X1069" t="str"/>
      <x:c r="Y1069" t="str">
        <x:v>https://data.ny.gov/Economic-Development/Active-Corporations-Beginning-1800/n9v6-gdp6</x:v>
      </x:c>
    </x:row>
    <x:row r="1070">
      <x:c r="A1070" t="str">
        <x:v>DOS-5-074</x:v>
      </x:c>
      <x:c r="B1070" t="n">
        <x:v>5</x:v>
      </x:c>
      <x:c r="C1070" t="str">
        <x:v>3240 LUCERNE STREET, BRONX, NY, 10465, US</x:v>
      </x:c>
      <x:c r="D1070" t="str">
        <x:v>POTOMAC WILL LLC</x:v>
      </x:c>
      <x:c r="E1070" t="str">
        <x:v>POTOMAC WILL LLC</x:v>
      </x:c>
      <x:c r="F1070" t="str">
        <x:v>Active name match</x:v>
      </x:c>
      <x:c r="G1070" t="n">
        <x:v>1</x:v>
      </x:c>
      <x:c r="H1070" t="n">
        <x:v>0</x:v>
      </x:c>
      <x:c r="I1070" t="str">
        <x:v>5550891</x:v>
      </x:c>
      <x:c r="J1070" t="str">
        <x:v>POTOMAC WILL LLC</x:v>
      </x:c>
      <x:c r="K1070" s="55" t="n">
        <x:v>43595</x:v>
      </x:c>
      <x:c r="L1070" t="str">
        <x:v>New York</x:v>
      </x:c>
      <x:c r="M1070" t="str">
        <x:v>New York</x:v>
      </x:c>
      <x:c r="N1070" t="str">
        <x:v>DOMESTIC LIMITED LIABILITY COMPANY</x:v>
      </x:c>
      <x:c r="O1070" t="str">
        <x:v>RICARDO GOURSAHAB</x:v>
      </x:c>
      <x:c r="P1070" t="str">
        <x:v>148-39 87 RD, JAMAICA, QUEENS, NY, 11432</x:v>
      </x:c>
      <x:c r="Q1070" t="str"/>
      <x:c r="R1070" t="str"/>
      <x:c r="S1070" t="str"/>
      <x:c r="T1070" t="str"/>
      <x:c r="U1070" t="str"/>
      <x:c r="V1070" t="str"/>
      <x:c r="W1070" t="str"/>
      <x:c r="X1070" t="str"/>
      <x:c r="Y1070" t="str">
        <x:v>https://data.ny.gov/Economic-Development/Active-Corporations-Beginning-1800/n9v6-gdp6</x:v>
      </x:c>
    </x:row>
    <x:row r="1071">
      <x:c r="A1071" t="str">
        <x:v>DOS-5-074</x:v>
      </x:c>
      <x:c r="B1071" t="n">
        <x:v>5</x:v>
      </x:c>
      <x:c r="C1071" t="str">
        <x:v>3240 LUCERNE STREET, BRONX, NY, 10465, US</x:v>
      </x:c>
      <x:c r="D1071" t="str">
        <x:v>WILCOX AVENUE LLC</x:v>
      </x:c>
      <x:c r="E1071" t="str">
        <x:v>WILCOX AVENUE LLC</x:v>
      </x:c>
      <x:c r="F1071" t="str">
        <x:v>Active name match</x:v>
      </x:c>
      <x:c r="G1071" t="n">
        <x:v>1</x:v>
      </x:c>
      <x:c r="H1071" t="n">
        <x:v>1</x:v>
      </x:c>
      <x:c r="I1071" t="str">
        <x:v>6886605</x:v>
      </x:c>
      <x:c r="J1071" t="str">
        <x:v>WILCOX AVENUE LLC</x:v>
      </x:c>
      <x:c r="K1071" s="55" t="n">
        <x:v>45104</x:v>
      </x:c>
      <x:c r="L1071" t="str">
        <x:v>Bronx</x:v>
      </x:c>
      <x:c r="M1071" t="str">
        <x:v>New York</x:v>
      </x:c>
      <x:c r="N1071" t="str">
        <x:v>DOMESTIC LIMITED LIABILITY COMPANY</x:v>
      </x:c>
      <x:c r="O1071" t="str">
        <x:v>THE LIMITED LIABILITY COMPANY</x:v>
      </x:c>
      <x:c r="P1071" t="str">
        <x:v>3240 LUCERNE AVENUE, BRONX, NY, 10465</x:v>
      </x:c>
      <x:c r="Q1071" t="str"/>
      <x:c r="R1071" t="str"/>
      <x:c r="S1071" t="str"/>
      <x:c r="T1071" t="str"/>
      <x:c r="U1071" t="str"/>
      <x:c r="V1071" t="str"/>
      <x:c r="W1071" t="str"/>
      <x:c r="X1071" t="str"/>
      <x:c r="Y1071" t="str">
        <x:v>https://data.ny.gov/Economic-Development/Active-Corporations-Beginning-1800/n9v6-gdp6</x:v>
      </x:c>
    </x:row>
    <x:row r="1072">
      <x:c r="A1072" t="str">
        <x:v>DOS-5-075</x:v>
      </x:c>
      <x:c r="B1072" t="n">
        <x:v>5</x:v>
      </x:c>
      <x:c r="C1072" t="str">
        <x:v>3333 NEW HYDE PARK ROAD, SUITE 411, NEW HYDE PARK, NY, 11042, US</x:v>
      </x:c>
      <x:c r="D1072" t="str">
        <x:v>5501 8760 C A S LLC</x:v>
      </x:c>
      <x:c r="E1072" t="str">
        <x:v>5501/8760 C.A.S. LLC</x:v>
      </x:c>
      <x:c r="F1072" t="str">
        <x:v>Address-corroborated active match</x:v>
      </x:c>
      <x:c r="G1072" t="n">
        <x:v>1</x:v>
      </x:c>
      <x:c r="H1072" t="n">
        <x:v>2</x:v>
      </x:c>
      <x:c r="I1072" t="str">
        <x:v>3936525</x:v>
      </x:c>
      <x:c r="J1072" t="str">
        <x:v>5501/8760 C.A.S. LLC</x:v>
      </x:c>
      <x:c r="K1072" s="55" t="n">
        <x:v>40282</x:v>
      </x:c>
      <x:c r="L1072" t="str">
        <x:v>Nassau</x:v>
      </x:c>
      <x:c r="M1072" t="str">
        <x:v>Delaware</x:v>
      </x:c>
      <x:c r="N1072" t="str">
        <x:v>FOREIGN LIMITED LIABILITY COMPANY</x:v>
      </x:c>
      <x:c r="O1072" t="str">
        <x:v>5501/8760 C.A.S. LLC</x:v>
      </x:c>
      <x:c r="P1072" t="str">
        <x:v>SUITE 411, 3333 NEW HYDE PARK ROAD, NEW HYDE PARK, NY, 110421205</x:v>
      </x:c>
      <x:c r="Q1072" t="str"/>
      <x:c r="R1072" t="str"/>
      <x:c r="S1072" t="str"/>
      <x:c r="T1072" t="str"/>
      <x:c r="U1072" t="str"/>
      <x:c r="V1072" t="str"/>
      <x:c r="W1072" t="str"/>
      <x:c r="X1072" t="str"/>
      <x:c r="Y1072" t="str">
        <x:v>https://data.ny.gov/Economic-Development/Active-Corporations-Beginning-1800/n9v6-gdp6</x:v>
      </x:c>
    </x:row>
    <x:row r="1073">
      <x:c r="A1073" t="str">
        <x:v>DOS-5-075</x:v>
      </x:c>
      <x:c r="B1073" t="n">
        <x:v>5</x:v>
      </x:c>
      <x:c r="C1073" t="str">
        <x:v>3333 NEW HYDE PARK ROAD, SUITE 411, NEW HYDE PARK, NY, 11042, US</x:v>
      </x:c>
      <x:c r="D1073" t="str">
        <x:v>82 83 JH LLC</x:v>
      </x:c>
      <x:c r="E1073" t="str">
        <x:v>82/83 JH LLC</x:v>
      </x:c>
      <x:c r="F1073" t="str">
        <x:v>Address-corroborated active match</x:v>
      </x:c>
      <x:c r="G1073" t="n">
        <x:v>1</x:v>
      </x:c>
      <x:c r="H1073" t="n">
        <x:v>2</x:v>
      </x:c>
      <x:c r="I1073" t="str">
        <x:v>3936518</x:v>
      </x:c>
      <x:c r="J1073" t="str">
        <x:v>82/83 JH LLC</x:v>
      </x:c>
      <x:c r="K1073" s="55" t="n">
        <x:v>40282</x:v>
      </x:c>
      <x:c r="L1073" t="str">
        <x:v>Nassau</x:v>
      </x:c>
      <x:c r="M1073" t="str">
        <x:v>Delaware</x:v>
      </x:c>
      <x:c r="N1073" t="str">
        <x:v>FOREIGN LIMITED LIABILITY COMPANY</x:v>
      </x:c>
      <x:c r="O1073" t="str">
        <x:v>82/83 JH LLC</x:v>
      </x:c>
      <x:c r="P1073" t="str">
        <x:v>SUITE 411, 3333 NEW HYDE PARK ROAD, NEW HYDE PARK, NY, 110421205</x:v>
      </x:c>
      <x:c r="Q1073" t="str"/>
      <x:c r="R1073" t="str"/>
      <x:c r="S1073" t="str"/>
      <x:c r="T1073" t="str"/>
      <x:c r="U1073" t="str"/>
      <x:c r="V1073" t="str"/>
      <x:c r="W1073" t="str"/>
      <x:c r="X1073" t="str"/>
      <x:c r="Y1073" t="str">
        <x:v>https://data.ny.gov/Economic-Development/Active-Corporations-Beginning-1800/n9v6-gdp6</x:v>
      </x:c>
    </x:row>
    <x:row r="1074">
      <x:c r="A1074" t="str">
        <x:v>DOS-5-075</x:v>
      </x:c>
      <x:c r="B1074" t="n">
        <x:v>5</x:v>
      </x:c>
      <x:c r="C1074" t="str">
        <x:v>3333 NEW HYDE PARK ROAD, SUITE 411, NEW HYDE PARK, NY, 11042, US</x:v>
      </x:c>
      <x:c r="D1074" t="str">
        <x:v>AEJ 530 EAST 88TH LLC</x:v>
      </x:c>
      <x:c r="E1074" t="str">
        <x:v>AEJ 530 EAST 88TH LLC</x:v>
      </x:c>
      <x:c r="F1074" t="str">
        <x:v>Address-corroborated active match</x:v>
      </x:c>
      <x:c r="G1074" t="n">
        <x:v>1</x:v>
      </x:c>
      <x:c r="H1074" t="n">
        <x:v>2</x:v>
      </x:c>
      <x:c r="I1074" t="str">
        <x:v>3983562</x:v>
      </x:c>
      <x:c r="J1074" t="str">
        <x:v>AEJ 530 EAST 88TH LLC</x:v>
      </x:c>
      <x:c r="K1074" s="55" t="n">
        <x:v>40401</x:v>
      </x:c>
      <x:c r="L1074" t="str">
        <x:v>Nassau</x:v>
      </x:c>
      <x:c r="M1074" t="str">
        <x:v>New York</x:v>
      </x:c>
      <x:c r="N1074" t="str">
        <x:v>DOMESTIC LIMITED LIABILITY COMPANY</x:v>
      </x:c>
      <x:c r="O1074" t="str">
        <x:v>C/O DITMAS MANAGEMENT CORP.</x:v>
      </x:c>
      <x:c r="P1074" t="str">
        <x:v>3333 NEW HYDE PARK ROAD, SUITE 411, NEW HYDE PARK, NY, 11042</x:v>
      </x:c>
      <x:c r="Q1074" t="str"/>
      <x:c r="R1074" t="str"/>
      <x:c r="S1074" t="str"/>
      <x:c r="T1074" t="str"/>
      <x:c r="U1074" t="str"/>
      <x:c r="V1074" t="str"/>
      <x:c r="W1074" t="str"/>
      <x:c r="X1074" t="str"/>
      <x:c r="Y1074" t="str">
        <x:v>https://data.ny.gov/Economic-Development/Active-Corporations-Beginning-1800/n9v6-gdp6</x:v>
      </x:c>
    </x:row>
    <x:row r="1075">
      <x:c r="A1075" t="str">
        <x:v>DOS-5-075</x:v>
      </x:c>
      <x:c r="B1075" t="n">
        <x:v>5</x:v>
      </x:c>
      <x:c r="C1075" t="str">
        <x:v>3333 NEW HYDE PARK ROAD, SUITE 411, NEW HYDE PARK, NY, 11042, US</x:v>
      </x:c>
      <x:c r="D1075" t="str">
        <x:v>DEERWOOD JACKSON AVENUE LLC</x:v>
      </x:c>
      <x:c r="E1075" t="str">
        <x:v>DEERWOOD JACKSON AVENUE LLC</x:v>
      </x:c>
      <x:c r="F1075" t="str">
        <x:v>Address-corroborated active match</x:v>
      </x:c>
      <x:c r="G1075" t="n">
        <x:v>1</x:v>
      </x:c>
      <x:c r="H1075" t="n">
        <x:v>2</x:v>
      </x:c>
      <x:c r="I1075" t="str">
        <x:v>5264547</x:v>
      </x:c>
      <x:c r="J1075" t="str">
        <x:v>DEERWOOD JACKSON AVENUE LLC</x:v>
      </x:c>
      <x:c r="K1075" s="55" t="n">
        <x:v>43110</x:v>
      </x:c>
      <x:c r="L1075" t="str">
        <x:v>Nassau</x:v>
      </x:c>
      <x:c r="M1075" t="str">
        <x:v>New York</x:v>
      </x:c>
      <x:c r="N1075" t="str">
        <x:v>DOMESTIC LIMITED LIABILITY COMPANY</x:v>
      </x:c>
      <x:c r="O1075" t="str">
        <x:v>DEERWOOD JACKSON AVENUE LLC</x:v>
      </x:c>
      <x:c r="P1075" t="str">
        <x:v>3333 NEW HYDE PARK ROAD, SUITE 411, NEW HYDE PARK, NY, 11042</x:v>
      </x:c>
      <x:c r="Q1075" t="str"/>
      <x:c r="R1075" t="str"/>
      <x:c r="S1075" t="str"/>
      <x:c r="T1075" t="str"/>
      <x:c r="U1075" t="str"/>
      <x:c r="V1075" t="str"/>
      <x:c r="W1075" t="str"/>
      <x:c r="X1075" t="str"/>
      <x:c r="Y1075" t="str">
        <x:v>https://data.ny.gov/Economic-Development/Active-Corporations-Beginning-1800/n9v6-gdp6</x:v>
      </x:c>
    </x:row>
    <x:row r="1076">
      <x:c r="A1076" t="str">
        <x:v>DOS-5-075</x:v>
      </x:c>
      <x:c r="B1076" t="n">
        <x:v>5</x:v>
      </x:c>
      <x:c r="C1076" t="str">
        <x:v>3333 NEW HYDE PARK ROAD, SUITE 411, NEW HYDE PARK, NY, 11042, US</x:v>
      </x:c>
      <x:c r="D1076" t="str">
        <x:v>P S 143 REALTY LLC</x:v>
      </x:c>
      <x:c r="E1076" t="str">
        <x:v>P.S. 143 REALTY LLC</x:v>
      </x:c>
      <x:c r="F1076" t="str">
        <x:v>Active name match</x:v>
      </x:c>
      <x:c r="G1076" t="n">
        <x:v>1</x:v>
      </x:c>
      <x:c r="H1076" t="n">
        <x:v>1</x:v>
      </x:c>
      <x:c r="I1076" t="str">
        <x:v>3936580</x:v>
      </x:c>
      <x:c r="J1076" t="str">
        <x:v>P.S. 143 REALTY LLC</x:v>
      </x:c>
      <x:c r="K1076" s="55" t="n">
        <x:v>40282</x:v>
      </x:c>
      <x:c r="L1076" t="str">
        <x:v>Nassau</x:v>
      </x:c>
      <x:c r="M1076" t="str">
        <x:v>Delaware</x:v>
      </x:c>
      <x:c r="N1076" t="str">
        <x:v>FOREIGN LIMITED LIABILITY COMPANY</x:v>
      </x:c>
      <x:c r="O1076" t="str">
        <x:v>DITMAS MANAGEMENT CORP.</x:v>
      </x:c>
      <x:c r="P1076" t="str">
        <x:v>3333 NEW HYDE PARK RD STE 411, NEW HYDE PARK, NY, 11042</x:v>
      </x:c>
      <x:c r="Q1076" t="str"/>
      <x:c r="R1076" t="str"/>
      <x:c r="S1076" t="str"/>
      <x:c r="T1076" t="str"/>
      <x:c r="U1076" t="str"/>
      <x:c r="V1076" t="str"/>
      <x:c r="W1076" t="str"/>
      <x:c r="X1076" t="str"/>
      <x:c r="Y1076" t="str">
        <x:v>https://data.ny.gov/Economic-Development/Active-Corporations-Beginning-1800/n9v6-gdp6</x:v>
      </x:c>
    </x:row>
    <x:row r="1077">
      <x:c r="A1077" t="str">
        <x:v>DOS-5-076</x:v>
      </x:c>
      <x:c r="B1077" t="n">
        <x:v>5</x:v>
      </x:c>
      <x:c r="C1077" t="str">
        <x:v>335  EAST 10TH STREET, NEW YORK, NY, 10009, US | 335 EAST 10TH STREET, NEW YORK, NY, 10009, US</x:v>
      </x:c>
      <x:c r="D1077" t="str">
        <x:v>200 BC LLC</x:v>
      </x:c>
      <x:c r="E1077" t="str">
        <x:v>200 BC LLC</x:v>
      </x:c>
      <x:c r="F1077" t="str">
        <x:v>Address-corroborated active match</x:v>
      </x:c>
      <x:c r="G1077" t="n">
        <x:v>1</x:v>
      </x:c>
      <x:c r="H1077" t="n">
        <x:v>2</x:v>
      </x:c>
      <x:c r="I1077" t="str">
        <x:v>5368454</x:v>
      </x:c>
      <x:c r="J1077" t="str">
        <x:v>200 BC LLC</x:v>
      </x:c>
      <x:c r="K1077" s="55" t="n">
        <x:v>43280</x:v>
      </x:c>
      <x:c r="L1077" t="str">
        <x:v>Suffolk</x:v>
      </x:c>
      <x:c r="M1077" t="str">
        <x:v>New York</x:v>
      </x:c>
      <x:c r="N1077" t="str">
        <x:v>DOMESTIC LIMITED LIABILITY COMPANY</x:v>
      </x:c>
      <x:c r="O1077" t="str">
        <x:v>200 BC LLC</x:v>
      </x:c>
      <x:c r="P1077" t="str">
        <x:v>335 EAST 10TH ST., NEW YORK, NY, 10009</x:v>
      </x:c>
      <x:c r="Q1077" t="str"/>
      <x:c r="R1077" t="str"/>
      <x:c r="S1077" t="str"/>
      <x:c r="T1077" t="str"/>
      <x:c r="U1077" t="str"/>
      <x:c r="V1077" t="str"/>
      <x:c r="W1077" t="str"/>
      <x:c r="X1077" t="str"/>
      <x:c r="Y1077" t="str">
        <x:v>https://data.ny.gov/Economic-Development/Active-Corporations-Beginning-1800/n9v6-gdp6</x:v>
      </x:c>
    </x:row>
    <x:row r="1078">
      <x:c r="A1078" t="str">
        <x:v>DOS-5-076</x:v>
      </x:c>
      <x:c r="B1078" t="n">
        <x:v>5</x:v>
      </x:c>
      <x:c r="C1078" t="str">
        <x:v>335  EAST 10TH STREET, NEW YORK, NY, 10009, US | 335 EAST 10TH STREET, NEW YORK, NY, 10009, US</x:v>
      </x:c>
      <x:c r="D1078" t="str">
        <x:v>324 6 E 13 LLC</x:v>
      </x:c>
      <x:c r="E1078" t="str">
        <x:v>324-6 E 13 LLC</x:v>
      </x:c>
      <x:c r="F1078" t="str">
        <x:v>Active name match</x:v>
      </x:c>
      <x:c r="G1078" t="n">
        <x:v>1</x:v>
      </x:c>
      <x:c r="H1078" t="n">
        <x:v>0</x:v>
      </x:c>
      <x:c r="I1078" t="str">
        <x:v>1926083</x:v>
      </x:c>
      <x:c r="J1078" t="str">
        <x:v>324-6 E 13 LLC</x:v>
      </x:c>
      <x:c r="K1078" s="55" t="n">
        <x:v>34849</x:v>
      </x:c>
      <x:c r="L1078" t="str">
        <x:v>New York</x:v>
      </x:c>
      <x:c r="M1078" t="str">
        <x:v>New York</x:v>
      </x:c>
      <x:c r="N1078" t="str">
        <x:v>DOMESTIC LIMITED LIABILITY COMPANY</x:v>
      </x:c>
      <x:c r="O1078" t="str">
        <x:v>324-6 E 13 LLC</x:v>
      </x:c>
      <x:c r="P1078" t="str">
        <x:v>143 WEST 72ND STREET   4TH FL, STE 206, NEW YORK, NY, 10023</x:v>
      </x:c>
      <x:c r="Q1078" t="str"/>
      <x:c r="R1078" t="str"/>
      <x:c r="S1078" t="str"/>
      <x:c r="T1078" t="str"/>
      <x:c r="U1078" t="str"/>
      <x:c r="V1078" t="str"/>
      <x:c r="W1078" t="str"/>
      <x:c r="X1078" t="str"/>
      <x:c r="Y1078" t="str">
        <x:v>https://data.ny.gov/Economic-Development/Active-Corporations-Beginning-1800/n9v6-gdp6</x:v>
      </x:c>
    </x:row>
    <x:row r="1079">
      <x:c r="A1079" t="str">
        <x:v>DOS-5-076</x:v>
      </x:c>
      <x:c r="B1079" t="n">
        <x:v>5</x:v>
      </x:c>
      <x:c r="C1079" t="str">
        <x:v>335  EAST 10TH STREET, NEW YORK, NY, 10009, US | 335 EAST 10TH STREET, NEW YORK, NY, 10009, US</x:v>
      </x:c>
      <x:c r="D1079" t="str">
        <x:v>MARGIT REALTY LLC</x:v>
      </x:c>
      <x:c r="E1079" t="str">
        <x:v>MARGIT REALTY LLC</x:v>
      </x:c>
      <x:c r="F1079" t="str">
        <x:v>Active name match</x:v>
      </x:c>
      <x:c r="G1079" t="n">
        <x:v>1</x:v>
      </x:c>
      <x:c r="H1079" t="n">
        <x:v>0</x:v>
      </x:c>
      <x:c r="I1079" t="str">
        <x:v>2211735</x:v>
      </x:c>
      <x:c r="J1079" t="str">
        <x:v>MARGIT REALTY LLC</x:v>
      </x:c>
      <x:c r="K1079" s="55" t="n">
        <x:v>35788</x:v>
      </x:c>
      <x:c r="L1079" t="str">
        <x:v>Nassau</x:v>
      </x:c>
      <x:c r="M1079" t="str">
        <x:v>New York</x:v>
      </x:c>
      <x:c r="N1079" t="str">
        <x:v>DOMESTIC LIMITED LIABILITY COMPANY</x:v>
      </x:c>
      <x:c r="O1079" t="str">
        <x:v>MARGIT REALTY LLC</x:v>
      </x:c>
      <x:c r="P1079" t="str">
        <x:v>143 west 72nd street, STE 206, NEW YORK, NY, 10023</x:v>
      </x:c>
      <x:c r="Q1079" t="str"/>
      <x:c r="R1079" t="str"/>
      <x:c r="S1079" t="str"/>
      <x:c r="T1079" t="str"/>
      <x:c r="U1079" t="str"/>
      <x:c r="V1079" t="str"/>
      <x:c r="W1079" t="str"/>
      <x:c r="X1079" t="str"/>
      <x:c r="Y1079" t="str">
        <x:v>https://data.ny.gov/Economic-Development/Active-Corporations-Beginning-1800/n9v6-gdp6</x:v>
      </x:c>
    </x:row>
    <x:row r="1080">
      <x:c r="A1080" t="str">
        <x:v>DOS-5-076</x:v>
      </x:c>
      <x:c r="B1080" t="n">
        <x:v>5</x:v>
      </x:c>
      <x:c r="C1080" t="str">
        <x:v>335  EAST 10TH STREET, NEW YORK, NY, 10009, US | 335 EAST 10TH STREET, NEW YORK, NY, 10009, US</x:v>
      </x:c>
      <x:c r="D1080" t="str">
        <x:v>PARK EAST TENTH LLC</x:v>
      </x:c>
      <x:c r="E1080" t="str">
        <x:v>PARK EAST TENTH LLC</x:v>
      </x:c>
      <x:c r="F1080" t="str">
        <x:v>Active name match</x:v>
      </x:c>
      <x:c r="G1080" t="n">
        <x:v>1</x:v>
      </x:c>
      <x:c r="H1080" t="n">
        <x:v>0</x:v>
      </x:c>
      <x:c r="I1080" t="str">
        <x:v>2772804</x:v>
      </x:c>
      <x:c r="J1080" t="str">
        <x:v>PARK EAST TENTH LLC</x:v>
      </x:c>
      <x:c r="K1080" s="55" t="n">
        <x:v>37406</x:v>
      </x:c>
      <x:c r="L1080" t="str">
        <x:v>Ulster</x:v>
      </x:c>
      <x:c r="M1080" t="str">
        <x:v>Delaware</x:v>
      </x:c>
      <x:c r="N1080" t="str">
        <x:v>FOREIGN LIMITED LIABILITY COMPANY</x:v>
      </x:c>
      <x:c r="O1080" t="str">
        <x:v>PARK EAST TENTH LLC</x:v>
      </x:c>
      <x:c r="P1080" t="str">
        <x:v>143 west 72nd street, STE 206, NY, NY, 10023</x:v>
      </x:c>
      <x:c r="Q1080" t="str"/>
      <x:c r="R1080" t="str"/>
      <x:c r="S1080" t="str"/>
      <x:c r="T1080" t="str"/>
      <x:c r="U1080" t="str"/>
      <x:c r="V1080" t="str"/>
      <x:c r="W1080" t="str"/>
      <x:c r="X1080" t="str"/>
      <x:c r="Y1080" t="str">
        <x:v>https://data.ny.gov/Economic-Development/Active-Corporations-Beginning-1800/n9v6-gdp6</x:v>
      </x:c>
    </x:row>
    <x:row r="1081">
      <x:c r="A1081" t="str">
        <x:v>DOS-5-076</x:v>
      </x:c>
      <x:c r="B1081" t="n">
        <x:v>5</x:v>
      </x:c>
      <x:c r="C1081" t="str">
        <x:v>335  EAST 10TH STREET, NEW YORK, NY, 10009, US | 335 EAST 10TH STREET, NEW YORK, NY, 10009, US</x:v>
      </x:c>
      <x:c r="D1081" t="str">
        <x:v>SIX AB LLC</x:v>
      </x:c>
      <x:c r="E1081" t="str">
        <x:v>SIX AB LLC</x:v>
      </x:c>
      <x:c r="F1081" t="str">
        <x:v>Active name match</x:v>
      </x:c>
      <x:c r="G1081" t="n">
        <x:v>1</x:v>
      </x:c>
      <x:c r="H1081" t="n">
        <x:v>1</x:v>
      </x:c>
      <x:c r="I1081" t="str">
        <x:v>2401330</x:v>
      </x:c>
      <x:c r="J1081" t="str">
        <x:v>SIX AB LLC</x:v>
      </x:c>
      <x:c r="K1081" s="55" t="n">
        <x:v>36363</x:v>
      </x:c>
      <x:c r="L1081" t="str">
        <x:v>Ulster</x:v>
      </x:c>
      <x:c r="M1081" t="str">
        <x:v>New York</x:v>
      </x:c>
      <x:c r="N1081" t="str">
        <x:v>DOMESTIC LIMITED LIABILITY COMPANY</x:v>
      </x:c>
      <x:c r="O1081" t="str">
        <x:v>SIX AB LLC</x:v>
      </x:c>
      <x:c r="P1081" t="str">
        <x:v>335 E 10TH ST, NEW YORK, NY, 10009</x:v>
      </x:c>
      <x:c r="Q1081" t="str"/>
      <x:c r="R1081" t="str"/>
      <x:c r="S1081" t="str"/>
      <x:c r="T1081" t="str"/>
      <x:c r="U1081" t="str"/>
      <x:c r="V1081" t="str"/>
      <x:c r="W1081" t="str"/>
      <x:c r="X1081" t="str"/>
      <x:c r="Y1081" t="str">
        <x:v>https://data.ny.gov/Economic-Development/Active-Corporations-Beginning-1800/n9v6-gdp6</x:v>
      </x:c>
    </x:row>
    <x:row r="1082">
      <x:c r="A1082" t="str">
        <x:v>DOS-5-077</x:v>
      </x:c>
      <x:c r="B1082" t="n">
        <x:v>5</x:v>
      </x:c>
      <x:c r="C1082" t="str">
        <x:v>36-14 11TH STREET, LONG ISLAND CITY, NY, 11106, US</x:v>
      </x:c>
      <x:c r="D1082" t="str">
        <x:v>1228 WHITESTONE LLC</x:v>
      </x:c>
      <x:c r="E1082" t="str">
        <x:v>1228 WHITESTONE LLC</x:v>
      </x:c>
      <x:c r="F1082" t="str">
        <x:v>Address-corroborated active match</x:v>
      </x:c>
      <x:c r="G1082" t="n">
        <x:v>1</x:v>
      </x:c>
      <x:c r="H1082" t="n">
        <x:v>2</x:v>
      </x:c>
      <x:c r="I1082" t="str">
        <x:v>7738906</x:v>
      </x:c>
      <x:c r="J1082" t="str">
        <x:v>1228 WHITESTONE LLC</x:v>
      </x:c>
      <x:c r="K1082" s="55" t="n">
        <x:v>45951</x:v>
      </x:c>
      <x:c r="L1082" t="str">
        <x:v>Queens</x:v>
      </x:c>
      <x:c r="M1082" t="str">
        <x:v>New York</x:v>
      </x:c>
      <x:c r="N1082" t="str">
        <x:v>DOMESTIC LIMITED LIABILITY COMPANY</x:v>
      </x:c>
      <x:c r="O1082" t="str">
        <x:v>1228 WHITESTONE LLC</x:v>
      </x:c>
      <x:c r="P1082" t="str">
        <x:v>36-14 11th Street, Long Island City, NY, 11106</x:v>
      </x:c>
      <x:c r="Q1082" t="str"/>
      <x:c r="R1082" t="str"/>
      <x:c r="S1082" t="str"/>
      <x:c r="T1082" t="str"/>
      <x:c r="U1082" t="str"/>
      <x:c r="V1082" t="str"/>
      <x:c r="W1082" t="str"/>
      <x:c r="X1082" t="str"/>
      <x:c r="Y1082" t="str">
        <x:v>https://data.ny.gov/Economic-Development/Active-Corporations-Beginning-1800/n9v6-gdp6</x:v>
      </x:c>
    </x:row>
    <x:row r="1083">
      <x:c r="A1083" t="str">
        <x:v>DOS-5-077</x:v>
      </x:c>
      <x:c r="B1083" t="n">
        <x:v>5</x:v>
      </x:c>
      <x:c r="C1083" t="str">
        <x:v>36-14 11TH STREET, LONG ISLAND CITY, NY, 11106, US</x:v>
      </x:c>
      <x:c r="D1083" t="str">
        <x:v>30 79 C HOLDINGS LLC</x:v>
      </x:c>
      <x:c r="E1083" t="str">
        <x:v>30-79 C HOLDINGS, LLC</x:v>
      </x:c>
      <x:c r="F1083" t="str">
        <x:v>Active name match</x:v>
      </x:c>
      <x:c r="G1083" t="n">
        <x:v>1</x:v>
      </x:c>
      <x:c r="H1083" t="n">
        <x:v>0</x:v>
      </x:c>
      <x:c r="I1083" t="str">
        <x:v>4553726</x:v>
      </x:c>
      <x:c r="J1083" t="str">
        <x:v>30-79 C HOLDINGS, LLC</x:v>
      </x:c>
      <x:c r="K1083" s="55" t="n">
        <x:v>41729</x:v>
      </x:c>
      <x:c r="L1083" t="str">
        <x:v>Queens</x:v>
      </x:c>
      <x:c r="M1083" t="str">
        <x:v>New York</x:v>
      </x:c>
      <x:c r="N1083" t="str">
        <x:v>DOMESTIC LIMITED LIABILITY COMPANY</x:v>
      </x:c>
      <x:c r="O1083" t="str">
        <x:v>C/O KARABELAS &amp; PAPAGIANOPOULOS LLP</x:v>
      </x:c>
      <x:c r="P1083" t="str">
        <x:v>31-10 37TH AVENUE, SUITE 301, LONG ISLAND CITY, NY, 11101</x:v>
      </x:c>
      <x:c r="Q1083" t="str"/>
      <x:c r="R1083" t="str"/>
      <x:c r="S1083" t="str"/>
      <x:c r="T1083" t="str"/>
      <x:c r="U1083" t="str"/>
      <x:c r="V1083" t="str"/>
      <x:c r="W1083" t="str"/>
      <x:c r="X1083" t="str"/>
      <x:c r="Y1083" t="str">
        <x:v>https://data.ny.gov/Economic-Development/Active-Corporations-Beginning-1800/n9v6-gdp6</x:v>
      </x:c>
    </x:row>
    <x:row r="1084">
      <x:c r="A1084" t="str">
        <x:v>DOS-5-077</x:v>
      </x:c>
      <x:c r="B1084" t="n">
        <x:v>5</x:v>
      </x:c>
      <x:c r="C1084" t="str">
        <x:v>36-14 11TH STREET, LONG ISLAND CITY, NY, 11106, US</x:v>
      </x:c>
      <x:c r="D1084" t="str">
        <x:v>36 10 11TH ST REALTY LLC</x:v>
      </x:c>
      <x:c r="E1084" t="str">
        <x:v>36-10 11TH ST. REALTY LLC</x:v>
      </x:c>
      <x:c r="F1084" t="str">
        <x:v>Address-corroborated active match</x:v>
      </x:c>
      <x:c r="G1084" t="n">
        <x:v>1</x:v>
      </x:c>
      <x:c r="H1084" t="n">
        <x:v>2</x:v>
      </x:c>
      <x:c r="I1084" t="str">
        <x:v>4781026</x:v>
      </x:c>
      <x:c r="J1084" t="str">
        <x:v>36-10 11TH ST. REALTY LLC</x:v>
      </x:c>
      <x:c r="K1084" s="55" t="n">
        <x:v>42181</x:v>
      </x:c>
      <x:c r="L1084" t="str">
        <x:v>Queens</x:v>
      </x:c>
      <x:c r="M1084" t="str">
        <x:v>New York</x:v>
      </x:c>
      <x:c r="N1084" t="str">
        <x:v>DOMESTIC LIMITED LIABILITY COMPANY</x:v>
      </x:c>
      <x:c r="O1084" t="str">
        <x:v>36-10 11TH ST. REALTY LLC</x:v>
      </x:c>
      <x:c r="P1084" t="str">
        <x:v>36-14 11TH STREET, LONG ISLAND CITY, NY, 11106</x:v>
      </x:c>
      <x:c r="Q1084" t="str"/>
      <x:c r="R1084" t="str"/>
      <x:c r="S1084" t="str"/>
      <x:c r="T1084" t="str"/>
      <x:c r="U1084" t="str"/>
      <x:c r="V1084" t="str"/>
      <x:c r="W1084" t="str"/>
      <x:c r="X1084" t="str"/>
      <x:c r="Y1084" t="str">
        <x:v>https://data.ny.gov/Economic-Development/Active-Corporations-Beginning-1800/n9v6-gdp6</x:v>
      </x:c>
    </x:row>
    <x:row r="1085">
      <x:c r="A1085" t="str">
        <x:v>DOS-5-077</x:v>
      </x:c>
      <x:c r="B1085" t="n">
        <x:v>5</x:v>
      </x:c>
      <x:c r="C1085" t="str">
        <x:v>36-14 11TH STREET, LONG ISLAND CITY, NY, 11106, US</x:v>
      </x:c>
      <x:c r="D1085" t="str">
        <x:v>DCT LLC</x:v>
      </x:c>
      <x:c r="E1085" t="str">
        <x:v>DCT, LLC</x:v>
      </x:c>
      <x:c r="F1085" t="str">
        <x:v>Address-corroborated active match</x:v>
      </x:c>
      <x:c r="G1085" t="n">
        <x:v>1</x:v>
      </x:c>
      <x:c r="H1085" t="n">
        <x:v>2</x:v>
      </x:c>
      <x:c r="I1085" t="str">
        <x:v>4310668</x:v>
      </x:c>
      <x:c r="J1085" t="str">
        <x:v>DCT, LLC</x:v>
      </x:c>
      <x:c r="K1085" s="55" t="n">
        <x:v>41201</x:v>
      </x:c>
      <x:c r="L1085" t="str">
        <x:v>Queens</x:v>
      </x:c>
      <x:c r="M1085" t="str">
        <x:v>New York</x:v>
      </x:c>
      <x:c r="N1085" t="str">
        <x:v>DOMESTIC LIMITED LIABILITY COMPANY</x:v>
      </x:c>
      <x:c r="O1085" t="str">
        <x:v>DCT, LLC</x:v>
      </x:c>
      <x:c r="P1085" t="str">
        <x:v>36-14 11TH STREET, LONG ISLAND CITY, NY, 11106</x:v>
      </x:c>
      <x:c r="Q1085" t="str"/>
      <x:c r="R1085" t="str"/>
      <x:c r="S1085" t="str"/>
      <x:c r="T1085" t="str"/>
      <x:c r="U1085" t="str"/>
      <x:c r="V1085" t="str"/>
      <x:c r="W1085" t="str"/>
      <x:c r="X1085" t="str"/>
      <x:c r="Y1085" t="str">
        <x:v>https://data.ny.gov/Economic-Development/Active-Corporations-Beginning-1800/n9v6-gdp6</x:v>
      </x:c>
    </x:row>
    <x:row r="1086">
      <x:c r="A1086" t="str">
        <x:v>DOS-5-077</x:v>
      </x:c>
      <x:c r="B1086" t="n">
        <x:v>5</x:v>
      </x:c>
      <x:c r="C1086" t="str">
        <x:v>36-14 11TH STREET, LONG ISLAND CITY, NY, 11106, US</x:v>
      </x:c>
      <x:c r="D1086" t="str">
        <x:v>PANOS C REALTY LLC</x:v>
      </x:c>
      <x:c r="E1086" t="str">
        <x:v>PANOS C REALTY, LLC</x:v>
      </x:c>
      <x:c r="F1086" t="str">
        <x:v>Address-corroborated active match</x:v>
      </x:c>
      <x:c r="G1086" t="n">
        <x:v>1</x:v>
      </x:c>
      <x:c r="H1086" t="n">
        <x:v>2</x:v>
      </x:c>
      <x:c r="I1086" t="str">
        <x:v>3584079</x:v>
      </x:c>
      <x:c r="J1086" t="str">
        <x:v>PANOS C REALTY, LLC</x:v>
      </x:c>
      <x:c r="K1086" s="55" t="n">
        <x:v>39378</x:v>
      </x:c>
      <x:c r="L1086" t="str">
        <x:v>Queens</x:v>
      </x:c>
      <x:c r="M1086" t="str">
        <x:v>New York</x:v>
      </x:c>
      <x:c r="N1086" t="str">
        <x:v>DOMESTIC LIMITED LIABILITY COMPANY</x:v>
      </x:c>
      <x:c r="O1086" t="str">
        <x:v>PANOS C REALTY, LLC</x:v>
      </x:c>
      <x:c r="P1086" t="str">
        <x:v>36-14 11TH STREET, LONG ISLAND CITY, NY, 11106</x:v>
      </x:c>
      <x:c r="Q1086" t="str"/>
      <x:c r="R1086" t="str"/>
      <x:c r="S1086" t="str"/>
      <x:c r="T1086" t="str"/>
      <x:c r="U1086" t="str"/>
      <x:c r="V1086" t="str"/>
      <x:c r="W1086" t="str"/>
      <x:c r="X1086" t="str"/>
      <x:c r="Y1086" t="str">
        <x:v>https://data.ny.gov/Economic-Development/Active-Corporations-Beginning-1800/n9v6-gdp6</x:v>
      </x:c>
    </x:row>
    <x:row r="1087">
      <x:c r="A1087" t="str">
        <x:v>DOS-5-078</x:v>
      </x:c>
      <x:c r="B1087" t="n">
        <x:v>5</x:v>
      </x:c>
      <x:c r="C1087" t="str">
        <x:v>381 PARK AVENUE SOUTH, SUITE 621, NEW YORK, NY, 10016, US</x:v>
      </x:c>
      <x:c r="D1087" t="str">
        <x:v>EAST SIDE VENTURES LLC</x:v>
      </x:c>
      <x:c r="E1087" t="str">
        <x:v>EAST SIDE VENTURES LLC</x:v>
      </x:c>
      <x:c r="F1087" t="str">
        <x:v>Active name match</x:v>
      </x:c>
      <x:c r="G1087" t="n">
        <x:v>1</x:v>
      </x:c>
      <x:c r="H1087" t="n">
        <x:v>1</x:v>
      </x:c>
      <x:c r="I1087" t="str">
        <x:v>4772812</x:v>
      </x:c>
      <x:c r="J1087" t="str">
        <x:v>EAST SIDE VENTURES LLC</x:v>
      </x:c>
      <x:c r="K1087" s="55" t="n">
        <x:v>42166</x:v>
      </x:c>
      <x:c r="L1087" t="str">
        <x:v>New York</x:v>
      </x:c>
      <x:c r="M1087" t="str">
        <x:v>New York</x:v>
      </x:c>
      <x:c r="N1087" t="str">
        <x:v>DOMESTIC LIMITED LIABILITY COMPANY</x:v>
      </x:c>
      <x:c r="O1087" t="str">
        <x:v>EAST SIDE VENTURES LLC</x:v>
      </x:c>
      <x:c r="P1087" t="str">
        <x:v>148 Madison Avenue, 16th Floor, NEW YORK, NY, 10016</x:v>
      </x:c>
      <x:c r="Q1087" t="str"/>
      <x:c r="R1087" t="str"/>
      <x:c r="S1087" t="str"/>
      <x:c r="T1087" t="str"/>
      <x:c r="U1087" t="str"/>
      <x:c r="V1087" t="str"/>
      <x:c r="W1087" t="str"/>
      <x:c r="X1087" t="str"/>
      <x:c r="Y1087" t="str">
        <x:v>https://data.ny.gov/Economic-Development/Active-Corporations-Beginning-1800/n9v6-gdp6</x:v>
      </x:c>
    </x:row>
    <x:row r="1088">
      <x:c r="A1088" t="str">
        <x:v>DOS-5-078</x:v>
      </x:c>
      <x:c r="B1088" t="n">
        <x:v>5</x:v>
      </x:c>
      <x:c r="C1088" t="str">
        <x:v>381 PARK AVENUE SOUTH, SUITE 621, NEW YORK, NY, 10016, US</x:v>
      </x:c>
      <x:c r="D1088" t="str">
        <x:v>GRAMERCY FIRST AVENUE LLC</x:v>
      </x:c>
      <x:c r="E1088" t="str">
        <x:v>GRAMERCY FIRST AVENUE LLC</x:v>
      </x:c>
      <x:c r="F1088" t="str">
        <x:v>Active name match</x:v>
      </x:c>
      <x:c r="G1088" t="n">
        <x:v>1</x:v>
      </x:c>
      <x:c r="H1088" t="n">
        <x:v>1</x:v>
      </x:c>
      <x:c r="I1088" t="str">
        <x:v>4791610</x:v>
      </x:c>
      <x:c r="J1088" t="str">
        <x:v>GRAMERCY FIRST AVENUE LLC</x:v>
      </x:c>
      <x:c r="K1088" s="55" t="n">
        <x:v>42205</x:v>
      </x:c>
      <x:c r="L1088" t="str">
        <x:v>Nassau</x:v>
      </x:c>
      <x:c r="M1088" t="str">
        <x:v>New York</x:v>
      </x:c>
      <x:c r="N1088" t="str">
        <x:v>DOMESTIC LIMITED LIABILITY COMPANY</x:v>
      </x:c>
      <x:c r="O1088" t="str">
        <x:v>GRAMERCY FIRST AVENUE LLC</x:v>
      </x:c>
      <x:c r="P1088" t="str">
        <x:v>148 madison ave, 16th floor, NEW YORK, NY, 10016</x:v>
      </x:c>
      <x:c r="Q1088" t="str"/>
      <x:c r="R1088" t="str"/>
      <x:c r="S1088" t="str"/>
      <x:c r="T1088" t="str"/>
      <x:c r="U1088" t="str"/>
      <x:c r="V1088" t="str"/>
      <x:c r="W1088" t="str"/>
      <x:c r="X1088" t="str"/>
      <x:c r="Y1088" t="str">
        <x:v>https://data.ny.gov/Economic-Development/Active-Corporations-Beginning-1800/n9v6-gdp6</x:v>
      </x:c>
    </x:row>
    <x:row r="1089">
      <x:c r="A1089" t="str">
        <x:v>DOS-5-078</x:v>
      </x:c>
      <x:c r="B1089" t="n">
        <x:v>5</x:v>
      </x:c>
      <x:c r="C1089" t="str">
        <x:v>381 PARK AVENUE SOUTH, SUITE 621, NEW YORK, NY, 10016, US</x:v>
      </x:c>
      <x:c r="D1089" t="str">
        <x:v>LIVINGSTON EQUITY LLC</x:v>
      </x:c>
      <x:c r="E1089" t="str">
        <x:v>LIVINGSTON EQUITY LLC</x:v>
      </x:c>
      <x:c r="F1089" t="str">
        <x:v>Active name match</x:v>
      </x:c>
      <x:c r="G1089" t="n">
        <x:v>1</x:v>
      </x:c>
      <x:c r="H1089" t="n">
        <x:v>1</x:v>
      </x:c>
      <x:c r="I1089" t="str">
        <x:v>4772815</x:v>
      </x:c>
      <x:c r="J1089" t="str">
        <x:v>LIVINGSTON EQUITY LLC</x:v>
      </x:c>
      <x:c r="K1089" s="55" t="n">
        <x:v>42166</x:v>
      </x:c>
      <x:c r="L1089" t="str">
        <x:v>New York</x:v>
      </x:c>
      <x:c r="M1089" t="str">
        <x:v>New York</x:v>
      </x:c>
      <x:c r="N1089" t="str">
        <x:v>DOMESTIC LIMITED LIABILITY COMPANY</x:v>
      </x:c>
      <x:c r="O1089" t="str">
        <x:v>LIVINGSTON EQUITY LLC</x:v>
      </x:c>
      <x:c r="P1089" t="str">
        <x:v>148 Madison Avenue, 16th Floor, NEW YORK, NY, 10016</x:v>
      </x:c>
      <x:c r="Q1089" t="str"/>
      <x:c r="R1089" t="str"/>
      <x:c r="S1089" t="str"/>
      <x:c r="T1089" t="str"/>
      <x:c r="U1089" t="str"/>
      <x:c r="V1089" t="str"/>
      <x:c r="W1089" t="str"/>
      <x:c r="X1089" t="str"/>
      <x:c r="Y1089" t="str">
        <x:v>https://data.ny.gov/Economic-Development/Active-Corporations-Beginning-1800/n9v6-gdp6</x:v>
      </x:c>
    </x:row>
    <x:row r="1090">
      <x:c r="A1090" t="str">
        <x:v>DOS-5-078</x:v>
      </x:c>
      <x:c r="B1090" t="n">
        <x:v>5</x:v>
      </x:c>
      <x:c r="C1090" t="str">
        <x:v>381 PARK AVENUE SOUTH, SUITE 621, NEW YORK, NY, 10016, US</x:v>
      </x:c>
      <x:c r="D1090" t="str">
        <x:v>LIVINGSTON I LLC</x:v>
      </x:c>
      <x:c r="E1090" t="str">
        <x:v>LIVINGSTON I LLC</x:v>
      </x:c>
      <x:c r="F1090" t="str">
        <x:v>Active name match</x:v>
      </x:c>
      <x:c r="G1090" t="n">
        <x:v>1</x:v>
      </x:c>
      <x:c r="H1090" t="n">
        <x:v>1</x:v>
      </x:c>
      <x:c r="I1090" t="str">
        <x:v>4431821</x:v>
      </x:c>
      <x:c r="J1090" t="str">
        <x:v>LIVINGSTON I LLC</x:v>
      </x:c>
      <x:c r="K1090" s="55" t="n">
        <x:v>41471</x:v>
      </x:c>
      <x:c r="L1090" t="str">
        <x:v>Albany</x:v>
      </x:c>
      <x:c r="M1090" t="str">
        <x:v>New York</x:v>
      </x:c>
      <x:c r="N1090" t="str">
        <x:v>DOMESTIC LIMITED LIABILITY COMPANY</x:v>
      </x:c>
      <x:c r="O1090" t="str">
        <x:v>LIVINGSTON I LLC</x:v>
      </x:c>
      <x:c r="P1090" t="str">
        <x:v>148 Madison Avenue, 16th Floor, NEW YORK, NY, 10016</x:v>
      </x:c>
      <x:c r="Q1090" t="str"/>
      <x:c r="R1090" t="str"/>
      <x:c r="S1090" t="str"/>
      <x:c r="T1090" t="str"/>
      <x:c r="U1090" t="str"/>
      <x:c r="V1090" t="str"/>
      <x:c r="W1090" t="str"/>
      <x:c r="X1090" t="str"/>
      <x:c r="Y1090" t="str">
        <x:v>https://data.ny.gov/Economic-Development/Active-Corporations-Beginning-1800/n9v6-gdp6</x:v>
      </x:c>
    </x:row>
    <x:row r="1091">
      <x:c r="A1091" t="str">
        <x:v>DOS-5-078</x:v>
      </x:c>
      <x:c r="B1091" t="n">
        <x:v>5</x:v>
      </x:c>
      <x:c r="C1091" t="str">
        <x:v>381 PARK AVENUE SOUTH, SUITE 621, NEW YORK, NY, 10016, US</x:v>
      </x:c>
      <x:c r="D1091" t="str">
        <x:v>MULBERRY EQUITIES LLC</x:v>
      </x:c>
      <x:c r="E1091" t="str">
        <x:v>MULBERRY EQUITIES LLC</x:v>
      </x:c>
      <x:c r="F1091" t="str">
        <x:v>Active name match</x:v>
      </x:c>
      <x:c r="G1091" t="n">
        <x:v>1</x:v>
      </x:c>
      <x:c r="H1091" t="n">
        <x:v>1</x:v>
      </x:c>
      <x:c r="I1091" t="str">
        <x:v>4966076</x:v>
      </x:c>
      <x:c r="J1091" t="str">
        <x:v>MULBERRY EQUITIES LLC</x:v>
      </x:c>
      <x:c r="K1091" s="55" t="n">
        <x:v>42542</x:v>
      </x:c>
      <x:c r="L1091" t="str">
        <x:v>New York</x:v>
      </x:c>
      <x:c r="M1091" t="str">
        <x:v>New York</x:v>
      </x:c>
      <x:c r="N1091" t="str">
        <x:v>DOMESTIC LIMITED LIABILITY COMPANY</x:v>
      </x:c>
      <x:c r="O1091" t="str">
        <x:v>MULBERRY EQUITIES LLC</x:v>
      </x:c>
      <x:c r="P1091" t="str">
        <x:v>148 Madison Ave, 16th Floor, NEW YORK, NY, 10016</x:v>
      </x:c>
      <x:c r="Q1091" t="str"/>
      <x:c r="R1091" t="str"/>
      <x:c r="S1091" t="str"/>
      <x:c r="T1091" t="str"/>
      <x:c r="U1091" t="str"/>
      <x:c r="V1091" t="str"/>
      <x:c r="W1091" t="str"/>
      <x:c r="X1091" t="str"/>
      <x:c r="Y1091" t="str">
        <x:v>https://data.ny.gov/Economic-Development/Active-Corporations-Beginning-1800/n9v6-gdp6</x:v>
      </x:c>
    </x:row>
    <x:row r="1092">
      <x:c r="A1092" t="str">
        <x:v>DOS-5-079</x:v>
      </x:c>
      <x:c r="B1092" t="n">
        <x:v>5</x:v>
      </x:c>
      <x:c r="C1092" t="str">
        <x:v>489 SCHENECTADY AVENUE, BROOKLYN, NY, 11203, US</x:v>
      </x:c>
      <x:c r="D1092" t="str">
        <x:v>130 E 91 LLC</x:v>
      </x:c>
      <x:c r="E1092" t="str">
        <x:v>130 E 91 LLC</x:v>
      </x:c>
      <x:c r="F1092" t="str">
        <x:v>Address-corroborated active match</x:v>
      </x:c>
      <x:c r="G1092" t="n">
        <x:v>1</x:v>
      </x:c>
      <x:c r="H1092" t="n">
        <x:v>2</x:v>
      </x:c>
      <x:c r="I1092" t="str">
        <x:v>6395309</x:v>
      </x:c>
      <x:c r="J1092" t="str">
        <x:v>130 E 91 LLC</x:v>
      </x:c>
      <x:c r="K1092" s="55" t="n">
        <x:v>44596</x:v>
      </x:c>
      <x:c r="L1092" t="str">
        <x:v>Kings</x:v>
      </x:c>
      <x:c r="M1092" t="str">
        <x:v>New York</x:v>
      </x:c>
      <x:c r="N1092" t="str">
        <x:v>DOMESTIC LIMITED LIABILITY COMPANY</x:v>
      </x:c>
      <x:c r="O1092" t="str">
        <x:v>130 E 91 LLC</x:v>
      </x:c>
      <x:c r="P1092" t="str">
        <x:v>489 SCHENECTADY AVENUE, BROOKLYN, NY, 11203</x:v>
      </x:c>
      <x:c r="Q1092" t="str"/>
      <x:c r="R1092" t="str"/>
      <x:c r="S1092" t="str"/>
      <x:c r="T1092" t="str"/>
      <x:c r="U1092" t="str"/>
      <x:c r="V1092" t="str"/>
      <x:c r="W1092" t="str"/>
      <x:c r="X1092" t="str"/>
      <x:c r="Y1092" t="str">
        <x:v>https://data.ny.gov/Economic-Development/Active-Corporations-Beginning-1800/n9v6-gdp6</x:v>
      </x:c>
    </x:row>
    <x:row r="1093">
      <x:c r="A1093" t="str">
        <x:v>DOS-5-079</x:v>
      </x:c>
      <x:c r="B1093" t="n">
        <x:v>5</x:v>
      </x:c>
      <x:c r="C1093" t="str">
        <x:v>489 SCHENECTADY AVENUE, BROOKLYN, NY, 11203, US</x:v>
      </x:c>
      <x:c r="D1093" t="str">
        <x:v>235 BEACH 86 ST LLC</x:v>
      </x:c>
      <x:c r="E1093" t="str">
        <x:v>235 BEACH 86 ST LLC</x:v>
      </x:c>
      <x:c r="F1093" t="str">
        <x:v>Address-corroborated active match</x:v>
      </x:c>
      <x:c r="G1093" t="n">
        <x:v>1</x:v>
      </x:c>
      <x:c r="H1093" t="n">
        <x:v>2</x:v>
      </x:c>
      <x:c r="I1093" t="str">
        <x:v>7467703</x:v>
      </x:c>
      <x:c r="J1093" t="str">
        <x:v>235 BEACH 86 ST LLC</x:v>
      </x:c>
      <x:c r="K1093" s="55" t="n">
        <x:v>45615</x:v>
      </x:c>
      <x:c r="L1093" t="str">
        <x:v>Kings</x:v>
      </x:c>
      <x:c r="M1093" t="str">
        <x:v>New York</x:v>
      </x:c>
      <x:c r="N1093" t="str">
        <x:v>DOMESTIC LIMITED LIABILITY COMPANY</x:v>
      </x:c>
      <x:c r="O1093" t="str">
        <x:v>235 Beach 86 St LLC</x:v>
      </x:c>
      <x:c r="P1093" t="str">
        <x:v>489 SCHENECTADY AVENUE, BROOKLYN, NY, 11203</x:v>
      </x:c>
      <x:c r="Q1093" t="str"/>
      <x:c r="R1093" t="str"/>
      <x:c r="S1093" t="str"/>
      <x:c r="T1093" t="str"/>
      <x:c r="U1093" t="str"/>
      <x:c r="V1093" t="str"/>
      <x:c r="W1093" t="str"/>
      <x:c r="X1093" t="str"/>
      <x:c r="Y1093" t="str">
        <x:v>https://data.ny.gov/Economic-Development/Active-Corporations-Beginning-1800/n9v6-gdp6</x:v>
      </x:c>
    </x:row>
    <x:row r="1094">
      <x:c r="A1094" t="str">
        <x:v>DOS-5-079</x:v>
      </x:c>
      <x:c r="B1094" t="n">
        <x:v>5</x:v>
      </x:c>
      <x:c r="C1094" t="str">
        <x:v>489 SCHENECTADY AVENUE, BROOKLYN, NY, 11203, US</x:v>
      </x:c>
      <x:c r="D1094" t="str">
        <x:v>449 BEACH 45 ST LLC</x:v>
      </x:c>
      <x:c r="E1094" t="str">
        <x:v>449 BEACH 45 ST LLC</x:v>
      </x:c>
      <x:c r="F1094" t="str">
        <x:v>Address-corroborated active match</x:v>
      </x:c>
      <x:c r="G1094" t="n">
        <x:v>1</x:v>
      </x:c>
      <x:c r="H1094" t="n">
        <x:v>2</x:v>
      </x:c>
      <x:c r="I1094" t="str">
        <x:v>7393023</x:v>
      </x:c>
      <x:c r="J1094" t="str">
        <x:v>449 BEACH 45 ST LLC</x:v>
      </x:c>
      <x:c r="K1094" s="55" t="n">
        <x:v>45512</x:v>
      </x:c>
      <x:c r="L1094" t="str">
        <x:v>Kings</x:v>
      </x:c>
      <x:c r="M1094" t="str">
        <x:v>New York</x:v>
      </x:c>
      <x:c r="N1094" t="str">
        <x:v>DOMESTIC LIMITED LIABILITY COMPANY</x:v>
      </x:c>
      <x:c r="O1094" t="str">
        <x:v>449 BEACH 45 ST LLC</x:v>
      </x:c>
      <x:c r="P1094" t="str">
        <x:v>489 SCHENECTADY AVE, BROOKLYN, NY, 11203</x:v>
      </x:c>
      <x:c r="Q1094" t="str"/>
      <x:c r="R1094" t="str"/>
      <x:c r="S1094" t="str"/>
      <x:c r="T1094" t="str"/>
      <x:c r="U1094" t="str"/>
      <x:c r="V1094" t="str"/>
      <x:c r="W1094" t="str"/>
      <x:c r="X1094" t="str"/>
      <x:c r="Y1094" t="str">
        <x:v>https://data.ny.gov/Economic-Development/Active-Corporations-Beginning-1800/n9v6-gdp6</x:v>
      </x:c>
    </x:row>
    <x:row r="1095">
      <x:c r="A1095" t="str">
        <x:v>DOS-5-079</x:v>
      </x:c>
      <x:c r="B1095" t="n">
        <x:v>5</x:v>
      </x:c>
      <x:c r="C1095" t="str">
        <x:v>489 SCHENECTADY AVENUE, BROOKLYN, NY, 11203, US</x:v>
      </x:c>
      <x:c r="D1095" t="str">
        <x:v>508 BEACH 45 ST LLC</x:v>
      </x:c>
      <x:c r="E1095" t="str">
        <x:v>508 BEACH 45 ST LLC</x:v>
      </x:c>
      <x:c r="F1095" t="str">
        <x:v>Address-corroborated active match</x:v>
      </x:c>
      <x:c r="G1095" t="n">
        <x:v>1</x:v>
      </x:c>
      <x:c r="H1095" t="n">
        <x:v>2</x:v>
      </x:c>
      <x:c r="I1095" t="str">
        <x:v>7393027</x:v>
      </x:c>
      <x:c r="J1095" t="str">
        <x:v>508 BEACH 45 ST LLC</x:v>
      </x:c>
      <x:c r="K1095" s="55" t="n">
        <x:v>45512</x:v>
      </x:c>
      <x:c r="L1095" t="str">
        <x:v>Kings</x:v>
      </x:c>
      <x:c r="M1095" t="str">
        <x:v>New York</x:v>
      </x:c>
      <x:c r="N1095" t="str">
        <x:v>DOMESTIC LIMITED LIABILITY COMPANY</x:v>
      </x:c>
      <x:c r="O1095" t="str">
        <x:v>508 BEACH 45 ST LLC</x:v>
      </x:c>
      <x:c r="P1095" t="str">
        <x:v>489 SCHENECTADY AVENUE, BROOKLYN, NY, 11203</x:v>
      </x:c>
      <x:c r="Q1095" t="str"/>
      <x:c r="R1095" t="str"/>
      <x:c r="S1095" t="str"/>
      <x:c r="T1095" t="str"/>
      <x:c r="U1095" t="str"/>
      <x:c r="V1095" t="str"/>
      <x:c r="W1095" t="str"/>
      <x:c r="X1095" t="str"/>
      <x:c r="Y1095" t="str">
        <x:v>https://data.ny.gov/Economic-Development/Active-Corporations-Beginning-1800/n9v6-gdp6</x:v>
      </x:c>
    </x:row>
    <x:row r="1096">
      <x:c r="A1096" t="str">
        <x:v>DOS-5-079</x:v>
      </x:c>
      <x:c r="B1096" t="n">
        <x:v>5</x:v>
      </x:c>
      <x:c r="C1096" t="str">
        <x:v>489 SCHENECTADY AVENUE, BROOKLYN, NY, 11203, US</x:v>
      </x:c>
      <x:c r="D1096" t="str">
        <x:v>877 RUTLAND LLC</x:v>
      </x:c>
      <x:c r="E1096" t="str">
        <x:v>877 RUTLAND LLC</x:v>
      </x:c>
      <x:c r="F1096" t="str">
        <x:v>Active name match</x:v>
      </x:c>
      <x:c r="G1096" t="n">
        <x:v>1</x:v>
      </x:c>
      <x:c r="H1096" t="n">
        <x:v>1</x:v>
      </x:c>
      <x:c r="I1096" t="str">
        <x:v>7488072</x:v>
      </x:c>
      <x:c r="J1096" t="str">
        <x:v>877 RUTLAND LLC</x:v>
      </x:c>
      <x:c r="K1096" s="55" t="n">
        <x:v>45643</x:v>
      </x:c>
      <x:c r="L1096" t="str">
        <x:v>Kings</x:v>
      </x:c>
      <x:c r="M1096" t="str">
        <x:v>New York</x:v>
      </x:c>
      <x:c r="N1096" t="str">
        <x:v>DOMESTIC LIMITED LIABILITY COMPANY</x:v>
      </x:c>
      <x:c r="O1096" t="str">
        <x:v>877 RUTLAND LLC</x:v>
      </x:c>
      <x:c r="P1096" t="str">
        <x:v>499 SCHENECTADY AVENUE, BROOKLYN, NY, 11203</x:v>
      </x:c>
      <x:c r="Q1096" t="str"/>
      <x:c r="R1096" t="str"/>
      <x:c r="S1096" t="str"/>
      <x:c r="T1096" t="str"/>
      <x:c r="U1096" t="str"/>
      <x:c r="V1096" t="str"/>
      <x:c r="W1096" t="str"/>
      <x:c r="X1096" t="str"/>
      <x:c r="Y1096" t="str">
        <x:v>https://data.ny.gov/Economic-Development/Active-Corporations-Beginning-1800/n9v6-gdp6</x:v>
      </x:c>
    </x:row>
    <x:row r="1097">
      <x:c r="A1097" t="str">
        <x:v>DOS-5-080</x:v>
      </x:c>
      <x:c r="B1097" t="n">
        <x:v>5</x:v>
      </x:c>
      <x:c r="C1097" t="str">
        <x:v>52-14 241ST STREET, DOUGLASTON, NY, 11362, US</x:v>
      </x:c>
      <x:c r="D1097" t="str">
        <x:v>M AND S 2242 LLC</x:v>
      </x:c>
      <x:c r="E1097" t="str">
        <x:v>M&amp;S 2242 LLC</x:v>
      </x:c>
      <x:c r="F1097" t="str">
        <x:v>Address-corroborated active match</x:v>
      </x:c>
      <x:c r="G1097" t="n">
        <x:v>1</x:v>
      </x:c>
      <x:c r="H1097" t="n">
        <x:v>2</x:v>
      </x:c>
      <x:c r="I1097" t="str">
        <x:v>5271807</x:v>
      </x:c>
      <x:c r="J1097" t="str">
        <x:v>M&amp;S 2242 LLC</x:v>
      </x:c>
      <x:c r="K1097" s="55" t="n">
        <x:v>43123</x:v>
      </x:c>
      <x:c r="L1097" t="str">
        <x:v>Queens</x:v>
      </x:c>
      <x:c r="M1097" t="str">
        <x:v>New York</x:v>
      </x:c>
      <x:c r="N1097" t="str">
        <x:v>DOMESTIC LIMITED LIABILITY COMPANY</x:v>
      </x:c>
      <x:c r="O1097" t="str">
        <x:v>M&amp;S 2242 LLC</x:v>
      </x:c>
      <x:c r="P1097" t="str">
        <x:v>52-14 241ST STREET, DOUGLASTON, NY, 11362</x:v>
      </x:c>
      <x:c r="Q1097" t="str"/>
      <x:c r="R1097" t="str"/>
      <x:c r="S1097" t="str"/>
      <x:c r="T1097" t="str"/>
      <x:c r="U1097" t="str"/>
      <x:c r="V1097" t="str"/>
      <x:c r="W1097" t="str"/>
      <x:c r="X1097" t="str"/>
      <x:c r="Y1097" t="str">
        <x:v>https://data.ny.gov/Economic-Development/Active-Corporations-Beginning-1800/n9v6-gdp6</x:v>
      </x:c>
    </x:row>
    <x:row r="1098">
      <x:c r="A1098" t="str">
        <x:v>DOS-5-080</x:v>
      </x:c>
      <x:c r="B1098" t="n">
        <x:v>5</x:v>
      </x:c>
      <x:c r="C1098" t="str">
        <x:v>52-14 241ST STREET, DOUGLASTON, NY, 11362, US</x:v>
      </x:c>
      <x:c r="D1098" t="str">
        <x:v>M AND S 2243 LLC</x:v>
      </x:c>
      <x:c r="E1098" t="str">
        <x:v>M&amp;S 2243 LLC</x:v>
      </x:c>
      <x:c r="F1098" t="str">
        <x:v>Address-corroborated active match</x:v>
      </x:c>
      <x:c r="G1098" t="n">
        <x:v>1</x:v>
      </x:c>
      <x:c r="H1098" t="n">
        <x:v>2</x:v>
      </x:c>
      <x:c r="I1098" t="str">
        <x:v>5271813</x:v>
      </x:c>
      <x:c r="J1098" t="str">
        <x:v>M&amp;S 2243 LLC</x:v>
      </x:c>
      <x:c r="K1098" s="55" t="n">
        <x:v>43123</x:v>
      </x:c>
      <x:c r="L1098" t="str">
        <x:v>Queens</x:v>
      </x:c>
      <x:c r="M1098" t="str">
        <x:v>New York</x:v>
      </x:c>
      <x:c r="N1098" t="str">
        <x:v>DOMESTIC LIMITED LIABILITY COMPANY</x:v>
      </x:c>
      <x:c r="O1098" t="str">
        <x:v>M&amp;S 2243 LLC</x:v>
      </x:c>
      <x:c r="P1098" t="str">
        <x:v>52-14 241ST STREET, DOUGLASTON, NY, 11362</x:v>
      </x:c>
      <x:c r="Q1098" t="str"/>
      <x:c r="R1098" t="str"/>
      <x:c r="S1098" t="str"/>
      <x:c r="T1098" t="str"/>
      <x:c r="U1098" t="str"/>
      <x:c r="V1098" t="str"/>
      <x:c r="W1098" t="str"/>
      <x:c r="X1098" t="str"/>
      <x:c r="Y1098" t="str">
        <x:v>https://data.ny.gov/Economic-Development/Active-Corporations-Beginning-1800/n9v6-gdp6</x:v>
      </x:c>
    </x:row>
    <x:row r="1099">
      <x:c r="A1099" t="str">
        <x:v>DOS-5-080</x:v>
      </x:c>
      <x:c r="B1099" t="n">
        <x:v>5</x:v>
      </x:c>
      <x:c r="C1099" t="str">
        <x:v>52-14 241ST STREET, DOUGLASTON, NY, 11362, US</x:v>
      </x:c>
      <x:c r="D1099" t="str">
        <x:v>M AND S 2268 LLC</x:v>
      </x:c>
      <x:c r="E1099" t="str">
        <x:v>M&amp;S 2268 LLC</x:v>
      </x:c>
      <x:c r="F1099" t="str">
        <x:v>Address-corroborated active match</x:v>
      </x:c>
      <x:c r="G1099" t="n">
        <x:v>1</x:v>
      </x:c>
      <x:c r="H1099" t="n">
        <x:v>2</x:v>
      </x:c>
      <x:c r="I1099" t="str">
        <x:v>5271824</x:v>
      </x:c>
      <x:c r="J1099" t="str">
        <x:v>M&amp;S 2268 LLC</x:v>
      </x:c>
      <x:c r="K1099" s="55" t="n">
        <x:v>43123</x:v>
      </x:c>
      <x:c r="L1099" t="str">
        <x:v>Queens</x:v>
      </x:c>
      <x:c r="M1099" t="str">
        <x:v>New York</x:v>
      </x:c>
      <x:c r="N1099" t="str">
        <x:v>DOMESTIC LIMITED LIABILITY COMPANY</x:v>
      </x:c>
      <x:c r="O1099" t="str">
        <x:v>M&amp;S 2268 LLC</x:v>
      </x:c>
      <x:c r="P1099" t="str">
        <x:v>52-14 241ST STREET, DOUGLASTON, NY, 11362</x:v>
      </x:c>
      <x:c r="Q1099" t="str"/>
      <x:c r="R1099" t="str"/>
      <x:c r="S1099" t="str"/>
      <x:c r="T1099" t="str"/>
      <x:c r="U1099" t="str"/>
      <x:c r="V1099" t="str"/>
      <x:c r="W1099" t="str"/>
      <x:c r="X1099" t="str"/>
      <x:c r="Y1099" t="str">
        <x:v>https://data.ny.gov/Economic-Development/Active-Corporations-Beginning-1800/n9v6-gdp6</x:v>
      </x:c>
    </x:row>
    <x:row r="1100">
      <x:c r="A1100" t="str">
        <x:v>DOS-5-080</x:v>
      </x:c>
      <x:c r="B1100" t="n">
        <x:v>5</x:v>
      </x:c>
      <x:c r="C1100" t="str">
        <x:v>52-14 241ST STREET, DOUGLASTON, NY, 11362, US</x:v>
      </x:c>
      <x:c r="D1100" t="str">
        <x:v>M AND S 2272 LLC</x:v>
      </x:c>
      <x:c r="E1100" t="str">
        <x:v>M&amp;S 2272 LLC</x:v>
      </x:c>
      <x:c r="F1100" t="str">
        <x:v>Address-corroborated active match</x:v>
      </x:c>
      <x:c r="G1100" t="n">
        <x:v>1</x:v>
      </x:c>
      <x:c r="H1100" t="n">
        <x:v>2</x:v>
      </x:c>
      <x:c r="I1100" t="str">
        <x:v>5271834</x:v>
      </x:c>
      <x:c r="J1100" t="str">
        <x:v>M&amp;S 2272 LLC</x:v>
      </x:c>
      <x:c r="K1100" s="55" t="n">
        <x:v>43123</x:v>
      </x:c>
      <x:c r="L1100" t="str">
        <x:v>Queens</x:v>
      </x:c>
      <x:c r="M1100" t="str">
        <x:v>New York</x:v>
      </x:c>
      <x:c r="N1100" t="str">
        <x:v>DOMESTIC LIMITED LIABILITY COMPANY</x:v>
      </x:c>
      <x:c r="O1100" t="str">
        <x:v>M&amp;S 2272 LLC</x:v>
      </x:c>
      <x:c r="P1100" t="str">
        <x:v>52-14 241ST STREET, DOUGLASTON, NY, 11362</x:v>
      </x:c>
      <x:c r="Q1100" t="str"/>
      <x:c r="R1100" t="str"/>
      <x:c r="S1100" t="str"/>
      <x:c r="T1100" t="str"/>
      <x:c r="U1100" t="str"/>
      <x:c r="V1100" t="str"/>
      <x:c r="W1100" t="str"/>
      <x:c r="X1100" t="str"/>
      <x:c r="Y1100" t="str">
        <x:v>https://data.ny.gov/Economic-Development/Active-Corporations-Beginning-1800/n9v6-gdp6</x:v>
      </x:c>
    </x:row>
    <x:row r="1101">
      <x:c r="A1101" t="str">
        <x:v>DOS-5-080</x:v>
      </x:c>
      <x:c r="B1101" t="n">
        <x:v>5</x:v>
      </x:c>
      <x:c r="C1101" t="str">
        <x:v>52-14 241ST STREET, DOUGLASTON, NY, 11362, US</x:v>
      </x:c>
      <x:c r="D1101" t="str">
        <x:v>MARIA S WAY 2124 LLC</x:v>
      </x:c>
      <x:c r="E1101" t="str">
        <x:v>MARIA'S WAY 2124 LLC</x:v>
      </x:c>
      <x:c r="F1101" t="str">
        <x:v>Address-corroborated active match</x:v>
      </x:c>
      <x:c r="G1101" t="n">
        <x:v>1</x:v>
      </x:c>
      <x:c r="H1101" t="n">
        <x:v>2</x:v>
      </x:c>
      <x:c r="I1101" t="str">
        <x:v>5271842</x:v>
      </x:c>
      <x:c r="J1101" t="str">
        <x:v>MARIA'S WAY 2124 LLC</x:v>
      </x:c>
      <x:c r="K1101" s="55" t="n">
        <x:v>43123</x:v>
      </x:c>
      <x:c r="L1101" t="str">
        <x:v>Queens</x:v>
      </x:c>
      <x:c r="M1101" t="str">
        <x:v>New York</x:v>
      </x:c>
      <x:c r="N1101" t="str">
        <x:v>DOMESTIC LIMITED LIABILITY COMPANY</x:v>
      </x:c>
      <x:c r="O1101" t="str">
        <x:v>MARIA'S WAY 2124 LLC</x:v>
      </x:c>
      <x:c r="P1101" t="str">
        <x:v>52-14 241ST STREET, DOUGLASTON, NY, 11362</x:v>
      </x:c>
      <x:c r="Q1101" t="str"/>
      <x:c r="R1101" t="str"/>
      <x:c r="S1101" t="str"/>
      <x:c r="T1101" t="str"/>
      <x:c r="U1101" t="str"/>
      <x:c r="V1101" t="str"/>
      <x:c r="W1101" t="str"/>
      <x:c r="X1101" t="str"/>
      <x:c r="Y1101" t="str">
        <x:v>https://data.ny.gov/Economic-Development/Active-Corporations-Beginning-1800/n9v6-gdp6</x:v>
      </x:c>
    </x:row>
    <x:row r="1102">
      <x:c r="A1102" t="str">
        <x:v>DOS-5-081</x:v>
      </x:c>
      <x:c r="B1102" t="n">
        <x:v>5</x:v>
      </x:c>
      <x:c r="C1102" t="str">
        <x:v>539 EASTERN PARKWAY, 3RD FLOOR, BROOKLYN, NY, 11216, US</x:v>
      </x:c>
      <x:c r="D1102" t="str">
        <x:v>1931 OCEAN PARKWAY LLC</x:v>
      </x:c>
      <x:c r="E1102" t="str">
        <x:v>1931 OCEAN PARKWAY LLC</x:v>
      </x:c>
      <x:c r="F1102" t="str">
        <x:v>Active name match</x:v>
      </x:c>
      <x:c r="G1102" t="n">
        <x:v>1</x:v>
      </x:c>
      <x:c r="H1102" t="n">
        <x:v>0</x:v>
      </x:c>
      <x:c r="I1102" t="str">
        <x:v>5341228</x:v>
      </x:c>
      <x:c r="J1102" t="str">
        <x:v>1931 OCEAN PARKWAY LLC</x:v>
      </x:c>
      <x:c r="K1102" s="55" t="n">
        <x:v>43234</x:v>
      </x:c>
      <x:c r="L1102" t="str">
        <x:v>Nassau</x:v>
      </x:c>
      <x:c r="M1102" t="str">
        <x:v>New York</x:v>
      </x:c>
      <x:c r="N1102" t="str">
        <x:v>DOMESTIC LIMITED LIABILITY COMPANY</x:v>
      </x:c>
      <x:c r="O1102" t="str">
        <x:v>EB FORMATIONS INC</x:v>
      </x:c>
      <x:c r="P1102" t="str">
        <x:v>657 CENTRAL AVE SUITE 205, CEDARHURST, NY, 11516</x:v>
      </x:c>
      <x:c r="Q1102" t="str"/>
      <x:c r="R1102" t="str"/>
      <x:c r="S1102" t="str"/>
      <x:c r="T1102" t="str"/>
      <x:c r="U1102" t="str"/>
      <x:c r="V1102" t="str"/>
      <x:c r="W1102" t="str"/>
      <x:c r="X1102" t="str"/>
      <x:c r="Y1102" t="str">
        <x:v>https://data.ny.gov/Economic-Development/Active-Corporations-Beginning-1800/n9v6-gdp6</x:v>
      </x:c>
    </x:row>
    <x:row r="1103">
      <x:c r="A1103" t="str">
        <x:v>DOS-5-081</x:v>
      </x:c>
      <x:c r="B1103" t="n">
        <x:v>5</x:v>
      </x:c>
      <x:c r="C1103" t="str">
        <x:v>539 EASTERN PARKWAY, 3RD FLOOR, BROOKLYN, NY, 11216, US</x:v>
      </x:c>
      <x:c r="D1103" t="str">
        <x:v>2441 OCEAN PARKWAY LLC</x:v>
      </x:c>
      <x:c r="E1103" t="str">
        <x:v>2441 OCEAN PARKWAY LLC</x:v>
      </x:c>
      <x:c r="F1103" t="str">
        <x:v>Address-corroborated active match</x:v>
      </x:c>
      <x:c r="G1103" t="n">
        <x:v>1</x:v>
      </x:c>
      <x:c r="H1103" t="n">
        <x:v>2</x:v>
      </x:c>
      <x:c r="I1103" t="str">
        <x:v>7000633</x:v>
      </x:c>
      <x:c r="J1103" t="str">
        <x:v>2441 OCEAN PARKWAY LLC</x:v>
      </x:c>
      <x:c r="K1103" s="55" t="n">
        <x:v>45148</x:v>
      </x:c>
      <x:c r="L1103" t="str">
        <x:v>Kings</x:v>
      </x:c>
      <x:c r="M1103" t="str">
        <x:v>New York</x:v>
      </x:c>
      <x:c r="N1103" t="str">
        <x:v>DOMESTIC LIMITED LIABILITY COMPANY</x:v>
      </x:c>
      <x:c r="O1103" t="str">
        <x:v>THE LIMITED LIABILITY COMPANY</x:v>
      </x:c>
      <x:c r="P1103" t="str">
        <x:v>539 EASTERN PARKWAY, 3RD FLOOR, BROOKLYN, NY, 11216</x:v>
      </x:c>
      <x:c r="Q1103" t="str"/>
      <x:c r="R1103" t="str"/>
      <x:c r="S1103" t="str"/>
      <x:c r="T1103" t="str"/>
      <x:c r="U1103" t="str"/>
      <x:c r="V1103" t="str"/>
      <x:c r="W1103" t="str"/>
      <x:c r="X1103" t="str"/>
      <x:c r="Y1103" t="str">
        <x:v>https://data.ny.gov/Economic-Development/Active-Corporations-Beginning-1800/n9v6-gdp6</x:v>
      </x:c>
    </x:row>
    <x:row r="1104">
      <x:c r="A1104" t="str">
        <x:v>DOS-5-081</x:v>
      </x:c>
      <x:c r="B1104" t="n">
        <x:v>5</x:v>
      </x:c>
      <x:c r="C1104" t="str">
        <x:v>539 EASTERN PARKWAY, 3RD FLOOR, BROOKLYN, NY, 11216, US</x:v>
      </x:c>
      <x:c r="D1104" t="str">
        <x:v>37 HERKIMER LLC</x:v>
      </x:c>
      <x:c r="E1104" t="str">
        <x:v>37 HERKIMER LLC</x:v>
      </x:c>
      <x:c r="F1104" t="str">
        <x:v>No active DOS match</x:v>
      </x:c>
      <x:c r="G1104" t="n">
        <x:v>0</x:v>
      </x:c>
      <x:c r="H1104" t="n">
        <x:v>0</x:v>
      </x:c>
      <x:c r="I1104" t="str"/>
      <x:c r="J1104" t="str"/>
      <x:c r="K1104" s="55" t="str"/>
      <x:c r="L1104" t="str"/>
      <x:c r="M1104" t="str"/>
      <x:c r="N1104" t="str"/>
      <x:c r="O1104" t="str"/>
      <x:c r="P1104" t="str"/>
      <x:c r="Q1104" t="str"/>
      <x:c r="R1104" t="str"/>
      <x:c r="S1104" t="str"/>
      <x:c r="T1104" t="str"/>
      <x:c r="U1104" t="str"/>
      <x:c r="V1104" t="str"/>
      <x:c r="W1104" t="str"/>
      <x:c r="X1104" t="str"/>
      <x:c r="Y1104" t="str">
        <x:v>https://data.ny.gov/Economic-Development/Active-Corporations-Beginning-1800/n9v6-gdp6</x:v>
      </x:c>
    </x:row>
    <x:row r="1105">
      <x:c r="A1105" t="str">
        <x:v>DOS-5-081</x:v>
      </x:c>
      <x:c r="B1105" t="n">
        <x:v>5</x:v>
      </x:c>
      <x:c r="C1105" t="str">
        <x:v>539 EASTERN PARKWAY, 3RD FLOOR, BROOKLYN, NY, 11216, US</x:v>
      </x:c>
      <x:c r="D1105" t="str">
        <x:v>THOMBOY FACILITIES LLC</x:v>
      </x:c>
      <x:c r="E1105" t="str">
        <x:v>THOMBOY FACILITIES LLC</x:v>
      </x:c>
      <x:c r="F1105" t="str">
        <x:v>Address-corroborated active match</x:v>
      </x:c>
      <x:c r="G1105" t="n">
        <x:v>1</x:v>
      </x:c>
      <x:c r="H1105" t="n">
        <x:v>2</x:v>
      </x:c>
      <x:c r="I1105" t="str">
        <x:v>6420245</x:v>
      </x:c>
      <x:c r="J1105" t="str">
        <x:v>THOMBOY FACILITIES LLC</x:v>
      </x:c>
      <x:c r="K1105" s="55" t="n">
        <x:v>44622</x:v>
      </x:c>
      <x:c r="L1105" t="str">
        <x:v>Kings</x:v>
      </x:c>
      <x:c r="M1105" t="str">
        <x:v>New York</x:v>
      </x:c>
      <x:c r="N1105" t="str">
        <x:v>DOMESTIC LIMITED LIABILITY COMPANY</x:v>
      </x:c>
      <x:c r="O1105" t="str">
        <x:v>THOMBOY FACILITIES LLC</x:v>
      </x:c>
      <x:c r="P1105" t="str">
        <x:v>539 Eastern Parkway, 3rd Floor, BROOKLYN, NY, 11216</x:v>
      </x:c>
      <x:c r="Q1105" t="str"/>
      <x:c r="R1105" t="str"/>
      <x:c r="S1105" t="str"/>
      <x:c r="T1105" t="str"/>
      <x:c r="U1105" t="str"/>
      <x:c r="V1105" t="str"/>
      <x:c r="W1105" t="str"/>
      <x:c r="X1105" t="str"/>
      <x:c r="Y1105" t="str">
        <x:v>https://data.ny.gov/Economic-Development/Active-Corporations-Beginning-1800/n9v6-gdp6</x:v>
      </x:c>
    </x:row>
    <x:row r="1106">
      <x:c r="A1106" t="str">
        <x:v>DOS-5-081</x:v>
      </x:c>
      <x:c r="B1106" t="n">
        <x:v>5</x:v>
      </x:c>
      <x:c r="C1106" t="str">
        <x:v>539 EASTERN PARKWAY, 3RD FLOOR, BROOKLYN, NY, 11216, US</x:v>
      </x:c>
      <x:c r="D1106" t="str">
        <x:v>URBAN SCAPE LLC</x:v>
      </x:c>
      <x:c r="E1106" t="str">
        <x:v>URBAN-SCAPE, LLC</x:v>
      </x:c>
      <x:c r="F1106" t="str">
        <x:v>Active name match</x:v>
      </x:c>
      <x:c r="G1106" t="n">
        <x:v>1</x:v>
      </x:c>
      <x:c r="H1106" t="n">
        <x:v>1</x:v>
      </x:c>
      <x:c r="I1106" t="str">
        <x:v>3369772</x:v>
      </x:c>
      <x:c r="J1106" t="str">
        <x:v>URBAN-SCAPE LLC</x:v>
      </x:c>
      <x:c r="K1106" s="55" t="n">
        <x:v>38869</x:v>
      </x:c>
      <x:c r="L1106" t="str">
        <x:v>Kings</x:v>
      </x:c>
      <x:c r="M1106" t="str">
        <x:v>New York</x:v>
      </x:c>
      <x:c r="N1106" t="str">
        <x:v>DOMESTIC LIMITED LIABILITY COMPANY</x:v>
      </x:c>
      <x:c r="O1106" t="str">
        <x:v>URBAN-SCAPE LLC</x:v>
      </x:c>
      <x:c r="P1106" t="str">
        <x:v>539 EASTERN PKWY, BROOKLYN, NY, 11216</x:v>
      </x:c>
      <x:c r="Q1106" t="str"/>
      <x:c r="R1106" t="str"/>
      <x:c r="S1106" t="str"/>
      <x:c r="T1106" t="str"/>
      <x:c r="U1106" t="str"/>
      <x:c r="V1106" t="str"/>
      <x:c r="W1106" t="str"/>
      <x:c r="X1106" t="str"/>
      <x:c r="Y1106" t="str">
        <x:v>https://data.ny.gov/Economic-Development/Active-Corporations-Beginning-1800/n9v6-gdp6</x:v>
      </x:c>
    </x:row>
    <x:row r="1107">
      <x:c r="A1107" t="str">
        <x:v>DOS-5-082</x:v>
      </x:c>
      <x:c r="B1107" t="n">
        <x:v>5</x:v>
      </x:c>
      <x:c r="C1107" t="str">
        <x:v>543  BEDFORD AVE, BKLYN, NY, US</x:v>
      </x:c>
      <x:c r="D1107" t="str">
        <x:v>171 173 REALTY LLC</x:v>
      </x:c>
      <x:c r="E1107" t="str">
        <x:v>171-173 REALTY LLC</x:v>
      </x:c>
      <x:c r="F1107" t="str">
        <x:v>Active name match</x:v>
      </x:c>
      <x:c r="G1107" t="n">
        <x:v>1</x:v>
      </x:c>
      <x:c r="H1107" t="n">
        <x:v>0</x:v>
      </x:c>
      <x:c r="I1107" t="str">
        <x:v>2715210</x:v>
      </x:c>
      <x:c r="J1107" t="str">
        <x:v>171-173 REALTY LLC</x:v>
      </x:c>
      <x:c r="K1107" s="55" t="n">
        <x:v>37260</x:v>
      </x:c>
      <x:c r="L1107" t="str">
        <x:v>Kings</x:v>
      </x:c>
      <x:c r="M1107" t="str">
        <x:v>New York</x:v>
      </x:c>
      <x:c r="N1107" t="str">
        <x:v>DOMESTIC LIMITED LIABILITY COMPANY</x:v>
      </x:c>
      <x:c r="O1107" t="str">
        <x:v>171-173 REALTY LLC</x:v>
      </x:c>
      <x:c r="P1107" t="str">
        <x:v>164 CLYMER ST, BROOKLYN, NY, 11211</x:v>
      </x:c>
      <x:c r="Q1107" t="str"/>
      <x:c r="R1107" t="str"/>
      <x:c r="S1107" t="str"/>
      <x:c r="T1107" t="str"/>
      <x:c r="U1107" t="str"/>
      <x:c r="V1107" t="str"/>
      <x:c r="W1107" t="str"/>
      <x:c r="X1107" t="str"/>
      <x:c r="Y1107" t="str">
        <x:v>https://data.ny.gov/Economic-Development/Active-Corporations-Beginning-1800/n9v6-gdp6</x:v>
      </x:c>
    </x:row>
    <x:row r="1108">
      <x:c r="A1108" t="str">
        <x:v>DOS-5-082</x:v>
      </x:c>
      <x:c r="B1108" t="n">
        <x:v>5</x:v>
      </x:c>
      <x:c r="C1108" t="str">
        <x:v>543  BEDFORD AVE, BKLYN, NY, US</x:v>
      </x:c>
      <x:c r="D1108" t="str">
        <x:v>GOLDSTOV LLC</x:v>
      </x:c>
      <x:c r="E1108" t="str">
        <x:v>GOLDSTOV LLC</x:v>
      </x:c>
      <x:c r="F1108" t="str">
        <x:v>Active name match</x:v>
      </x:c>
      <x:c r="G1108" t="n">
        <x:v>1</x:v>
      </x:c>
      <x:c r="H1108" t="n">
        <x:v>0</x:v>
      </x:c>
      <x:c r="I1108" t="str">
        <x:v>2286573</x:v>
      </x:c>
      <x:c r="J1108" t="str">
        <x:v>GOLDSTOV, LLC</x:v>
      </x:c>
      <x:c r="K1108" s="55" t="n">
        <x:v>36013</x:v>
      </x:c>
      <x:c r="L1108" t="str">
        <x:v>Kings</x:v>
      </x:c>
      <x:c r="M1108" t="str">
        <x:v>New York</x:v>
      </x:c>
      <x:c r="N1108" t="str">
        <x:v>DOMESTIC LIMITED LIABILITY COMPANY</x:v>
      </x:c>
      <x:c r="O1108" t="str">
        <x:v>C/O GOLDSTEIN</x:v>
      </x:c>
      <x:c r="P1108" t="str">
        <x:v>558 BEDFORD AVE, 2-C, BROOKLYN, NY, 11249</x:v>
      </x:c>
      <x:c r="Q1108" t="str"/>
      <x:c r="R1108" t="str"/>
      <x:c r="S1108" t="str"/>
      <x:c r="T1108" t="str"/>
      <x:c r="U1108" t="str"/>
      <x:c r="V1108" t="str"/>
      <x:c r="W1108" t="str"/>
      <x:c r="X1108" t="str"/>
      <x:c r="Y1108" t="str">
        <x:v>https://data.ny.gov/Economic-Development/Active-Corporations-Beginning-1800/n9v6-gdp6</x:v>
      </x:c>
    </x:row>
    <x:row r="1109">
      <x:c r="A1109" t="str">
        <x:v>DOS-5-082</x:v>
      </x:c>
      <x:c r="B1109" t="n">
        <x:v>5</x:v>
      </x:c>
      <x:c r="C1109" t="str">
        <x:v>543  BEDFORD AVE, BKLYN, NY, US</x:v>
      </x:c>
      <x:c r="D1109" t="str">
        <x:v>LINDEN ST LLC</x:v>
      </x:c>
      <x:c r="E1109" t="str">
        <x:v>LINDEN ST LLC</x:v>
      </x:c>
      <x:c r="F1109" t="str">
        <x:v>No active DOS match</x:v>
      </x:c>
      <x:c r="G1109" t="n">
        <x:v>0</x:v>
      </x:c>
      <x:c r="H1109" t="n">
        <x:v>0</x:v>
      </x:c>
      <x:c r="I1109" t="str"/>
      <x:c r="J1109" t="str"/>
      <x:c r="K1109" s="55" t="str"/>
      <x:c r="L1109" t="str"/>
      <x:c r="M1109" t="str"/>
      <x:c r="N1109" t="str"/>
      <x:c r="O1109" t="str"/>
      <x:c r="P1109" t="str"/>
      <x:c r="Q1109" t="str"/>
      <x:c r="R1109" t="str"/>
      <x:c r="S1109" t="str"/>
      <x:c r="T1109" t="str"/>
      <x:c r="U1109" t="str"/>
      <x:c r="V1109" t="str"/>
      <x:c r="W1109" t="str"/>
      <x:c r="X1109" t="str"/>
      <x:c r="Y1109" t="str">
        <x:v>https://data.ny.gov/Economic-Development/Active-Corporations-Beginning-1800/n9v6-gdp6</x:v>
      </x:c>
    </x:row>
    <x:row r="1110">
      <x:c r="A1110" t="str">
        <x:v>DOS-5-082</x:v>
      </x:c>
      <x:c r="B1110" t="n">
        <x:v>5</x:v>
      </x:c>
      <x:c r="C1110" t="str">
        <x:v>543  BEDFORD AVE, BKLYN, NY, US</x:v>
      </x:c>
      <x:c r="D1110" t="str">
        <x:v>READE REALTY LLC</x:v>
      </x:c>
      <x:c r="E1110" t="str">
        <x:v>READE REALTY LLC</x:v>
      </x:c>
      <x:c r="F1110" t="str">
        <x:v>Active name match</x:v>
      </x:c>
      <x:c r="G1110" t="n">
        <x:v>1</x:v>
      </x:c>
      <x:c r="H1110" t="n">
        <x:v>0</x:v>
      </x:c>
      <x:c r="I1110" t="str">
        <x:v>2798731</x:v>
      </x:c>
      <x:c r="J1110" t="str">
        <x:v>READE REALTY, LLC</x:v>
      </x:c>
      <x:c r="K1110" s="55" t="n">
        <x:v>37476</x:v>
      </x:c>
      <x:c r="L1110" t="str">
        <x:v>Kings</x:v>
      </x:c>
      <x:c r="M1110" t="str">
        <x:v>New York</x:v>
      </x:c>
      <x:c r="N1110" t="str">
        <x:v>DOMESTIC LIMITED LIABILITY COMPANY</x:v>
      </x:c>
      <x:c r="O1110" t="str">
        <x:v>READE REALTY, LLC</x:v>
      </x:c>
      <x:c r="P1110" t="str">
        <x:v>543 BEDFORD AVE, PMB 130, BROOKLYN, NY, 11211</x:v>
      </x:c>
      <x:c r="Q1110" t="str"/>
      <x:c r="R1110" t="str"/>
      <x:c r="S1110" t="str"/>
      <x:c r="T1110" t="str"/>
      <x:c r="U1110" t="str"/>
      <x:c r="V1110" t="str"/>
      <x:c r="W1110" t="str"/>
      <x:c r="X1110" t="str"/>
      <x:c r="Y1110" t="str">
        <x:v>https://data.ny.gov/Economic-Development/Active-Corporations-Beginning-1800/n9v6-gdp6</x:v>
      </x:c>
    </x:row>
    <x:row r="1111">
      <x:c r="A1111" t="str">
        <x:v>DOS-5-082</x:v>
      </x:c>
      <x:c r="B1111" t="n">
        <x:v>5</x:v>
      </x:c>
      <x:c r="C1111" t="str">
        <x:v>543  BEDFORD AVE, BKLYN, NY, US</x:v>
      </x:c>
      <x:c r="D1111" t="str">
        <x:v>SKMF ENTERPRISES LLC</x:v>
      </x:c>
      <x:c r="E1111" t="str">
        <x:v>SKMF ENTERPRISES LLC</x:v>
      </x:c>
      <x:c r="F1111" t="str">
        <x:v>No active DOS match</x:v>
      </x:c>
      <x:c r="G1111" t="n">
        <x:v>0</x:v>
      </x:c>
      <x:c r="H1111" t="n">
        <x:v>0</x:v>
      </x:c>
      <x:c r="I1111" t="str"/>
      <x:c r="J1111" t="str"/>
      <x:c r="K1111" s="55" t="str"/>
      <x:c r="L1111" t="str"/>
      <x:c r="M1111" t="str"/>
      <x:c r="N1111" t="str"/>
      <x:c r="O1111" t="str"/>
      <x:c r="P1111" t="str"/>
      <x:c r="Q1111" t="str"/>
      <x:c r="R1111" t="str"/>
      <x:c r="S1111" t="str"/>
      <x:c r="T1111" t="str"/>
      <x:c r="U1111" t="str"/>
      <x:c r="V1111" t="str"/>
      <x:c r="W1111" t="str"/>
      <x:c r="X1111" t="str"/>
      <x:c r="Y1111" t="str">
        <x:v>https://data.ny.gov/Economic-Development/Active-Corporations-Beginning-1800/n9v6-gdp6</x:v>
      </x:c>
    </x:row>
    <x:row r="1112">
      <x:c r="A1112" t="str">
        <x:v>DOS-5-083</x:v>
      </x:c>
      <x:c r="B1112" t="n">
        <x:v>5</x:v>
      </x:c>
      <x:c r="C1112" t="str">
        <x:v>58-71 57TH ROAD, MASPETH, NY, 11378, US</x:v>
      </x:c>
      <x:c r="D1112" t="str">
        <x:v>15 17 126TH STREET LLC</x:v>
      </x:c>
      <x:c r="E1112" t="str">
        <x:v>15-17 126TH STREET LLC</x:v>
      </x:c>
      <x:c r="F1112" t="str">
        <x:v>Address-corroborated active match</x:v>
      </x:c>
      <x:c r="G1112" t="n">
        <x:v>1</x:v>
      </x:c>
      <x:c r="H1112" t="n">
        <x:v>2</x:v>
      </x:c>
      <x:c r="I1112" t="str">
        <x:v>5147244</x:v>
      </x:c>
      <x:c r="J1112" t="str">
        <x:v>15-17 126TH STREET LLC</x:v>
      </x:c>
      <x:c r="K1112" s="55" t="n">
        <x:v>42888</x:v>
      </x:c>
      <x:c r="L1112" t="str">
        <x:v>Queens</x:v>
      </x:c>
      <x:c r="M1112" t="str">
        <x:v>New York</x:v>
      </x:c>
      <x:c r="N1112" t="str">
        <x:v>DOMESTIC LIMITED LIABILITY COMPANY</x:v>
      </x:c>
      <x:c r="O1112" t="str">
        <x:v>15-17 126TH STREET LLC</x:v>
      </x:c>
      <x:c r="P1112" t="str">
        <x:v>58-71 57TH ROAD, MASPETH, NY, 11378</x:v>
      </x:c>
      <x:c r="Q1112" t="str"/>
      <x:c r="R1112" t="str"/>
      <x:c r="S1112" t="str"/>
      <x:c r="T1112" t="str"/>
      <x:c r="U1112" t="str"/>
      <x:c r="V1112" t="str"/>
      <x:c r="W1112" t="str"/>
      <x:c r="X1112" t="str"/>
      <x:c r="Y1112" t="str">
        <x:v>https://data.ny.gov/Economic-Development/Active-Corporations-Beginning-1800/n9v6-gdp6</x:v>
      </x:c>
    </x:row>
    <x:row r="1113">
      <x:c r="A1113" t="str">
        <x:v>DOS-5-083</x:v>
      </x:c>
      <x:c r="B1113" t="n">
        <x:v>5</x:v>
      </x:c>
      <x:c r="C1113" t="str">
        <x:v>58-71 57TH ROAD, MASPETH, NY, 11378, US</x:v>
      </x:c>
      <x:c r="D1113" t="str">
        <x:v>5871 REALTY LLC</x:v>
      </x:c>
      <x:c r="E1113" t="str">
        <x:v>5871 REALTY, LLC</x:v>
      </x:c>
      <x:c r="F1113" t="str">
        <x:v>Active name match</x:v>
      </x:c>
      <x:c r="G1113" t="n">
        <x:v>1</x:v>
      </x:c>
      <x:c r="H1113" t="n">
        <x:v>1</x:v>
      </x:c>
      <x:c r="I1113" t="str">
        <x:v>3886833</x:v>
      </x:c>
      <x:c r="J1113" t="str">
        <x:v>5871 REALTY, LLC</x:v>
      </x:c>
      <x:c r="K1113" s="55" t="n">
        <x:v>40155</x:v>
      </x:c>
      <x:c r="L1113" t="str">
        <x:v>Queens</x:v>
      </x:c>
      <x:c r="M1113" t="str">
        <x:v>New York</x:v>
      </x:c>
      <x:c r="N1113" t="str">
        <x:v>DOMESTIC LIMITED LIABILITY COMPANY</x:v>
      </x:c>
      <x:c r="O1113" t="str">
        <x:v>JOSEPH MUSSO</x:v>
      </x:c>
      <x:c r="P1113" t="str">
        <x:v>58-83 54ST, MEMBER, NY, 11378</x:v>
      </x:c>
      <x:c r="Q1113" t="str"/>
      <x:c r="R1113" t="str"/>
      <x:c r="S1113" t="str"/>
      <x:c r="T1113" t="str"/>
      <x:c r="U1113" t="str"/>
      <x:c r="V1113" t="str"/>
      <x:c r="W1113" t="str"/>
      <x:c r="X1113" t="str"/>
      <x:c r="Y1113" t="str">
        <x:v>https://data.ny.gov/Economic-Development/Active-Corporations-Beginning-1800/n9v6-gdp6</x:v>
      </x:c>
    </x:row>
    <x:row r="1114">
      <x:c r="A1114" t="str">
        <x:v>DOS-5-083</x:v>
      </x:c>
      <x:c r="B1114" t="n">
        <x:v>5</x:v>
      </x:c>
      <x:c r="C1114" t="str">
        <x:v>58-71 57TH ROAD, MASPETH, NY, 11378, US</x:v>
      </x:c>
      <x:c r="D1114" t="str">
        <x:v>5875 REALTY LLC</x:v>
      </x:c>
      <x:c r="E1114" t="str">
        <x:v>5875 REALTY, LLC</x:v>
      </x:c>
      <x:c r="F1114" t="str">
        <x:v>Active name match</x:v>
      </x:c>
      <x:c r="G1114" t="n">
        <x:v>1</x:v>
      </x:c>
      <x:c r="H1114" t="n">
        <x:v>1</x:v>
      </x:c>
      <x:c r="I1114" t="str">
        <x:v>3886798</x:v>
      </x:c>
      <x:c r="J1114" t="str">
        <x:v>5875 REALTY, LLC</x:v>
      </x:c>
      <x:c r="K1114" s="55" t="n">
        <x:v>40155</x:v>
      </x:c>
      <x:c r="L1114" t="str">
        <x:v>Queens</x:v>
      </x:c>
      <x:c r="M1114" t="str">
        <x:v>New York</x:v>
      </x:c>
      <x:c r="N1114" t="str">
        <x:v>DOMESTIC LIMITED LIABILITY COMPANY</x:v>
      </x:c>
      <x:c r="O1114" t="str">
        <x:v>JOSEPH MUSSO</x:v>
      </x:c>
      <x:c r="P1114" t="str">
        <x:v>5875 57TH RD, MASPETH, NY, 11378</x:v>
      </x:c>
      <x:c r="Q1114" t="str"/>
      <x:c r="R1114" t="str"/>
      <x:c r="S1114" t="str"/>
      <x:c r="T1114" t="str"/>
      <x:c r="U1114" t="str"/>
      <x:c r="V1114" t="str"/>
      <x:c r="W1114" t="str"/>
      <x:c r="X1114" t="str"/>
      <x:c r="Y1114" t="str">
        <x:v>https://data.ny.gov/Economic-Development/Active-Corporations-Beginning-1800/n9v6-gdp6</x:v>
      </x:c>
    </x:row>
    <x:row r="1115">
      <x:c r="A1115" t="str">
        <x:v>DOS-5-083</x:v>
      </x:c>
      <x:c r="B1115" t="n">
        <x:v>5</x:v>
      </x:c>
      <x:c r="C1115" t="str">
        <x:v>58-71 57TH ROAD, MASPETH, NY, 11378, US</x:v>
      </x:c>
      <x:c r="D1115" t="str">
        <x:v>AMBRO PROPERTIES LLC</x:v>
      </x:c>
      <x:c r="E1115" t="str">
        <x:v>AMBRO PROPERTIES LLC</x:v>
      </x:c>
      <x:c r="F1115" t="str">
        <x:v>Active name match</x:v>
      </x:c>
      <x:c r="G1115" t="n">
        <x:v>1</x:v>
      </x:c>
      <x:c r="H1115" t="n">
        <x:v>1</x:v>
      </x:c>
      <x:c r="I1115" t="str">
        <x:v>4032053</x:v>
      </x:c>
      <x:c r="J1115" t="str">
        <x:v>AMBRO PROPERTIES, LLC</x:v>
      </x:c>
      <x:c r="K1115" s="55" t="n">
        <x:v>40529</x:v>
      </x:c>
      <x:c r="L1115" t="str">
        <x:v>Queens</x:v>
      </x:c>
      <x:c r="M1115" t="str">
        <x:v>New York</x:v>
      </x:c>
      <x:c r="N1115" t="str">
        <x:v>DOMESTIC LIMITED LIABILITY COMPANY</x:v>
      </x:c>
      <x:c r="O1115" t="str">
        <x:v>JOSEPH MUSSO</x:v>
      </x:c>
      <x:c r="P1115" t="str">
        <x:v>58-71 57TH RD, MASPETH, NY, 11378</x:v>
      </x:c>
      <x:c r="Q1115" t="str"/>
      <x:c r="R1115" t="str"/>
      <x:c r="S1115" t="str"/>
      <x:c r="T1115" t="str"/>
      <x:c r="U1115" t="str"/>
      <x:c r="V1115" t="str"/>
      <x:c r="W1115" t="str"/>
      <x:c r="X1115" t="str"/>
      <x:c r="Y1115" t="str">
        <x:v>https://data.ny.gov/Economic-Development/Active-Corporations-Beginning-1800/n9v6-gdp6</x:v>
      </x:c>
    </x:row>
    <x:row r="1116">
      <x:c r="A1116" t="str">
        <x:v>DOS-5-083</x:v>
      </x:c>
      <x:c r="B1116" t="n">
        <x:v>5</x:v>
      </x:c>
      <x:c r="C1116" t="str">
        <x:v>58-71 57TH ROAD, MASPETH, NY, 11378, US</x:v>
      </x:c>
      <x:c r="D1116" t="str">
        <x:v>MELVINA PROPERTIES LLC</x:v>
      </x:c>
      <x:c r="E1116" t="str">
        <x:v>MELVINA PROPERTIES, LLC</x:v>
      </x:c>
      <x:c r="F1116" t="str">
        <x:v>Active name match</x:v>
      </x:c>
      <x:c r="G1116" t="n">
        <x:v>1</x:v>
      </x:c>
      <x:c r="H1116" t="n">
        <x:v>1</x:v>
      </x:c>
      <x:c r="I1116" t="str">
        <x:v>4031886</x:v>
      </x:c>
      <x:c r="J1116" t="str">
        <x:v>MELVINA PROPERTIES, LLC</x:v>
      </x:c>
      <x:c r="K1116" s="55" t="n">
        <x:v>40529</x:v>
      </x:c>
      <x:c r="L1116" t="str">
        <x:v>Queens</x:v>
      </x:c>
      <x:c r="M1116" t="str">
        <x:v>New York</x:v>
      </x:c>
      <x:c r="N1116" t="str">
        <x:v>DOMESTIC LIMITED LIABILITY COMPANY</x:v>
      </x:c>
      <x:c r="O1116" t="str">
        <x:v>JOSEPH MUSSO</x:v>
      </x:c>
      <x:c r="P1116" t="str">
        <x:v>58-71 57TH RD, MASPETH, NY, 11378</x:v>
      </x:c>
      <x:c r="Q1116" t="str"/>
      <x:c r="R1116" t="str"/>
      <x:c r="S1116" t="str"/>
      <x:c r="T1116" t="str"/>
      <x:c r="U1116" t="str"/>
      <x:c r="V1116" t="str"/>
      <x:c r="W1116" t="str"/>
      <x:c r="X1116" t="str"/>
      <x:c r="Y1116" t="str">
        <x:v>https://data.ny.gov/Economic-Development/Active-Corporations-Beginning-1800/n9v6-gdp6</x:v>
      </x:c>
    </x:row>
    <x:row r="1117">
      <x:c r="A1117" t="str">
        <x:v>DOS-5-084</x:v>
      </x:c>
      <x:c r="B1117" t="n">
        <x:v>5</x:v>
      </x:c>
      <x:c r="C1117" t="str">
        <x:v>5808 21ST AVENUE, BROOKLYN, NY, 11204, US</x:v>
      </x:c>
      <x:c r="D1117" t="str">
        <x:v>B H FLATBUSH LLC</x:v>
      </x:c>
      <x:c r="E1117" t="str">
        <x:v>B H FLATBUSH LLC</x:v>
      </x:c>
      <x:c r="F1117" t="str">
        <x:v>Active name match</x:v>
      </x:c>
      <x:c r="G1117" t="n">
        <x:v>1</x:v>
      </x:c>
      <x:c r="H1117" t="n">
        <x:v>1</x:v>
      </x:c>
      <x:c r="I1117" t="str">
        <x:v>4868983</x:v>
      </x:c>
      <x:c r="J1117" t="str">
        <x:v>B H FLATBUSH LLC</x:v>
      </x:c>
      <x:c r="K1117" s="55" t="n">
        <x:v>42361</x:v>
      </x:c>
      <x:c r="L1117" t="str">
        <x:v>Kings</x:v>
      </x:c>
      <x:c r="M1117" t="str">
        <x:v>New York</x:v>
      </x:c>
      <x:c r="N1117" t="str">
        <x:v>DOMESTIC LIMITED LIABILITY COMPANY</x:v>
      </x:c>
      <x:c r="O1117" t="str">
        <x:v>B H FLATBUSH LLC</x:v>
      </x:c>
      <x:c r="P1117" t="str">
        <x:v>2044 57th Street, BROOKLYN, NY, 11204</x:v>
      </x:c>
      <x:c r="Q1117" t="str"/>
      <x:c r="R1117" t="str"/>
      <x:c r="S1117" t="str"/>
      <x:c r="T1117" t="str"/>
      <x:c r="U1117" t="str"/>
      <x:c r="V1117" t="str"/>
      <x:c r="W1117" t="str"/>
      <x:c r="X1117" t="str"/>
      <x:c r="Y1117" t="str">
        <x:v>https://data.ny.gov/Economic-Development/Active-Corporations-Beginning-1800/n9v6-gdp6</x:v>
      </x:c>
    </x:row>
    <x:row r="1118">
      <x:c r="A1118" t="str">
        <x:v>DOS-5-084</x:v>
      </x:c>
      <x:c r="B1118" t="n">
        <x:v>5</x:v>
      </x:c>
      <x:c r="C1118" t="str">
        <x:v>5808 21ST AVENUE, BROOKLYN, NY, 11204, US</x:v>
      </x:c>
      <x:c r="D1118" t="str">
        <x:v>B H JEFFERSON LLC</x:v>
      </x:c>
      <x:c r="E1118" t="str">
        <x:v>B H JEFFERSON LLC</x:v>
      </x:c>
      <x:c r="F1118" t="str">
        <x:v>Active name match</x:v>
      </x:c>
      <x:c r="G1118" t="n">
        <x:v>1</x:v>
      </x:c>
      <x:c r="H1118" t="n">
        <x:v>1</x:v>
      </x:c>
      <x:c r="I1118" t="str">
        <x:v>4970136</x:v>
      </x:c>
      <x:c r="J1118" t="str">
        <x:v>B H JEFFERSON LLC</x:v>
      </x:c>
      <x:c r="K1118" s="55" t="n">
        <x:v>42549</x:v>
      </x:c>
      <x:c r="L1118" t="str">
        <x:v>Kings</x:v>
      </x:c>
      <x:c r="M1118" t="str">
        <x:v>New York</x:v>
      </x:c>
      <x:c r="N1118" t="str">
        <x:v>DOMESTIC LIMITED LIABILITY COMPANY</x:v>
      </x:c>
      <x:c r="O1118" t="str">
        <x:v>B H JEFFERSON LLC</x:v>
      </x:c>
      <x:c r="P1118" t="str">
        <x:v>2044 57th Street, BROOKLYN, NY, 11204</x:v>
      </x:c>
      <x:c r="Q1118" t="str"/>
      <x:c r="R1118" t="str"/>
      <x:c r="S1118" t="str"/>
      <x:c r="T1118" t="str"/>
      <x:c r="U1118" t="str"/>
      <x:c r="V1118" t="str"/>
      <x:c r="W1118" t="str"/>
      <x:c r="X1118" t="str"/>
      <x:c r="Y1118" t="str">
        <x:v>https://data.ny.gov/Economic-Development/Active-Corporations-Beginning-1800/n9v6-gdp6</x:v>
      </x:c>
    </x:row>
    <x:row r="1119">
      <x:c r="A1119" t="str">
        <x:v>DOS-5-084</x:v>
      </x:c>
      <x:c r="B1119" t="n">
        <x:v>5</x:v>
      </x:c>
      <x:c r="C1119" t="str">
        <x:v>5808 21ST AVENUE, BROOKLYN, NY, 11204, US</x:v>
      </x:c>
      <x:c r="D1119" t="str">
        <x:v>B H THIRD LLC</x:v>
      </x:c>
      <x:c r="E1119" t="str">
        <x:v>B H THIRD LLC</x:v>
      </x:c>
      <x:c r="F1119" t="str">
        <x:v>Active name match</x:v>
      </x:c>
      <x:c r="G1119" t="n">
        <x:v>1</x:v>
      </x:c>
      <x:c r="H1119" t="n">
        <x:v>0</x:v>
      </x:c>
      <x:c r="I1119" t="str">
        <x:v>4442808</x:v>
      </x:c>
      <x:c r="J1119" t="str">
        <x:v>B H THIRD LLC</x:v>
      </x:c>
      <x:c r="K1119" s="55" t="n">
        <x:v>41494</x:v>
      </x:c>
      <x:c r="L1119" t="str">
        <x:v>Orange</x:v>
      </x:c>
      <x:c r="M1119" t="str">
        <x:v>New York</x:v>
      </x:c>
      <x:c r="N1119" t="str">
        <x:v>DOMESTIC LIMITED LIABILITY COMPANY</x:v>
      </x:c>
      <x:c r="O1119" t="str">
        <x:v>C/O BRAUNER</x:v>
      </x:c>
      <x:c r="P1119" t="str">
        <x:v>2 FRANKFURT ROAD #202, MONROE, NY, 10950</x:v>
      </x:c>
      <x:c r="Q1119" t="str"/>
      <x:c r="R1119" t="str"/>
      <x:c r="S1119" t="str"/>
      <x:c r="T1119" t="str"/>
      <x:c r="U1119" t="str"/>
      <x:c r="V1119" t="str"/>
      <x:c r="W1119" t="str"/>
      <x:c r="X1119" t="str"/>
      <x:c r="Y1119" t="str">
        <x:v>https://data.ny.gov/Economic-Development/Active-Corporations-Beginning-1800/n9v6-gdp6</x:v>
      </x:c>
    </x:row>
    <x:row r="1120">
      <x:c r="A1120" t="str">
        <x:v>DOS-5-084</x:v>
      </x:c>
      <x:c r="B1120" t="n">
        <x:v>5</x:v>
      </x:c>
      <x:c r="C1120" t="str">
        <x:v>5808 21ST AVENUE, BROOKLYN, NY, 11204, US</x:v>
      </x:c>
      <x:c r="D1120" t="str">
        <x:v>B L COVERT LLC</x:v>
      </x:c>
      <x:c r="E1120" t="str">
        <x:v>B L COVERT LLC</x:v>
      </x:c>
      <x:c r="F1120" t="str">
        <x:v>Address-corroborated active match</x:v>
      </x:c>
      <x:c r="G1120" t="n">
        <x:v>1</x:v>
      </x:c>
      <x:c r="H1120" t="n">
        <x:v>2</x:v>
      </x:c>
      <x:c r="I1120" t="str">
        <x:v>4890953</x:v>
      </x:c>
      <x:c r="J1120" t="str">
        <x:v>B L COVERT LLC</x:v>
      </x:c>
      <x:c r="K1120" s="55" t="n">
        <x:v>42404</x:v>
      </x:c>
      <x:c r="L1120" t="str">
        <x:v>Kings</x:v>
      </x:c>
      <x:c r="M1120" t="str">
        <x:v>New York</x:v>
      </x:c>
      <x:c r="N1120" t="str">
        <x:v>DOMESTIC LIMITED LIABILITY COMPANY</x:v>
      </x:c>
      <x:c r="O1120" t="str">
        <x:v>B L COVERT LLC</x:v>
      </x:c>
      <x:c r="P1120" t="str">
        <x:v>5808 21ST AVE., BROOKLYN, NY, 11204</x:v>
      </x:c>
      <x:c r="Q1120" t="str"/>
      <x:c r="R1120" t="str"/>
      <x:c r="S1120" t="str"/>
      <x:c r="T1120" t="str"/>
      <x:c r="U1120" t="str"/>
      <x:c r="V1120" t="str"/>
      <x:c r="W1120" t="str"/>
      <x:c r="X1120" t="str"/>
      <x:c r="Y1120" t="str">
        <x:v>https://data.ny.gov/Economic-Development/Active-Corporations-Beginning-1800/n9v6-gdp6</x:v>
      </x:c>
    </x:row>
    <x:row r="1121">
      <x:c r="A1121" t="str">
        <x:v>DOS-5-084</x:v>
      </x:c>
      <x:c r="B1121" t="n">
        <x:v>5</x:v>
      </x:c>
      <x:c r="C1121" t="str">
        <x:v>5808 21ST AVENUE, BROOKLYN, NY, 11204, US</x:v>
      </x:c>
      <x:c r="D1121" t="str">
        <x:v>B L GATES LLC</x:v>
      </x:c>
      <x:c r="E1121" t="str">
        <x:v>B L GATES LLC</x:v>
      </x:c>
      <x:c r="F1121" t="str">
        <x:v>Active name match</x:v>
      </x:c>
      <x:c r="G1121" t="n">
        <x:v>1</x:v>
      </x:c>
      <x:c r="H1121" t="n">
        <x:v>0</x:v>
      </x:c>
      <x:c r="I1121" t="str">
        <x:v>5075344</x:v>
      </x:c>
      <x:c r="J1121" t="str">
        <x:v>B L GATES LLC</x:v>
      </x:c>
      <x:c r="K1121" s="55" t="n">
        <x:v>42762</x:v>
      </x:c>
      <x:c r="L1121" t="str">
        <x:v>Kings</x:v>
      </x:c>
      <x:c r="M1121" t="str">
        <x:v>New York</x:v>
      </x:c>
      <x:c r="N1121" t="str">
        <x:v>DOMESTIC LIMITED LIABILITY COMPANY</x:v>
      </x:c>
      <x:c r="O1121" t="str">
        <x:v>B L GATES LLC</x:v>
      </x:c>
      <x:c r="P1121" t="str">
        <x:v>402 AVENUE M, BROOKLYN, NY, 11230</x:v>
      </x:c>
      <x:c r="Q1121" t="str"/>
      <x:c r="R1121" t="str"/>
      <x:c r="S1121" t="str"/>
      <x:c r="T1121" t="str"/>
      <x:c r="U1121" t="str"/>
      <x:c r="V1121" t="str"/>
      <x:c r="W1121" t="str"/>
      <x:c r="X1121" t="str"/>
      <x:c r="Y1121" t="str">
        <x:v>https://data.ny.gov/Economic-Development/Active-Corporations-Beginning-1800/n9v6-gdp6</x:v>
      </x:c>
    </x:row>
    <x:row r="1122">
      <x:c r="A1122" t="str">
        <x:v>DOS-5-085</x:v>
      </x:c>
      <x:c r="B1122" t="n">
        <x:v>5</x:v>
      </x:c>
      <x:c r="C1122" t="str">
        <x:v>59-28 70TH STREET, MASPETH, NY, 11378, US</x:v>
      </x:c>
      <x:c r="D1122" t="str">
        <x:v>60 AVE LLC</x:v>
      </x:c>
      <x:c r="E1122" t="str">
        <x:v>60 AVE LLC</x:v>
      </x:c>
      <x:c r="F1122" t="str">
        <x:v>Address-corroborated active match</x:v>
      </x:c>
      <x:c r="G1122" t="n">
        <x:v>1</x:v>
      </x:c>
      <x:c r="H1122" t="n">
        <x:v>2</x:v>
      </x:c>
      <x:c r="I1122" t="str">
        <x:v>7447285</x:v>
      </x:c>
      <x:c r="J1122" t="str">
        <x:v>60 AVE LLC</x:v>
      </x:c>
      <x:c r="K1122" s="55" t="n">
        <x:v>45587</x:v>
      </x:c>
      <x:c r="L1122" t="str">
        <x:v>Queens</x:v>
      </x:c>
      <x:c r="M1122" t="str">
        <x:v>New York</x:v>
      </x:c>
      <x:c r="N1122" t="str">
        <x:v>DOMESTIC LIMITED LIABILITY COMPANY</x:v>
      </x:c>
      <x:c r="O1122" t="str">
        <x:v>60 AVE LLC</x:v>
      </x:c>
      <x:c r="P1122" t="str">
        <x:v>59-28 70th Street, Maspeth, NY, 11378</x:v>
      </x:c>
      <x:c r="Q1122" t="str"/>
      <x:c r="R1122" t="str"/>
      <x:c r="S1122" t="str"/>
      <x:c r="T1122" t="str"/>
      <x:c r="U1122" t="str"/>
      <x:c r="V1122" t="str"/>
      <x:c r="W1122" t="str"/>
      <x:c r="X1122" t="str"/>
      <x:c r="Y1122" t="str">
        <x:v>https://data.ny.gov/Economic-Development/Active-Corporations-Beginning-1800/n9v6-gdp6</x:v>
      </x:c>
    </x:row>
    <x:row r="1123">
      <x:c r="A1123" t="str">
        <x:v>DOS-5-085</x:v>
      </x:c>
      <x:c r="B1123" t="n">
        <x:v>5</x:v>
      </x:c>
      <x:c r="C1123" t="str">
        <x:v>59-28 70TH STREET, MASPETH, NY, 11378, US</x:v>
      </x:c>
      <x:c r="D1123" t="str">
        <x:v>7037 GLENDALE LLC</x:v>
      </x:c>
      <x:c r="E1123" t="str">
        <x:v>7037 GLENDALE LLC.</x:v>
      </x:c>
      <x:c r="F1123" t="str">
        <x:v>Address-corroborated active match</x:v>
      </x:c>
      <x:c r="G1123" t="n">
        <x:v>1</x:v>
      </x:c>
      <x:c r="H1123" t="n">
        <x:v>2</x:v>
      </x:c>
      <x:c r="I1123" t="str">
        <x:v>4978810</x:v>
      </x:c>
      <x:c r="J1123" t="str">
        <x:v>7037 GLENDALE LLC</x:v>
      </x:c>
      <x:c r="K1123" s="55" t="n">
        <x:v>42569</x:v>
      </x:c>
      <x:c r="L1123" t="str">
        <x:v>Queens</x:v>
      </x:c>
      <x:c r="M1123" t="str">
        <x:v>New York</x:v>
      </x:c>
      <x:c r="N1123" t="str">
        <x:v>DOMESTIC LIMITED LIABILITY COMPANY</x:v>
      </x:c>
      <x:c r="O1123" t="str">
        <x:v>7037 GLENDALE LLC</x:v>
      </x:c>
      <x:c r="P1123" t="str">
        <x:v>59-28 70TH STREET, MASPETH, NY, 11378</x:v>
      </x:c>
      <x:c r="Q1123" t="str"/>
      <x:c r="R1123" t="str"/>
      <x:c r="S1123" t="str"/>
      <x:c r="T1123" t="str"/>
      <x:c r="U1123" t="str"/>
      <x:c r="V1123" t="str"/>
      <x:c r="W1123" t="str"/>
      <x:c r="X1123" t="str"/>
      <x:c r="Y1123" t="str">
        <x:v>https://data.ny.gov/Economic-Development/Active-Corporations-Beginning-1800/n9v6-gdp6</x:v>
      </x:c>
    </x:row>
    <x:row r="1124">
      <x:c r="A1124" t="str">
        <x:v>DOS-5-085</x:v>
      </x:c>
      <x:c r="B1124" t="n">
        <x:v>5</x:v>
      </x:c>
      <x:c r="C1124" t="str">
        <x:v>59-28 70TH STREET, MASPETH, NY, 11378, US</x:v>
      </x:c>
      <x:c r="D1124" t="str">
        <x:v>CINQUE TERRE LLC</x:v>
      </x:c>
      <x:c r="E1124" t="str">
        <x:v>CINQUE TERRE LLC</x:v>
      </x:c>
      <x:c r="F1124" t="str">
        <x:v>Address-corroborated active match</x:v>
      </x:c>
      <x:c r="G1124" t="n">
        <x:v>1</x:v>
      </x:c>
      <x:c r="H1124" t="n">
        <x:v>2</x:v>
      </x:c>
      <x:c r="I1124" t="str">
        <x:v>7447289</x:v>
      </x:c>
      <x:c r="J1124" t="str">
        <x:v>CINQUE TERRE LLC</x:v>
      </x:c>
      <x:c r="K1124" s="55" t="n">
        <x:v>45587</x:v>
      </x:c>
      <x:c r="L1124" t="str">
        <x:v>Queens</x:v>
      </x:c>
      <x:c r="M1124" t="str">
        <x:v>New York</x:v>
      </x:c>
      <x:c r="N1124" t="str">
        <x:v>DOMESTIC LIMITED LIABILITY COMPANY</x:v>
      </x:c>
      <x:c r="O1124" t="str">
        <x:v>CINQUE TERRE LLC</x:v>
      </x:c>
      <x:c r="P1124" t="str">
        <x:v>59-28 70th Street, Maspeth, NY, 11378</x:v>
      </x:c>
      <x:c r="Q1124" t="str"/>
      <x:c r="R1124" t="str"/>
      <x:c r="S1124" t="str"/>
      <x:c r="T1124" t="str"/>
      <x:c r="U1124" t="str"/>
      <x:c r="V1124" t="str"/>
      <x:c r="W1124" t="str"/>
      <x:c r="X1124" t="str"/>
      <x:c r="Y1124" t="str">
        <x:v>https://data.ny.gov/Economic-Development/Active-Corporations-Beginning-1800/n9v6-gdp6</x:v>
      </x:c>
    </x:row>
    <x:row r="1125">
      <x:c r="A1125" t="str">
        <x:v>DOS-5-085</x:v>
      </x:c>
      <x:c r="B1125" t="n">
        <x:v>5</x:v>
      </x:c>
      <x:c r="C1125" t="str">
        <x:v>59-28 70TH STREET, MASPETH, NY, 11378, US</x:v>
      </x:c>
      <x:c r="D1125" t="str">
        <x:v>FSGG HOLDINGS LLC</x:v>
      </x:c>
      <x:c r="E1125" t="str">
        <x:v>FSGG HOLDINGS LLC</x:v>
      </x:c>
      <x:c r="F1125" t="str">
        <x:v>Address-corroborated active match</x:v>
      </x:c>
      <x:c r="G1125" t="n">
        <x:v>1</x:v>
      </x:c>
      <x:c r="H1125" t="n">
        <x:v>2</x:v>
      </x:c>
      <x:c r="I1125" t="str">
        <x:v>6319279</x:v>
      </x:c>
      <x:c r="J1125" t="str">
        <x:v>FSGG HOLDINGS LLC</x:v>
      </x:c>
      <x:c r="K1125" s="55" t="n">
        <x:v>44503</x:v>
      </x:c>
      <x:c r="L1125" t="str">
        <x:v>Queens</x:v>
      </x:c>
      <x:c r="M1125" t="str">
        <x:v>New York</x:v>
      </x:c>
      <x:c r="N1125" t="str">
        <x:v>DOMESTIC LIMITED LIABILITY COMPANY</x:v>
      </x:c>
      <x:c r="O1125" t="str">
        <x:v>THE LIMITED LIABILITY COMPANY</x:v>
      </x:c>
      <x:c r="P1125" t="str">
        <x:v>59-28 70th Street, Maspeth, NY, 11378</x:v>
      </x:c>
      <x:c r="Q1125" t="str"/>
      <x:c r="R1125" t="str"/>
      <x:c r="S1125" t="str"/>
      <x:c r="T1125" t="str"/>
      <x:c r="U1125" t="str"/>
      <x:c r="V1125" t="str"/>
      <x:c r="W1125" t="str"/>
      <x:c r="X1125" t="str"/>
      <x:c r="Y1125" t="str">
        <x:v>https://data.ny.gov/Economic-Development/Active-Corporations-Beginning-1800/n9v6-gdp6</x:v>
      </x:c>
    </x:row>
    <x:row r="1126">
      <x:c r="A1126" t="str">
        <x:v>DOS-5-085</x:v>
      </x:c>
      <x:c r="B1126" t="n">
        <x:v>5</x:v>
      </x:c>
      <x:c r="C1126" t="str">
        <x:v>59-28 70TH STREET, MASPETH, NY, 11378, US</x:v>
      </x:c>
      <x:c r="D1126" t="str">
        <x:v>PIRRONE GRAND LLC</x:v>
      </x:c>
      <x:c r="E1126" t="str">
        <x:v>PIRRONE GRAND LLC</x:v>
      </x:c>
      <x:c r="F1126" t="str">
        <x:v>Address-corroborated active match</x:v>
      </x:c>
      <x:c r="G1126" t="n">
        <x:v>1</x:v>
      </x:c>
      <x:c r="H1126" t="n">
        <x:v>2</x:v>
      </x:c>
      <x:c r="I1126" t="str">
        <x:v>5070061</x:v>
      </x:c>
      <x:c r="J1126" t="str">
        <x:v>PIRRONE GRAND LLC</x:v>
      </x:c>
      <x:c r="K1126" s="55" t="n">
        <x:v>42753</x:v>
      </x:c>
      <x:c r="L1126" t="str">
        <x:v>Queens</x:v>
      </x:c>
      <x:c r="M1126" t="str">
        <x:v>New York</x:v>
      </x:c>
      <x:c r="N1126" t="str">
        <x:v>DOMESTIC LIMITED LIABILITY COMPANY</x:v>
      </x:c>
      <x:c r="O1126" t="str">
        <x:v>PIRRONE GRAND LLC</x:v>
      </x:c>
      <x:c r="P1126" t="str">
        <x:v>59-28 70TH STREET, MASPETH, NY, 11378</x:v>
      </x:c>
      <x:c r="Q1126" t="str"/>
      <x:c r="R1126" t="str"/>
      <x:c r="S1126" t="str"/>
      <x:c r="T1126" t="str"/>
      <x:c r="U1126" t="str"/>
      <x:c r="V1126" t="str"/>
      <x:c r="W1126" t="str"/>
      <x:c r="X1126" t="str"/>
      <x:c r="Y1126" t="str">
        <x:v>https://data.ny.gov/Economic-Development/Active-Corporations-Beginning-1800/n9v6-gdp6</x:v>
      </x:c>
    </x:row>
    <x:row r="1127">
      <x:c r="A1127" t="str">
        <x:v>DOS-5-086</x:v>
      </x:c>
      <x:c r="B1127" t="n">
        <x:v>5</x:v>
      </x:c>
      <x:c r="C1127" t="str">
        <x:v>772 44TH  STREET, BROOKLYN, NY, 11220, US | 772 44TH STREET, BROOKLYN, NY, 11220, US</x:v>
      </x:c>
      <x:c r="D1127" t="str">
        <x:v>469 45 STREET LLC</x:v>
      </x:c>
      <x:c r="E1127" t="str">
        <x:v>469 45 STREET LLC</x:v>
      </x:c>
      <x:c r="F1127" t="str">
        <x:v>Active name match</x:v>
      </x:c>
      <x:c r="G1127" t="n">
        <x:v>1</x:v>
      </x:c>
      <x:c r="H1127" t="n">
        <x:v>1</x:v>
      </x:c>
      <x:c r="I1127" t="str">
        <x:v>5192099</x:v>
      </x:c>
      <x:c r="J1127" t="str">
        <x:v>469 45 STREET LLC</x:v>
      </x:c>
      <x:c r="K1127" s="55" t="n">
        <x:v>42971</x:v>
      </x:c>
      <x:c r="L1127" t="str">
        <x:v>Kings</x:v>
      </x:c>
      <x:c r="M1127" t="str">
        <x:v>New York</x:v>
      </x:c>
      <x:c r="N1127" t="str">
        <x:v>DOMESTIC LIMITED LIABILITY COMPANY</x:v>
      </x:c>
      <x:c r="O1127" t="str">
        <x:v>469 45 STREET LLC</x:v>
      </x:c>
      <x:c r="P1127" t="str">
        <x:v>772 44TH ST., 1ST FL., BROOKLYN, NY, 11220</x:v>
      </x:c>
      <x:c r="Q1127" t="str"/>
      <x:c r="R1127" t="str"/>
      <x:c r="S1127" t="str"/>
      <x:c r="T1127" t="str"/>
      <x:c r="U1127" t="str"/>
      <x:c r="V1127" t="str"/>
      <x:c r="W1127" t="str"/>
      <x:c r="X1127" t="str"/>
      <x:c r="Y1127" t="str">
        <x:v>https://data.ny.gov/Economic-Development/Active-Corporations-Beginning-1800/n9v6-gdp6</x:v>
      </x:c>
    </x:row>
    <x:row r="1128">
      <x:c r="A1128" t="str">
        <x:v>DOS-5-086</x:v>
      </x:c>
      <x:c r="B1128" t="n">
        <x:v>5</x:v>
      </x:c>
      <x:c r="C1128" t="str">
        <x:v>772 44TH  STREET, BROOKLYN, NY, 11220, US | 772 44TH STREET, BROOKLYN, NY, 11220, US</x:v>
      </x:c>
      <x:c r="D1128" t="str">
        <x:v>472 SUNSET PARK LLC</x:v>
      </x:c>
      <x:c r="E1128" t="str">
        <x:v>472 SUNSET PARK LLC</x:v>
      </x:c>
      <x:c r="F1128" t="str">
        <x:v>Active name match</x:v>
      </x:c>
      <x:c r="G1128" t="n">
        <x:v>1</x:v>
      </x:c>
      <x:c r="H1128" t="n">
        <x:v>1</x:v>
      </x:c>
      <x:c r="I1128" t="str">
        <x:v>4718296</x:v>
      </x:c>
      <x:c r="J1128" t="str">
        <x:v>472 SUNSET PARK LLC</x:v>
      </x:c>
      <x:c r="K1128" s="55" t="n">
        <x:v>42065</x:v>
      </x:c>
      <x:c r="L1128" t="str">
        <x:v>Kings</x:v>
      </x:c>
      <x:c r="M1128" t="str">
        <x:v>New York</x:v>
      </x:c>
      <x:c r="N1128" t="str">
        <x:v>DOMESTIC LIMITED LIABILITY COMPANY</x:v>
      </x:c>
      <x:c r="O1128" t="str">
        <x:v>472 SUNSET PARK LLC</x:v>
      </x:c>
      <x:c r="P1128" t="str">
        <x:v>772 44TH STREET, 1ST FLOOR, BROOKLYN, NY, 11220</x:v>
      </x:c>
      <x:c r="Q1128" t="str"/>
      <x:c r="R1128" t="str"/>
      <x:c r="S1128" t="str">
        <x:v>DA DIAN YANG</x:v>
      </x:c>
      <x:c r="T1128" t="str">
        <x:v>772 44TH STREET, 1ST FLOOR, BROOKLYN, NEW YORK, 11220</x:v>
      </x:c>
      <x:c r="U1128" t="str"/>
      <x:c r="V1128" t="str"/>
      <x:c r="W1128" t="str"/>
      <x:c r="X1128" t="str"/>
      <x:c r="Y1128" t="str">
        <x:v>https://data.ny.gov/Economic-Development/Active-Corporations-Beginning-1800/n9v6-gdp6</x:v>
      </x:c>
    </x:row>
    <x:row r="1129">
      <x:c r="A1129" t="str">
        <x:v>DOS-5-086</x:v>
      </x:c>
      <x:c r="B1129" t="n">
        <x:v>5</x:v>
      </x:c>
      <x:c r="C1129" t="str">
        <x:v>772 44TH  STREET, BROOKLYN, NY, 11220, US | 772 44TH STREET, BROOKLYN, NY, 11220, US</x:v>
      </x:c>
      <x:c r="D1129" t="str">
        <x:v>838 SUNSET PARK LLC</x:v>
      </x:c>
      <x:c r="E1129" t="str">
        <x:v>838 SUNSET PARK LLC</x:v>
      </x:c>
      <x:c r="F1129" t="str">
        <x:v>Active name match</x:v>
      </x:c>
      <x:c r="G1129" t="n">
        <x:v>1</x:v>
      </x:c>
      <x:c r="H1129" t="n">
        <x:v>1</x:v>
      </x:c>
      <x:c r="I1129" t="str">
        <x:v>4384846</x:v>
      </x:c>
      <x:c r="J1129" t="str">
        <x:v>838 SUNSET PARK LLC</x:v>
      </x:c>
      <x:c r="K1129" s="55" t="n">
        <x:v>41372</x:v>
      </x:c>
      <x:c r="L1129" t="str">
        <x:v>Kings</x:v>
      </x:c>
      <x:c r="M1129" t="str">
        <x:v>New York</x:v>
      </x:c>
      <x:c r="N1129" t="str">
        <x:v>DOMESTIC LIMITED LIABILITY COMPANY</x:v>
      </x:c>
      <x:c r="O1129" t="str">
        <x:v>838 SUNSET PARK LLC</x:v>
      </x:c>
      <x:c r="P1129" t="str">
        <x:v>4414 8th Avenue, BROOKLYN, NY, 11220</x:v>
      </x:c>
      <x:c r="Q1129" t="str"/>
      <x:c r="R1129" t="str"/>
      <x:c r="S1129" t="str"/>
      <x:c r="T1129" t="str"/>
      <x:c r="U1129" t="str"/>
      <x:c r="V1129" t="str"/>
      <x:c r="W1129" t="str"/>
      <x:c r="X1129" t="str"/>
      <x:c r="Y1129" t="str">
        <x:v>https://data.ny.gov/Economic-Development/Active-Corporations-Beginning-1800/n9v6-gdp6</x:v>
      </x:c>
    </x:row>
    <x:row r="1130">
      <x:c r="A1130" t="str">
        <x:v>DOS-5-086</x:v>
      </x:c>
      <x:c r="B1130" t="n">
        <x:v>5</x:v>
      </x:c>
      <x:c r="C1130" t="str">
        <x:v>772 44TH  STREET, BROOKLYN, NY, 11220, US | 772 44TH STREET, BROOKLYN, NY, 11220, US</x:v>
      </x:c>
      <x:c r="D1130" t="str">
        <x:v>X D YANG AND DAUGHTER LLC</x:v>
      </x:c>
      <x:c r="E1130" t="str">
        <x:v>X.D. YANG &amp; DAUGHTER, LLC</x:v>
      </x:c>
      <x:c r="F1130" t="str">
        <x:v>Active name match</x:v>
      </x:c>
      <x:c r="G1130" t="n">
        <x:v>1</x:v>
      </x:c>
      <x:c r="H1130" t="n">
        <x:v>1</x:v>
      </x:c>
      <x:c r="I1130" t="str">
        <x:v>4618893</x:v>
      </x:c>
      <x:c r="J1130" t="str">
        <x:v>X.D. YANG &amp; DAUGHTER LLC</x:v>
      </x:c>
      <x:c r="K1130" s="55" t="n">
        <x:v>41859</x:v>
      </x:c>
      <x:c r="L1130" t="str">
        <x:v>Kings</x:v>
      </x:c>
      <x:c r="M1130" t="str">
        <x:v>New York</x:v>
      </x:c>
      <x:c r="N1130" t="str">
        <x:v>DOMESTIC LIMITED LIABILITY COMPANY</x:v>
      </x:c>
      <x:c r="O1130" t="str">
        <x:v>DA DIAN YANG</x:v>
      </x:c>
      <x:c r="P1130" t="str">
        <x:v>772 44TH STREET, 1FL, BROOKLYN, NY, 11220</x:v>
      </x:c>
      <x:c r="Q1130" t="str"/>
      <x:c r="R1130" t="str"/>
      <x:c r="S1130" t="str"/>
      <x:c r="T1130" t="str"/>
      <x:c r="U1130" t="str"/>
      <x:c r="V1130" t="str"/>
      <x:c r="W1130" t="str"/>
      <x:c r="X1130" t="str"/>
      <x:c r="Y1130" t="str">
        <x:v>https://data.ny.gov/Economic-Development/Active-Corporations-Beginning-1800/n9v6-gdp6</x:v>
      </x:c>
    </x:row>
    <x:row r="1131">
      <x:c r="A1131" t="str">
        <x:v>DOS-5-086</x:v>
      </x:c>
      <x:c r="B1131" t="n">
        <x:v>5</x:v>
      </x:c>
      <x:c r="C1131" t="str">
        <x:v>772 44TH  STREET, BROOKLYN, NY, 11220, US | 772 44TH STREET, BROOKLYN, NY, 11220, US</x:v>
      </x:c>
      <x:c r="D1131" t="str">
        <x:v>X D YANG AND FRIENDS II LLC</x:v>
      </x:c>
      <x:c r="E1131" t="str">
        <x:v>X.D. YANG &amp; FRIENDS II LLC</x:v>
      </x:c>
      <x:c r="F1131" t="str">
        <x:v>Active name match</x:v>
      </x:c>
      <x:c r="G1131" t="n">
        <x:v>1</x:v>
      </x:c>
      <x:c r="H1131" t="n">
        <x:v>1</x:v>
      </x:c>
      <x:c r="I1131" t="str">
        <x:v>5686293</x:v>
      </x:c>
      <x:c r="J1131" t="str">
        <x:v>X.D. YANG &amp; FRIENDS II LLC</x:v>
      </x:c>
      <x:c r="K1131" s="55" t="n">
        <x:v>43840</x:v>
      </x:c>
      <x:c r="L1131" t="str">
        <x:v>Kings</x:v>
      </x:c>
      <x:c r="M1131" t="str">
        <x:v>New York</x:v>
      </x:c>
      <x:c r="N1131" t="str">
        <x:v>DOMESTIC LIMITED LIABILITY COMPANY</x:v>
      </x:c>
      <x:c r="O1131" t="str">
        <x:v>X.D. YANG &amp; FRIENDS II LLC</x:v>
      </x:c>
      <x:c r="P1131" t="str">
        <x:v>854 44th Street, BROOKLYN, NY, 11220</x:v>
      </x:c>
      <x:c r="Q1131" t="str"/>
      <x:c r="R1131" t="str"/>
      <x:c r="S1131" t="str"/>
      <x:c r="T1131" t="str"/>
      <x:c r="U1131" t="str"/>
      <x:c r="V1131" t="str"/>
      <x:c r="W1131" t="str"/>
      <x:c r="X1131" t="str"/>
      <x:c r="Y1131" t="str">
        <x:v>https://data.ny.gov/Economic-Development/Active-Corporations-Beginning-1800/n9v6-gdp6</x:v>
      </x:c>
    </x:row>
    <x:row r="1132">
      <x:c r="A1132" t="str">
        <x:v>DOS-5-087</x:v>
      </x:c>
      <x:c r="B1132" t="n">
        <x:v>5</x:v>
      </x:c>
      <x:c r="C1132" t="str">
        <x:v>8220 11TH AVENUE, BROOKLYN, NY, 11228, US</x:v>
      </x:c>
      <x:c r="D1132" t="str">
        <x:v>2276 2278 86TH STREET LLC</x:v>
      </x:c>
      <x:c r="E1132" t="str">
        <x:v>2276-2278 86TH STREET LLC</x:v>
      </x:c>
      <x:c r="F1132" t="str">
        <x:v>Active name match</x:v>
      </x:c>
      <x:c r="G1132" t="n">
        <x:v>1</x:v>
      </x:c>
      <x:c r="H1132" t="n">
        <x:v>0</x:v>
      </x:c>
      <x:c r="I1132" t="str">
        <x:v>6884132</x:v>
      </x:c>
      <x:c r="J1132" t="str">
        <x:v>2276-2278 86TH STREET LLC</x:v>
      </x:c>
      <x:c r="K1132" s="55" t="n">
        <x:v>45100</x:v>
      </x:c>
      <x:c r="L1132" t="str">
        <x:v>Kings</x:v>
      </x:c>
      <x:c r="M1132" t="str">
        <x:v>New York</x:v>
      </x:c>
      <x:c r="N1132" t="str">
        <x:v>DOMESTIC LIMITED LIABILITY COMPANY</x:v>
      </x:c>
      <x:c r="O1132" t="str">
        <x:v>C/O LINA ALAIMO</x:v>
      </x:c>
      <x:c r="P1132" t="str">
        <x:v>8220 11TH AVENUE, BROOKLYN, NY, 11204</x:v>
      </x:c>
      <x:c r="Q1132" t="str"/>
      <x:c r="R1132" t="str"/>
      <x:c r="S1132" t="str"/>
      <x:c r="T1132" t="str"/>
      <x:c r="U1132" t="str"/>
      <x:c r="V1132" t="str"/>
      <x:c r="W1132" t="str"/>
      <x:c r="X1132" t="str"/>
      <x:c r="Y1132" t="str">
        <x:v>https://data.ny.gov/Economic-Development/Active-Corporations-Beginning-1800/n9v6-gdp6</x:v>
      </x:c>
    </x:row>
    <x:row r="1133">
      <x:c r="A1133" t="str">
        <x:v>DOS-5-087</x:v>
      </x:c>
      <x:c r="B1133" t="n">
        <x:v>5</x:v>
      </x:c>
      <x:c r="C1133" t="str">
        <x:v>8220 11TH AVENUE, BROOKLYN, NY, 11228, US</x:v>
      </x:c>
      <x:c r="D1133" t="str">
        <x:v>2615 SHORE PKWY LLC</x:v>
      </x:c>
      <x:c r="E1133" t="str">
        <x:v>2615 SHORE PKWY LLC</x:v>
      </x:c>
      <x:c r="F1133" t="str">
        <x:v>Address-corroborated active match</x:v>
      </x:c>
      <x:c r="G1133" t="n">
        <x:v>1</x:v>
      </x:c>
      <x:c r="H1133" t="n">
        <x:v>2</x:v>
      </x:c>
      <x:c r="I1133" t="str">
        <x:v>5187512</x:v>
      </x:c>
      <x:c r="J1133" t="str">
        <x:v>2615 SHORE PKWY LLC</x:v>
      </x:c>
      <x:c r="K1133" s="55" t="n">
        <x:v>42963</x:v>
      </x:c>
      <x:c r="L1133" t="str">
        <x:v>Albany</x:v>
      </x:c>
      <x:c r="M1133" t="str">
        <x:v>New York</x:v>
      </x:c>
      <x:c r="N1133" t="str">
        <x:v>DOMESTIC LIMITED LIABILITY COMPANY</x:v>
      </x:c>
      <x:c r="O1133" t="str">
        <x:v>2615 SHORE PKWY LLC</x:v>
      </x:c>
      <x:c r="P1133" t="str">
        <x:v>8220 11TH AVE, BROOKLYN, NY, 11228</x:v>
      </x:c>
      <x:c r="Q1133" t="str"/>
      <x:c r="R1133" t="str"/>
      <x:c r="S1133" t="str"/>
      <x:c r="T1133" t="str"/>
      <x:c r="U1133" t="str"/>
      <x:c r="V1133" t="str"/>
      <x:c r="W1133" t="str"/>
      <x:c r="X1133" t="str"/>
      <x:c r="Y1133" t="str">
        <x:v>https://data.ny.gov/Economic-Development/Active-Corporations-Beginning-1800/n9v6-gdp6</x:v>
      </x:c>
    </x:row>
    <x:row r="1134">
      <x:c r="A1134" t="str">
        <x:v>DOS-5-087</x:v>
      </x:c>
      <x:c r="B1134" t="n">
        <x:v>5</x:v>
      </x:c>
      <x:c r="C1134" t="str">
        <x:v>8220 11TH AVENUE, BROOKLYN, NY, 11228, US</x:v>
      </x:c>
      <x:c r="D1134" t="str">
        <x:v>6420 18TH AVENUE LLC</x:v>
      </x:c>
      <x:c r="E1134" t="str">
        <x:v>6420 18TH AVENUE LLC</x:v>
      </x:c>
      <x:c r="F1134" t="str">
        <x:v>Address-corroborated active match</x:v>
      </x:c>
      <x:c r="G1134" t="n">
        <x:v>1</x:v>
      </x:c>
      <x:c r="H1134" t="n">
        <x:v>2</x:v>
      </x:c>
      <x:c r="I1134" t="str">
        <x:v>6466152</x:v>
      </x:c>
      <x:c r="J1134" t="str">
        <x:v>6420 18TH AVENUE LLC</x:v>
      </x:c>
      <x:c r="K1134" s="55" t="n">
        <x:v>44676</x:v>
      </x:c>
      <x:c r="L1134" t="str">
        <x:v>Albany</x:v>
      </x:c>
      <x:c r="M1134" t="str">
        <x:v>New York</x:v>
      </x:c>
      <x:c r="N1134" t="str">
        <x:v>DOMESTIC LIMITED LIABILITY COMPANY</x:v>
      </x:c>
      <x:c r="O1134" t="str">
        <x:v>C/O EMANUEL ALAIMO</x:v>
      </x:c>
      <x:c r="P1134" t="str">
        <x:v>8220 11TH AVE, BROOKLYN, NY, 11228</x:v>
      </x:c>
      <x:c r="Q1134" t="str"/>
      <x:c r="R1134" t="str"/>
      <x:c r="S1134" t="str"/>
      <x:c r="T1134" t="str"/>
      <x:c r="U1134" t="str"/>
      <x:c r="V1134" t="str"/>
      <x:c r="W1134" t="str"/>
      <x:c r="X1134" t="str"/>
      <x:c r="Y1134" t="str">
        <x:v>https://data.ny.gov/Economic-Development/Active-Corporations-Beginning-1800/n9v6-gdp6</x:v>
      </x:c>
    </x:row>
    <x:row r="1135">
      <x:c r="A1135" t="str">
        <x:v>DOS-5-087</x:v>
      </x:c>
      <x:c r="B1135" t="n">
        <x:v>5</x:v>
      </x:c>
      <x:c r="C1135" t="str">
        <x:v>8220 11TH AVENUE, BROOKLYN, NY, 11228, US</x:v>
      </x:c>
      <x:c r="D1135" t="str">
        <x:v>6903 NEW UTRECHT LLC</x:v>
      </x:c>
      <x:c r="E1135" t="str">
        <x:v>6903 NEW UTRECHT LLC</x:v>
      </x:c>
      <x:c r="F1135" t="str">
        <x:v>Address-corroborated active match</x:v>
      </x:c>
      <x:c r="G1135" t="n">
        <x:v>1</x:v>
      </x:c>
      <x:c r="H1135" t="n">
        <x:v>2</x:v>
      </x:c>
      <x:c r="I1135" t="str">
        <x:v>5601488</x:v>
      </x:c>
      <x:c r="J1135" t="str">
        <x:v>6903 NEW UTRECHT LLC</x:v>
      </x:c>
      <x:c r="K1135" s="55" t="n">
        <x:v>43685</x:v>
      </x:c>
      <x:c r="L1135" t="str">
        <x:v>Albany</x:v>
      </x:c>
      <x:c r="M1135" t="str">
        <x:v>New York</x:v>
      </x:c>
      <x:c r="N1135" t="str">
        <x:v>DOMESTIC LIMITED LIABILITY COMPANY</x:v>
      </x:c>
      <x:c r="O1135" t="str">
        <x:v>C/O LINA ALAIMO</x:v>
      </x:c>
      <x:c r="P1135" t="str">
        <x:v>8220 11TH AVE, BROOKLYN, NY, 11228</x:v>
      </x:c>
      <x:c r="Q1135" t="str"/>
      <x:c r="R1135" t="str"/>
      <x:c r="S1135" t="str"/>
      <x:c r="T1135" t="str"/>
      <x:c r="U1135" t="str"/>
      <x:c r="V1135" t="str"/>
      <x:c r="W1135" t="str"/>
      <x:c r="X1135" t="str"/>
      <x:c r="Y1135" t="str">
        <x:v>https://data.ny.gov/Economic-Development/Active-Corporations-Beginning-1800/n9v6-gdp6</x:v>
      </x:c>
    </x:row>
    <x:row r="1136">
      <x:c r="A1136" t="str">
        <x:v>DOS-5-087</x:v>
      </x:c>
      <x:c r="B1136" t="n">
        <x:v>5</x:v>
      </x:c>
      <x:c r="C1136" t="str">
        <x:v>8220 11TH AVENUE, BROOKLYN, NY, 11228, US</x:v>
      </x:c>
      <x:c r="D1136" t="str">
        <x:v>7001 7003 18TH AVENUE LLC</x:v>
      </x:c>
      <x:c r="E1136" t="str">
        <x:v>7001-7003 18TH AVENUE LLC</x:v>
      </x:c>
      <x:c r="F1136" t="str">
        <x:v>Active name match</x:v>
      </x:c>
      <x:c r="G1136" t="n">
        <x:v>1</x:v>
      </x:c>
      <x:c r="H1136" t="n">
        <x:v>0</x:v>
      </x:c>
      <x:c r="I1136" t="str">
        <x:v>6884118</x:v>
      </x:c>
      <x:c r="J1136" t="str">
        <x:v>7001-7003 18TH AVENUE LLC</x:v>
      </x:c>
      <x:c r="K1136" s="55" t="n">
        <x:v>45100</x:v>
      </x:c>
      <x:c r="L1136" t="str">
        <x:v>Kings</x:v>
      </x:c>
      <x:c r="M1136" t="str">
        <x:v>New York</x:v>
      </x:c>
      <x:c r="N1136" t="str">
        <x:v>DOMESTIC LIMITED LIABILITY COMPANY</x:v>
      </x:c>
      <x:c r="O1136" t="str">
        <x:v>C/O LINA ALAIMO</x:v>
      </x:c>
      <x:c r="P1136" t="str">
        <x:v>8220 11TH AVENUE, BROOKLYN, NY, 11204</x:v>
      </x:c>
      <x:c r="Q1136" t="str"/>
      <x:c r="R1136" t="str"/>
      <x:c r="S1136" t="str"/>
      <x:c r="T1136" t="str"/>
      <x:c r="U1136" t="str"/>
      <x:c r="V1136" t="str"/>
      <x:c r="W1136" t="str"/>
      <x:c r="X1136" t="str"/>
      <x:c r="Y1136" t="str">
        <x:v>https://data.ny.gov/Economic-Development/Active-Corporations-Beginning-1800/n9v6-gdp6</x:v>
      </x:c>
    </x:row>
    <x:row r="1137">
      <x:c r="A1137" t="str">
        <x:v>DOS-5-088</x:v>
      </x:c>
      <x:c r="B1137" t="n">
        <x:v>5</x:v>
      </x:c>
      <x:c r="C1137" t="str">
        <x:v>825  EAST 233RD STREET, BRONX, NY, 10466, US | 825 EAST 233RD STREET, BRONX, NY, 10466, US</x:v>
      </x:c>
      <x:c r="D1137" t="str">
        <x:v>188TH STREET HOLDING CO LLC</x:v>
      </x:c>
      <x:c r="E1137" t="str">
        <x:v>188TH STREET HOLDING CO., LLC</x:v>
      </x:c>
      <x:c r="F1137" t="str">
        <x:v>No active DOS match</x:v>
      </x:c>
      <x:c r="G1137" t="n">
        <x:v>0</x:v>
      </x:c>
      <x:c r="H1137" t="n">
        <x:v>0</x:v>
      </x:c>
      <x:c r="I1137" t="str"/>
      <x:c r="J1137" t="str"/>
      <x:c r="K1137" s="55" t="str"/>
      <x:c r="L1137" t="str"/>
      <x:c r="M1137" t="str"/>
      <x:c r="N1137" t="str"/>
      <x:c r="O1137" t="str"/>
      <x:c r="P1137" t="str"/>
      <x:c r="Q1137" t="str"/>
      <x:c r="R1137" t="str"/>
      <x:c r="S1137" t="str"/>
      <x:c r="T1137" t="str"/>
      <x:c r="U1137" t="str"/>
      <x:c r="V1137" t="str"/>
      <x:c r="W1137" t="str"/>
      <x:c r="X1137" t="str"/>
      <x:c r="Y1137" t="str">
        <x:v>https://data.ny.gov/Economic-Development/Active-Corporations-Beginning-1800/n9v6-gdp6</x:v>
      </x:c>
    </x:row>
    <x:row r="1138">
      <x:c r="A1138" t="str">
        <x:v>DOS-5-088</x:v>
      </x:c>
      <x:c r="B1138" t="n">
        <x:v>5</x:v>
      </x:c>
      <x:c r="C1138" t="str">
        <x:v>825  EAST 233RD STREET, BRONX, NY, 10466, US | 825 EAST 233RD STREET, BRONX, NY, 10466, US</x:v>
      </x:c>
      <x:c r="D1138" t="str">
        <x:v>G AND L REALTY DELAWARE LLC</x:v>
      </x:c>
      <x:c r="E1138" t="str">
        <x:v>G&amp;L REALTY DELAWARE LLC</x:v>
      </x:c>
      <x:c r="F1138" t="str">
        <x:v>Active name match</x:v>
      </x:c>
      <x:c r="G1138" t="n">
        <x:v>1</x:v>
      </x:c>
      <x:c r="H1138" t="n">
        <x:v>0</x:v>
      </x:c>
      <x:c r="I1138" t="str">
        <x:v>3474361</x:v>
      </x:c>
      <x:c r="J1138" t="str">
        <x:v>G &amp; L REALTY DELAWARE LLC</x:v>
      </x:c>
      <x:c r="K1138" s="55" t="n">
        <x:v>39121</x:v>
      </x:c>
      <x:c r="L1138" t="str">
        <x:v>Bronx</x:v>
      </x:c>
      <x:c r="M1138" t="str">
        <x:v>Delaware</x:v>
      </x:c>
      <x:c r="N1138" t="str">
        <x:v>FOREIGN LIMITED LIABILITY COMPANY</x:v>
      </x:c>
      <x:c r="O1138" t="str">
        <x:v>G &amp; L REALTY DELAWARE LLC</x:v>
      </x:c>
      <x:c r="P1138" t="str">
        <x:v>109 MONTGOMERY AVENUE, SUITE 102, SCARSDALE, NY, 10583</x:v>
      </x:c>
      <x:c r="Q1138" t="str"/>
      <x:c r="R1138" t="str"/>
      <x:c r="S1138" t="str"/>
      <x:c r="T1138" t="str"/>
      <x:c r="U1138" t="str"/>
      <x:c r="V1138" t="str"/>
      <x:c r="W1138" t="str"/>
      <x:c r="X1138" t="str"/>
      <x:c r="Y1138" t="str">
        <x:v>https://data.ny.gov/Economic-Development/Active-Corporations-Beginning-1800/n9v6-gdp6</x:v>
      </x:c>
    </x:row>
    <x:row r="1139">
      <x:c r="A1139" t="str">
        <x:v>DOS-5-088</x:v>
      </x:c>
      <x:c r="B1139" t="n">
        <x:v>5</x:v>
      </x:c>
      <x:c r="C1139" t="str">
        <x:v>825  EAST 233RD STREET, BRONX, NY, 10466, US | 825 EAST 233RD STREET, BRONX, NY, 10466, US</x:v>
      </x:c>
      <x:c r="D1139" t="str">
        <x:v>HEIGHTS HOLDING CO LLC</x:v>
      </x:c>
      <x:c r="E1139" t="str">
        <x:v>HEIGHTS HOLDING CO., L.L.C.</x:v>
      </x:c>
      <x:c r="F1139" t="str">
        <x:v>Active name match</x:v>
      </x:c>
      <x:c r="G1139" t="n">
        <x:v>1</x:v>
      </x:c>
      <x:c r="H1139" t="n">
        <x:v>0</x:v>
      </x:c>
      <x:c r="I1139" t="str">
        <x:v>1930916</x:v>
      </x:c>
      <x:c r="J1139" t="str">
        <x:v>HEIGHTS HOLDING CO., L.L.C.</x:v>
      </x:c>
      <x:c r="K1139" s="55" t="n">
        <x:v>34864</x:v>
      </x:c>
      <x:c r="L1139" t="str">
        <x:v>Bronx</x:v>
      </x:c>
      <x:c r="M1139" t="str">
        <x:v>New York</x:v>
      </x:c>
      <x:c r="N1139" t="str">
        <x:v>DOMESTIC LIMITED LIABILITY COMPANY</x:v>
      </x:c>
      <x:c r="O1139" t="str">
        <x:v>HEIGHTS HOLDING CO., L.L.C.</x:v>
      </x:c>
      <x:c r="P1139" t="str">
        <x:v>109 MONTGOMERY AVENUE, SUITE 102, SCARSDALE, NY, 10583</x:v>
      </x:c>
      <x:c r="Q1139" t="str"/>
      <x:c r="R1139" t="str"/>
      <x:c r="S1139" t="str"/>
      <x:c r="T1139" t="str"/>
      <x:c r="U1139" t="str"/>
      <x:c r="V1139" t="str"/>
      <x:c r="W1139" t="str"/>
      <x:c r="X1139" t="str"/>
      <x:c r="Y1139" t="str">
        <x:v>https://data.ny.gov/Economic-Development/Active-Corporations-Beginning-1800/n9v6-gdp6</x:v>
      </x:c>
    </x:row>
    <x:row r="1140">
      <x:c r="A1140" t="str">
        <x:v>DOS-5-088</x:v>
      </x:c>
      <x:c r="B1140" t="n">
        <x:v>5</x:v>
      </x:c>
      <x:c r="C1140" t="str">
        <x:v>825  EAST 233RD STREET, BRONX, NY, 10466, US | 825 EAST 233RD STREET, BRONX, NY, 10466, US</x:v>
      </x:c>
      <x:c r="D1140" t="str">
        <x:v>JONAH ASSOCIATES LLC</x:v>
      </x:c>
      <x:c r="E1140" t="str">
        <x:v>JONAH ASSOCIATES LLC</x:v>
      </x:c>
      <x:c r="F1140" t="str">
        <x:v>No active DOS match</x:v>
      </x:c>
      <x:c r="G1140" t="n">
        <x:v>0</x:v>
      </x:c>
      <x:c r="H1140" t="n">
        <x:v>0</x:v>
      </x:c>
      <x:c r="I1140" t="str"/>
      <x:c r="J1140" t="str"/>
      <x:c r="K1140" s="55" t="str"/>
      <x:c r="L1140" t="str"/>
      <x:c r="M1140" t="str"/>
      <x:c r="N1140" t="str"/>
      <x:c r="O1140" t="str"/>
      <x:c r="P1140" t="str"/>
      <x:c r="Q1140" t="str"/>
      <x:c r="R1140" t="str"/>
      <x:c r="S1140" t="str"/>
      <x:c r="T1140" t="str"/>
      <x:c r="U1140" t="str"/>
      <x:c r="V1140" t="str"/>
      <x:c r="W1140" t="str"/>
      <x:c r="X1140" t="str"/>
      <x:c r="Y1140" t="str">
        <x:v>https://data.ny.gov/Economic-Development/Active-Corporations-Beginning-1800/n9v6-gdp6</x:v>
      </x:c>
    </x:row>
    <x:row r="1141">
      <x:c r="A1141" t="str">
        <x:v>DOS-5-088</x:v>
      </x:c>
      <x:c r="B1141" t="n">
        <x:v>5</x:v>
      </x:c>
      <x:c r="C1141" t="str">
        <x:v>825  EAST 233RD STREET, BRONX, NY, 10466, US | 825 EAST 233RD STREET, BRONX, NY, 10466, US</x:v>
      </x:c>
      <x:c r="D1141" t="str">
        <x:v>MGA MGMT II LLC</x:v>
      </x:c>
      <x:c r="E1141" t="str">
        <x:v>MGA MGMT. II LLC</x:v>
      </x:c>
      <x:c r="F1141" t="str">
        <x:v>Active name match</x:v>
      </x:c>
      <x:c r="G1141" t="n">
        <x:v>1</x:v>
      </x:c>
      <x:c r="H1141" t="n">
        <x:v>0</x:v>
      </x:c>
      <x:c r="I1141" t="str">
        <x:v>4542462</x:v>
      </x:c>
      <x:c r="J1141" t="str">
        <x:v>MGA MGMT. II LLC</x:v>
      </x:c>
      <x:c r="K1141" s="55" t="n">
        <x:v>41709</x:v>
      </x:c>
      <x:c r="L1141" t="str">
        <x:v>Bronx</x:v>
      </x:c>
      <x:c r="M1141" t="str">
        <x:v>New York</x:v>
      </x:c>
      <x:c r="N1141" t="str">
        <x:v>DOMESTIC LIMITED LIABILITY COMPANY</x:v>
      </x:c>
      <x:c r="O1141" t="str">
        <x:v>MGA MGMT. II LLC</x:v>
      </x:c>
      <x:c r="P1141" t="str">
        <x:v>109 MONTGOMERY AVENUE, SUITE 102, SCARSDALE, NY, 10583</x:v>
      </x:c>
      <x:c r="Q1141" t="str"/>
      <x:c r="R1141" t="str"/>
      <x:c r="S1141" t="str"/>
      <x:c r="T1141" t="str"/>
      <x:c r="U1141" t="str"/>
      <x:c r="V1141" t="str"/>
      <x:c r="W1141" t="str"/>
      <x:c r="X1141" t="str"/>
      <x:c r="Y1141" t="str">
        <x:v>https://data.ny.gov/Economic-Development/Active-Corporations-Beginning-1800/n9v6-gdp6</x:v>
      </x:c>
    </x:row>
    <x:row r="1142">
      <x:c r="A1142" t="str">
        <x:v>DOS-5-089</x:v>
      </x:c>
      <x:c r="B1142" t="n">
        <x:v>5</x:v>
      </x:c>
      <x:c r="C1142" t="str">
        <x:v>84  EAST 2ND STREET, NEW YORK, NY, 10003, US | 84 EAST 2ND STREET, NEW YORK, NY, 10003, US</x:v>
      </x:c>
      <x:c r="D1142" t="str">
        <x:v>134 GEM LLC</x:v>
      </x:c>
      <x:c r="E1142" t="str">
        <x:v>134 GEM LLC</x:v>
      </x:c>
      <x:c r="F1142" t="str">
        <x:v>Address-corroborated active match</x:v>
      </x:c>
      <x:c r="G1142" t="n">
        <x:v>1</x:v>
      </x:c>
      <x:c r="H1142" t="n">
        <x:v>2</x:v>
      </x:c>
      <x:c r="I1142" t="str">
        <x:v>2243832</x:v>
      </x:c>
      <x:c r="J1142" t="str">
        <x:v>134 GEM LLC</x:v>
      </x:c>
      <x:c r="K1142" s="55" t="n">
        <x:v>35881</x:v>
      </x:c>
      <x:c r="L1142" t="str">
        <x:v>New York</x:v>
      </x:c>
      <x:c r="M1142" t="str">
        <x:v>New York</x:v>
      </x:c>
      <x:c r="N1142" t="str">
        <x:v>DOMESTIC LIMITED LIABILITY COMPANY</x:v>
      </x:c>
      <x:c r="O1142" t="str">
        <x:v>134 GEM LLC</x:v>
      </x:c>
      <x:c r="P1142" t="str">
        <x:v>84 EAST 2ND ST, NEW YORK, NY, 10003</x:v>
      </x:c>
      <x:c r="Q1142" t="str"/>
      <x:c r="R1142" t="str"/>
      <x:c r="S1142" t="str"/>
      <x:c r="T1142" t="str"/>
      <x:c r="U1142" t="str"/>
      <x:c r="V1142" t="str"/>
      <x:c r="W1142" t="str"/>
      <x:c r="X1142" t="str"/>
      <x:c r="Y1142" t="str">
        <x:v>https://data.ny.gov/Economic-Development/Active-Corporations-Beginning-1800/n9v6-gdp6</x:v>
      </x:c>
    </x:row>
    <x:row r="1143">
      <x:c r="A1143" t="str">
        <x:v>DOS-5-089</x:v>
      </x:c>
      <x:c r="B1143" t="n">
        <x:v>5</x:v>
      </x:c>
      <x:c r="C1143" t="str">
        <x:v>84  EAST 2ND STREET, NEW YORK, NY, 10003, US | 84 EAST 2ND STREET, NEW YORK, NY, 10003, US</x:v>
      </x:c>
      <x:c r="D1143" t="str">
        <x:v>17 ASSETS LLC</x:v>
      </x:c>
      <x:c r="E1143" t="str">
        <x:v>17 ASSETS LLC.</x:v>
      </x:c>
      <x:c r="F1143" t="str">
        <x:v>Address-corroborated active match</x:v>
      </x:c>
      <x:c r="G1143" t="n">
        <x:v>1</x:v>
      </x:c>
      <x:c r="H1143" t="n">
        <x:v>2</x:v>
      </x:c>
      <x:c r="I1143" t="str">
        <x:v>2724977</x:v>
      </x:c>
      <x:c r="J1143" t="str">
        <x:v>17 ASSETS LLC</x:v>
      </x:c>
      <x:c r="K1143" s="55" t="n">
        <x:v>37285</x:v>
      </x:c>
      <x:c r="L1143" t="str">
        <x:v>Nassau</x:v>
      </x:c>
      <x:c r="M1143" t="str">
        <x:v>New York</x:v>
      </x:c>
      <x:c r="N1143" t="str">
        <x:v>DOMESTIC LIMITED LIABILITY COMPANY</x:v>
      </x:c>
      <x:c r="O1143" t="str">
        <x:v>17 ASSETS LLC</x:v>
      </x:c>
      <x:c r="P1143" t="str">
        <x:v>84 EAST 2ND ST, NEW YORK, NY, 10003</x:v>
      </x:c>
      <x:c r="Q1143" t="str"/>
      <x:c r="R1143" t="str"/>
      <x:c r="S1143" t="str"/>
      <x:c r="T1143" t="str"/>
      <x:c r="U1143" t="str"/>
      <x:c r="V1143" t="str"/>
      <x:c r="W1143" t="str"/>
      <x:c r="X1143" t="str"/>
      <x:c r="Y1143" t="str">
        <x:v>https://data.ny.gov/Economic-Development/Active-Corporations-Beginning-1800/n9v6-gdp6</x:v>
      </x:c>
    </x:row>
    <x:row r="1144">
      <x:c r="A1144" t="str">
        <x:v>DOS-5-089</x:v>
      </x:c>
      <x:c r="B1144" t="n">
        <x:v>5</x:v>
      </x:c>
      <x:c r="C1144" t="str">
        <x:v>84  EAST 2ND STREET, NEW YORK, NY, 10003, US | 84 EAST 2ND STREET, NEW YORK, NY, 10003, US</x:v>
      </x:c>
      <x:c r="D1144" t="str">
        <x:v>375 E 10TH ST REALTY LLC</x:v>
      </x:c>
      <x:c r="E1144" t="str">
        <x:v>375 E. 10TH ST. REALTY, LLC</x:v>
      </x:c>
      <x:c r="F1144" t="str">
        <x:v>Active name match</x:v>
      </x:c>
      <x:c r="G1144" t="n">
        <x:v>1</x:v>
      </x:c>
      <x:c r="H1144" t="n">
        <x:v>1</x:v>
      </x:c>
      <x:c r="I1144" t="str">
        <x:v>2407185</x:v>
      </x:c>
      <x:c r="J1144" t="str">
        <x:v>375 E. 10TH ST. REALTY, LLC</x:v>
      </x:c>
      <x:c r="K1144" s="55" t="n">
        <x:v>36382</x:v>
      </x:c>
      <x:c r="L1144" t="str">
        <x:v>Nassau</x:v>
      </x:c>
      <x:c r="M1144" t="str">
        <x:v>New York</x:v>
      </x:c>
      <x:c r="N1144" t="str">
        <x:v>DOMESTIC LIMITED LIABILITY COMPANY</x:v>
      </x:c>
      <x:c r="O1144" t="str">
        <x:v>375 E.10TH ST.REALTY, LLC</x:v>
      </x:c>
      <x:c r="P1144" t="str">
        <x:v>84 E 2ND ST, NEW YORK, NY, 10003</x:v>
      </x:c>
      <x:c r="Q1144" t="str"/>
      <x:c r="R1144" t="str"/>
      <x:c r="S1144" t="str"/>
      <x:c r="T1144" t="str"/>
      <x:c r="U1144" t="str"/>
      <x:c r="V1144" t="str"/>
      <x:c r="W1144" t="str"/>
      <x:c r="X1144" t="str"/>
      <x:c r="Y1144" t="str">
        <x:v>https://data.ny.gov/Economic-Development/Active-Corporations-Beginning-1800/n9v6-gdp6</x:v>
      </x:c>
    </x:row>
    <x:row r="1145">
      <x:c r="A1145" t="str">
        <x:v>DOS-5-089</x:v>
      </x:c>
      <x:c r="B1145" t="n">
        <x:v>5</x:v>
      </x:c>
      <x:c r="C1145" t="str">
        <x:v>84  EAST 2ND STREET, NEW YORK, NY, 10003, US | 84 EAST 2ND STREET, NEW YORK, NY, 10003, US</x:v>
      </x:c>
      <x:c r="D1145" t="str">
        <x:v>RASH LLC</x:v>
      </x:c>
      <x:c r="E1145" t="str">
        <x:v>RASH LLC</x:v>
      </x:c>
      <x:c r="F1145" t="str">
        <x:v>Active name match</x:v>
      </x:c>
      <x:c r="G1145" t="n">
        <x:v>1</x:v>
      </x:c>
      <x:c r="H1145" t="n">
        <x:v>1</x:v>
      </x:c>
      <x:c r="I1145" t="str">
        <x:v>2671901</x:v>
      </x:c>
      <x:c r="J1145" t="str">
        <x:v>RASH, LLC</x:v>
      </x:c>
      <x:c r="K1145" s="55" t="n">
        <x:v>37120</x:v>
      </x:c>
      <x:c r="L1145" t="str">
        <x:v>Nassau</x:v>
      </x:c>
      <x:c r="M1145" t="str">
        <x:v>New York</x:v>
      </x:c>
      <x:c r="N1145" t="str">
        <x:v>DOMESTIC LIMITED LIABILITY COMPANY</x:v>
      </x:c>
      <x:c r="O1145" t="str">
        <x:v>RASH, LLC</x:v>
      </x:c>
      <x:c r="P1145" t="str">
        <x:v>84 E SECOND ST, NEW YORK, NY, 10003</x:v>
      </x:c>
      <x:c r="Q1145" t="str"/>
      <x:c r="R1145" t="str"/>
      <x:c r="S1145" t="str"/>
      <x:c r="T1145" t="str"/>
      <x:c r="U1145" t="str"/>
      <x:c r="V1145" t="str"/>
      <x:c r="W1145" t="str"/>
      <x:c r="X1145" t="str"/>
      <x:c r="Y1145" t="str">
        <x:v>https://data.ny.gov/Economic-Development/Active-Corporations-Beginning-1800/n9v6-gdp6</x:v>
      </x:c>
    </x:row>
    <x:row r="1146">
      <x:c r="A1146" t="str">
        <x:v>DOS-5-089</x:v>
      </x:c>
      <x:c r="B1146" t="n">
        <x:v>5</x:v>
      </x:c>
      <x:c r="C1146" t="str">
        <x:v>84  EAST 2ND STREET, NEW YORK, NY, 10003, US | 84 EAST 2ND STREET, NEW YORK, NY, 10003, US</x:v>
      </x:c>
      <x:c r="D1146" t="str">
        <x:v>RMH ASSETS LLC</x:v>
      </x:c>
      <x:c r="E1146" t="str">
        <x:v>RMH ASSETS LLC</x:v>
      </x:c>
      <x:c r="F1146" t="str">
        <x:v>Active name match</x:v>
      </x:c>
      <x:c r="G1146" t="n">
        <x:v>1</x:v>
      </x:c>
      <x:c r="H1146" t="n">
        <x:v>0</x:v>
      </x:c>
      <x:c r="I1146" t="str">
        <x:v>4163272</x:v>
      </x:c>
      <x:c r="J1146" t="str">
        <x:v>RMH ASSETS LLC</x:v>
      </x:c>
      <x:c r="K1146" s="55" t="n">
        <x:v>40855</x:v>
      </x:c>
      <x:c r="L1146" t="str">
        <x:v>Nassau</x:v>
      </x:c>
      <x:c r="M1146" t="str">
        <x:v>New York</x:v>
      </x:c>
      <x:c r="N1146" t="str">
        <x:v>DOMESTIC LIMITED LIABILITY COMPANY</x:v>
      </x:c>
      <x:c r="O1146" t="str">
        <x:v>RMH ASSETS LLC</x:v>
      </x:c>
      <x:c r="P1146" t="str">
        <x:v>35 LAUREL DRIVE, GREAT NECK, NY, 11021</x:v>
      </x:c>
      <x:c r="Q1146" t="str"/>
      <x:c r="R1146" t="str"/>
      <x:c r="S1146" t="str"/>
      <x:c r="T1146" t="str"/>
      <x:c r="U1146" t="str"/>
      <x:c r="V1146" t="str"/>
      <x:c r="W1146" t="str"/>
      <x:c r="X1146" t="str"/>
      <x:c r="Y1146" t="str">
        <x:v>https://data.ny.gov/Economic-Development/Active-Corporations-Beginning-1800/n9v6-gdp6</x:v>
      </x:c>
    </x:row>
    <x:row r="1147">
      <x:c r="A1147" t="str">
        <x:v>DOS-5-090</x:v>
      </x:c>
      <x:c r="B1147" t="n">
        <x:v>5</x:v>
      </x:c>
      <x:c r="C1147" t="str">
        <x:v>888 SEVENTH AVENUE, NEW YORK, NY, 10019, US</x:v>
      </x:c>
      <x:c r="D1147" t="str">
        <x:v>770 BROADWAY RETAIL UNIT OWNER LLC</x:v>
      </x:c>
      <x:c r="E1147" t="str">
        <x:v>770 BROADWAY RETAIL UNIT OWNER LLC</x:v>
      </x:c>
      <x:c r="F1147" t="str">
        <x:v>Active name match</x:v>
      </x:c>
      <x:c r="G1147" t="n">
        <x:v>1</x:v>
      </x:c>
      <x:c r="H1147" t="n">
        <x:v>0</x:v>
      </x:c>
      <x:c r="I1147" t="str">
        <x:v>7534992</x:v>
      </x:c>
      <x:c r="J1147" t="str">
        <x:v>770 BROADWAY RETAIL UNIT OWNER LLC</x:v>
      </x:c>
      <x:c r="K1147" s="55" t="n">
        <x:v>45701</x:v>
      </x:c>
      <x:c r="L1147" t="str">
        <x:v>New York</x:v>
      </x:c>
      <x:c r="M1147" t="str">
        <x:v>Delaware</x:v>
      </x:c>
      <x:c r="N1147" t="str">
        <x:v>FOREIGN LIMITED LIABILITY COMPANY</x:v>
      </x:c>
      <x:c r="O1147" t="str">
        <x:v>C/O C T CORPORATION SYSTEM</x:v>
      </x:c>
      <x:c r="P1147" t="str">
        <x:v>28 LIBERTY STREET, NEW YORK, NY, 10005</x:v>
      </x:c>
      <x:c r="Q1147" t="str"/>
      <x:c r="R1147" t="str"/>
      <x:c r="S1147" t="str">
        <x:v>C T CORPORATION SYSTEM</x:v>
      </x:c>
      <x:c r="T1147" t="str">
        <x:v>28 LIBERTY STREET, NEW YORK, NEW YORK, 10005</x:v>
      </x:c>
      <x:c r="U1147" t="str"/>
      <x:c r="V1147" t="str"/>
      <x:c r="W1147" t="str"/>
      <x:c r="X1147" t="str"/>
      <x:c r="Y1147" t="str">
        <x:v>https://data.ny.gov/Economic-Development/Active-Corporations-Beginning-1800/n9v6-gdp6</x:v>
      </x:c>
    </x:row>
    <x:row r="1148">
      <x:c r="A1148" t="str">
        <x:v>DOS-5-090</x:v>
      </x:c>
      <x:c r="B1148" t="n">
        <x:v>5</x:v>
      </x:c>
      <x:c r="C1148" t="str">
        <x:v>888 SEVENTH AVENUE, NEW YORK, NY, 10019, US</x:v>
      </x:c>
      <x:c r="D1148" t="str">
        <x:v>HURON 2014 LLC</x:v>
      </x:c>
      <x:c r="E1148" t="str">
        <x:v>HURON 2014 LLC</x:v>
      </x:c>
      <x:c r="F1148" t="str">
        <x:v>Active name match</x:v>
      </x:c>
      <x:c r="G1148" t="n">
        <x:v>1</x:v>
      </x:c>
      <x:c r="H1148" t="n">
        <x:v>0</x:v>
      </x:c>
      <x:c r="I1148" t="str">
        <x:v>4509576</x:v>
      </x:c>
      <x:c r="J1148" t="str">
        <x:v>HURON 2014 LLC</x:v>
      </x:c>
      <x:c r="K1148" s="55" t="n">
        <x:v>41646</x:v>
      </x:c>
      <x:c r="L1148" t="str">
        <x:v>New York</x:v>
      </x:c>
      <x:c r="M1148" t="str">
        <x:v>New York</x:v>
      </x:c>
      <x:c r="N1148" t="str">
        <x:v>DOMESTIC LIMITED LIABILITY COMPANY</x:v>
      </x:c>
      <x:c r="O1148" t="str">
        <x:v>HURON 2014 LLC</x:v>
      </x:c>
      <x:c r="P1148" t="str">
        <x:v>145 HUDSON STREET, UNIT 300, NEW YORK, NY, 10013</x:v>
      </x:c>
      <x:c r="Q1148" t="str"/>
      <x:c r="R1148" t="str"/>
      <x:c r="S1148" t="str"/>
      <x:c r="T1148" t="str"/>
      <x:c r="U1148" t="str"/>
      <x:c r="V1148" t="str"/>
      <x:c r="W1148" t="str"/>
      <x:c r="X1148" t="str"/>
      <x:c r="Y1148" t="str">
        <x:v>https://data.ny.gov/Economic-Development/Active-Corporations-Beginning-1800/n9v6-gdp6</x:v>
      </x:c>
    </x:row>
    <x:row r="1149">
      <x:c r="A1149" t="str">
        <x:v>DOS-5-090</x:v>
      </x:c>
      <x:c r="B1149" t="n">
        <x:v>5</x:v>
      </x:c>
      <x:c r="C1149" t="str">
        <x:v>888 SEVENTH AVENUE, NEW YORK, NY, 10019, US</x:v>
      </x:c>
      <x:c r="D1149" t="str">
        <x:v>VNO 966 THIRD AVENUE LLC</x:v>
      </x:c>
      <x:c r="E1149" t="str">
        <x:v>VNO 966 THIRD AVENUE LLC</x:v>
      </x:c>
      <x:c r="F1149" t="str">
        <x:v>Active name match</x:v>
      </x:c>
      <x:c r="G1149" t="n">
        <x:v>1</x:v>
      </x:c>
      <x:c r="H1149" t="n">
        <x:v>0</x:v>
      </x:c>
      <x:c r="I1149" t="str">
        <x:v>4357776</x:v>
      </x:c>
      <x:c r="J1149" t="str">
        <x:v>VNO 966 THIRD AVENUE LLC</x:v>
      </x:c>
      <x:c r="K1149" s="55" t="n">
        <x:v>41313</x:v>
      </x:c>
      <x:c r="L1149" t="str">
        <x:v>New York</x:v>
      </x:c>
      <x:c r="M1149" t="str">
        <x:v>Delaware</x:v>
      </x:c>
      <x:c r="N1149" t="str">
        <x:v>FOREIGN LIMITED LIABILITY COMPANY</x:v>
      </x:c>
      <x:c r="O1149" t="str">
        <x:v>VNO 966 THIRD AVENUE LLC</x:v>
      </x:c>
      <x:c r="P1149" t="str">
        <x:v>28 LIBERTY ST., NEW YORK, NY, 10005</x:v>
      </x:c>
      <x:c r="Q1149" t="str"/>
      <x:c r="R1149" t="str"/>
      <x:c r="S1149" t="str">
        <x:v>C T CORPORATION SYSTEM</x:v>
      </x:c>
      <x:c r="T1149" t="str">
        <x:v>28 LIBERTY ST., NEW YORK, NEW YORK, 10005</x:v>
      </x:c>
      <x:c r="U1149" t="str"/>
      <x:c r="V1149" t="str"/>
      <x:c r="W1149" t="str"/>
      <x:c r="X1149" t="str"/>
      <x:c r="Y1149" t="str">
        <x:v>https://data.ny.gov/Economic-Development/Active-Corporations-Beginning-1800/n9v6-gdp6</x:v>
      </x:c>
    </x:row>
    <x:row r="1150">
      <x:c r="A1150" t="str">
        <x:v>DOS-5-090</x:v>
      </x:c>
      <x:c r="B1150" t="n">
        <x:v>5</x:v>
      </x:c>
      <x:c r="C1150" t="str">
        <x:v>888 SEVENTH AVENUE, NEW YORK, NY, 10019, US</x:v>
      </x:c>
      <x:c r="D1150" t="str">
        <x:v>VORNADO GUN HILL ROAD LLC</x:v>
      </x:c>
      <x:c r="E1150" t="str">
        <x:v>VORNADO GUN HILL ROAD LLC</x:v>
      </x:c>
      <x:c r="F1150" t="str">
        <x:v>No active DOS match</x:v>
      </x:c>
      <x:c r="G1150" t="n">
        <x:v>0</x:v>
      </x:c>
      <x:c r="H1150" t="n">
        <x:v>0</x:v>
      </x:c>
      <x:c r="I1150" t="str"/>
      <x:c r="J1150" t="str"/>
      <x:c r="K1150" s="55" t="str"/>
      <x:c r="L1150" t="str"/>
      <x:c r="M1150" t="str"/>
      <x:c r="N1150" t="str"/>
      <x:c r="O1150" t="str"/>
      <x:c r="P1150" t="str"/>
      <x:c r="Q1150" t="str"/>
      <x:c r="R1150" t="str"/>
      <x:c r="S1150" t="str"/>
      <x:c r="T1150" t="str"/>
      <x:c r="U1150" t="str"/>
      <x:c r="V1150" t="str"/>
      <x:c r="W1150" t="str"/>
      <x:c r="X1150" t="str"/>
      <x:c r="Y1150" t="str">
        <x:v>https://data.ny.gov/Economic-Development/Active-Corporations-Beginning-1800/n9v6-gdp6</x:v>
      </x:c>
    </x:row>
    <x:row r="1151">
      <x:c r="A1151" t="str">
        <x:v>DOS-5-090</x:v>
      </x:c>
      <x:c r="B1151" t="n">
        <x:v>5</x:v>
      </x:c>
      <x:c r="C1151" t="str">
        <x:v>888 SEVENTH AVENUE, NEW YORK, NY, 10019, US</x:v>
      </x:c>
      <x:c r="D1151" t="str">
        <x:v>VORNADO TWO PENN PROPERTY LLC</x:v>
      </x:c>
      <x:c r="E1151" t="str">
        <x:v>VORNADO TWO PENN PROPERTY LLC</x:v>
      </x:c>
      <x:c r="F1151" t="str">
        <x:v>No active DOS match</x:v>
      </x:c>
      <x:c r="G1151" t="n">
        <x:v>0</x:v>
      </x:c>
      <x:c r="H1151" t="n">
        <x:v>0</x:v>
      </x:c>
      <x:c r="I1151" t="str"/>
      <x:c r="J1151" t="str"/>
      <x:c r="K1151" s="55" t="str"/>
      <x:c r="L1151" t="str"/>
      <x:c r="M1151" t="str"/>
      <x:c r="N1151" t="str"/>
      <x:c r="O1151" t="str"/>
      <x:c r="P1151" t="str"/>
      <x:c r="Q1151" t="str"/>
      <x:c r="R1151" t="str"/>
      <x:c r="S1151" t="str"/>
      <x:c r="T1151" t="str"/>
      <x:c r="U1151" t="str"/>
      <x:c r="V1151" t="str"/>
      <x:c r="W1151" t="str"/>
      <x:c r="X1151" t="str"/>
      <x:c r="Y1151" t="str">
        <x:v>https://data.ny.gov/Economic-Development/Active-Corporations-Beginning-1800/n9v6-gdp6</x:v>
      </x:c>
    </x:row>
    <x:row r="1152">
      <x:c r="A1152" t="str">
        <x:v>DOS-5-091</x:v>
      </x:c>
      <x:c r="B1152" t="n">
        <x:v>5</x:v>
      </x:c>
      <x:c r="C1152" t="str">
        <x:v>91-10 METROPOLITAN AVENUE, REGO PARK, NY, 11374, US</x:v>
      </x:c>
      <x:c r="D1152" t="str">
        <x:v>232 04 NORTHERN REALTY LLC</x:v>
      </x:c>
      <x:c r="E1152" t="str">
        <x:v>232-04 NORTHERN REALTY LLC</x:v>
      </x:c>
      <x:c r="F1152" t="str">
        <x:v>Address-corroborated active match</x:v>
      </x:c>
      <x:c r="G1152" t="n">
        <x:v>1</x:v>
      </x:c>
      <x:c r="H1152" t="n">
        <x:v>2</x:v>
      </x:c>
      <x:c r="I1152" t="str">
        <x:v>5350860</x:v>
      </x:c>
      <x:c r="J1152" t="str">
        <x:v>232-04 NORTHERN REALTY LLC</x:v>
      </x:c>
      <x:c r="K1152" s="55" t="n">
        <x:v>43251</x:v>
      </x:c>
      <x:c r="L1152" t="str">
        <x:v>Queens</x:v>
      </x:c>
      <x:c r="M1152" t="str">
        <x:v>New York</x:v>
      </x:c>
      <x:c r="N1152" t="str">
        <x:v>DOMESTIC LIMITED LIABILITY COMPANY</x:v>
      </x:c>
      <x:c r="O1152" t="str">
        <x:v>232-04 NORTHERN REALTY LLC</x:v>
      </x:c>
      <x:c r="P1152" t="str">
        <x:v>91-10 METROPOLITAN AVENUE, 2ND FL, REGO PARK, NY, 11374</x:v>
      </x:c>
      <x:c r="Q1152" t="str"/>
      <x:c r="R1152" t="str"/>
      <x:c r="S1152" t="str"/>
      <x:c r="T1152" t="str"/>
      <x:c r="U1152" t="str"/>
      <x:c r="V1152" t="str"/>
      <x:c r="W1152" t="str"/>
      <x:c r="X1152" t="str"/>
      <x:c r="Y1152" t="str">
        <x:v>https://data.ny.gov/Economic-Development/Active-Corporations-Beginning-1800/n9v6-gdp6</x:v>
      </x:c>
    </x:row>
    <x:row r="1153">
      <x:c r="A1153" t="str">
        <x:v>DOS-5-091</x:v>
      </x:c>
      <x:c r="B1153" t="n">
        <x:v>5</x:v>
      </x:c>
      <x:c r="C1153" t="str">
        <x:v>91-10 METROPOLITAN AVENUE, REGO PARK, NY, 11374, US</x:v>
      </x:c>
      <x:c r="D1153" t="str">
        <x:v>31 68 47 STREET LLC</x:v>
      </x:c>
      <x:c r="E1153" t="str">
        <x:v>31-68 47 STREET LLC</x:v>
      </x:c>
      <x:c r="F1153" t="str">
        <x:v>Address-corroborated active match</x:v>
      </x:c>
      <x:c r="G1153" t="n">
        <x:v>1</x:v>
      </x:c>
      <x:c r="H1153" t="n">
        <x:v>2</x:v>
      </x:c>
      <x:c r="I1153" t="str">
        <x:v>4880828</x:v>
      </x:c>
      <x:c r="J1153" t="str">
        <x:v>31-68 47 STREET LLC</x:v>
      </x:c>
      <x:c r="K1153" s="55" t="n">
        <x:v>42388</x:v>
      </x:c>
      <x:c r="L1153" t="str">
        <x:v>Queens</x:v>
      </x:c>
      <x:c r="M1153" t="str">
        <x:v>New York</x:v>
      </x:c>
      <x:c r="N1153" t="str">
        <x:v>DOMESTIC LIMITED LIABILITY COMPANY</x:v>
      </x:c>
      <x:c r="O1153" t="str">
        <x:v>31-68 47 STREET LLC</x:v>
      </x:c>
      <x:c r="P1153" t="str">
        <x:v>91-10 METROPOLITAN AVENUE, 2ND FL, REGO PARK, NY, 11374</x:v>
      </x:c>
      <x:c r="Q1153" t="str"/>
      <x:c r="R1153" t="str"/>
      <x:c r="S1153" t="str"/>
      <x:c r="T1153" t="str"/>
      <x:c r="U1153" t="str"/>
      <x:c r="V1153" t="str"/>
      <x:c r="W1153" t="str"/>
      <x:c r="X1153" t="str"/>
      <x:c r="Y1153" t="str">
        <x:v>https://data.ny.gov/Economic-Development/Active-Corporations-Beginning-1800/n9v6-gdp6</x:v>
      </x:c>
    </x:row>
    <x:row r="1154">
      <x:c r="A1154" t="str">
        <x:v>DOS-5-091</x:v>
      </x:c>
      <x:c r="B1154" t="n">
        <x:v>5</x:v>
      </x:c>
      <x:c r="C1154" t="str">
        <x:v>91-10 METROPOLITAN AVENUE, REGO PARK, NY, 11374, US</x:v>
      </x:c>
      <x:c r="D1154" t="str">
        <x:v>40 17 28 AVENUE LLC</x:v>
      </x:c>
      <x:c r="E1154" t="str">
        <x:v>40-17 28 AVENUE LLC</x:v>
      </x:c>
      <x:c r="F1154" t="str">
        <x:v>Address-corroborated active match</x:v>
      </x:c>
      <x:c r="G1154" t="n">
        <x:v>1</x:v>
      </x:c>
      <x:c r="H1154" t="n">
        <x:v>2</x:v>
      </x:c>
      <x:c r="I1154" t="str">
        <x:v>4992558</x:v>
      </x:c>
      <x:c r="J1154" t="str">
        <x:v>40-17 28 AVENUE LLC</x:v>
      </x:c>
      <x:c r="K1154" s="55" t="n">
        <x:v>42594</x:v>
      </x:c>
      <x:c r="L1154" t="str">
        <x:v>Queens</x:v>
      </x:c>
      <x:c r="M1154" t="str">
        <x:v>New York</x:v>
      </x:c>
      <x:c r="N1154" t="str">
        <x:v>DOMESTIC LIMITED LIABILITY COMPANY</x:v>
      </x:c>
      <x:c r="O1154" t="str">
        <x:v>40-17 28 AVENUE LLC</x:v>
      </x:c>
      <x:c r="P1154" t="str">
        <x:v>91-10 METROPOLITAN AVENUE, REGO PARK, NY, 11374</x:v>
      </x:c>
      <x:c r="Q1154" t="str"/>
      <x:c r="R1154" t="str"/>
      <x:c r="S1154" t="str"/>
      <x:c r="T1154" t="str"/>
      <x:c r="U1154" t="str"/>
      <x:c r="V1154" t="str"/>
      <x:c r="W1154" t="str"/>
      <x:c r="X1154" t="str"/>
      <x:c r="Y1154" t="str">
        <x:v>https://data.ny.gov/Economic-Development/Active-Corporations-Beginning-1800/n9v6-gdp6</x:v>
      </x:c>
    </x:row>
    <x:row r="1155">
      <x:c r="A1155" t="str">
        <x:v>DOS-5-091</x:v>
      </x:c>
      <x:c r="B1155" t="n">
        <x:v>5</x:v>
      </x:c>
      <x:c r="C1155" t="str">
        <x:v>91-10 METROPOLITAN AVENUE, REGO PARK, NY, 11374, US</x:v>
      </x:c>
      <x:c r="D1155" t="str">
        <x:v>46 11 BROADWAY LLC</x:v>
      </x:c>
      <x:c r="E1155" t="str">
        <x:v>46-11 BROADWAY LLC</x:v>
      </x:c>
      <x:c r="F1155" t="str">
        <x:v>Address-corroborated active match</x:v>
      </x:c>
      <x:c r="G1155" t="n">
        <x:v>1</x:v>
      </x:c>
      <x:c r="H1155" t="n">
        <x:v>2</x:v>
      </x:c>
      <x:c r="I1155" t="str">
        <x:v>4880831</x:v>
      </x:c>
      <x:c r="J1155" t="str">
        <x:v>46-11 BROADWAY LLC</x:v>
      </x:c>
      <x:c r="K1155" s="55" t="n">
        <x:v>42388</x:v>
      </x:c>
      <x:c r="L1155" t="str">
        <x:v>Queens</x:v>
      </x:c>
      <x:c r="M1155" t="str">
        <x:v>New York</x:v>
      </x:c>
      <x:c r="N1155" t="str">
        <x:v>DOMESTIC LIMITED LIABILITY COMPANY</x:v>
      </x:c>
      <x:c r="O1155" t="str">
        <x:v>46-11 BROADWAY LLC</x:v>
      </x:c>
      <x:c r="P1155" t="str">
        <x:v>91-10 METROPOLITAN AVENUE, 2ND FL, REGO PARK, NY, 11374</x:v>
      </x:c>
      <x:c r="Q1155" t="str"/>
      <x:c r="R1155" t="str"/>
      <x:c r="S1155" t="str"/>
      <x:c r="T1155" t="str"/>
      <x:c r="U1155" t="str"/>
      <x:c r="V1155" t="str"/>
      <x:c r="W1155" t="str"/>
      <x:c r="X1155" t="str"/>
      <x:c r="Y1155" t="str">
        <x:v>https://data.ny.gov/Economic-Development/Active-Corporations-Beginning-1800/n9v6-gdp6</x:v>
      </x:c>
    </x:row>
    <x:row r="1156">
      <x:c r="A1156" t="str">
        <x:v>DOS-5-091</x:v>
      </x:c>
      <x:c r="B1156" t="n">
        <x:v>5</x:v>
      </x:c>
      <x:c r="C1156" t="str">
        <x:v>91-10 METROPOLITAN AVENUE, REGO PARK, NY, 11374, US</x:v>
      </x:c>
      <x:c r="D1156" t="str">
        <x:v>60 13 WOODSIDE LLC</x:v>
      </x:c>
      <x:c r="E1156" t="str">
        <x:v>60-13 WOODSIDE LLC</x:v>
      </x:c>
      <x:c r="F1156" t="str">
        <x:v>Address-corroborated active match</x:v>
      </x:c>
      <x:c r="G1156" t="n">
        <x:v>1</x:v>
      </x:c>
      <x:c r="H1156" t="n">
        <x:v>2</x:v>
      </x:c>
      <x:c r="I1156" t="str">
        <x:v>5204343</x:v>
      </x:c>
      <x:c r="J1156" t="str">
        <x:v>60-13 WOODSIDE LLC</x:v>
      </x:c>
      <x:c r="K1156" s="55" t="n">
        <x:v>42997</x:v>
      </x:c>
      <x:c r="L1156" t="str">
        <x:v>Queens</x:v>
      </x:c>
      <x:c r="M1156" t="str">
        <x:v>New York</x:v>
      </x:c>
      <x:c r="N1156" t="str">
        <x:v>DOMESTIC LIMITED LIABILITY COMPANY</x:v>
      </x:c>
      <x:c r="O1156" t="str">
        <x:v>60-13 WOODSIDE LLC</x:v>
      </x:c>
      <x:c r="P1156" t="str">
        <x:v>91-10 METROPOLITAN AVENUE, 2ND FL, REGO PARK, NY, 11374</x:v>
      </x:c>
      <x:c r="Q1156" t="str"/>
      <x:c r="R1156" t="str"/>
      <x:c r="S1156" t="str"/>
      <x:c r="T1156" t="str"/>
      <x:c r="U1156" t="str"/>
      <x:c r="V1156" t="str"/>
      <x:c r="W1156" t="str"/>
      <x:c r="X1156" t="str"/>
      <x:c r="Y1156" t="str">
        <x:v>https://data.ny.gov/Economic-Development/Active-Corporations-Beginning-1800/n9v6-gdp6</x:v>
      </x:c>
    </x:row>
    <x:row r="1157">
      <x:c r="A1157" t="str">
        <x:v>DOS-5-092</x:v>
      </x:c>
      <x:c r="B1157" t="n">
        <x:v>5</x:v>
      </x:c>
      <x:c r="C1157" t="str">
        <x:v>942 LAFAYETTE AVENUE, BROOKLYN, NY, 11221, US</x:v>
      </x:c>
      <x:c r="D1157" t="str">
        <x:v>200 RECTOR 4A LLC</x:v>
      </x:c>
      <x:c r="E1157" t="str">
        <x:v>200 RECTOR 4A, LLC</x:v>
      </x:c>
      <x:c r="F1157" t="str">
        <x:v>Address-corroborated active match</x:v>
      </x:c>
      <x:c r="G1157" t="n">
        <x:v>1</x:v>
      </x:c>
      <x:c r="H1157" t="n">
        <x:v>2</x:v>
      </x:c>
      <x:c r="I1157" t="str">
        <x:v>4816935</x:v>
      </x:c>
      <x:c r="J1157" t="str">
        <x:v>200 RECTOR 4A, LLC</x:v>
      </x:c>
      <x:c r="K1157" s="55" t="n">
        <x:v>42256</x:v>
      </x:c>
      <x:c r="L1157" t="str">
        <x:v>Kings</x:v>
      </x:c>
      <x:c r="M1157" t="str">
        <x:v>New York</x:v>
      </x:c>
      <x:c r="N1157" t="str">
        <x:v>DOMESTIC LIMITED LIABILITY COMPANY</x:v>
      </x:c>
      <x:c r="O1157" t="str">
        <x:v>200 RECTOR 4A, LLC</x:v>
      </x:c>
      <x:c r="P1157" t="str">
        <x:v>942 LAFAYETTE AVENUE, BROOKLYN, NY, 11221</x:v>
      </x:c>
      <x:c r="Q1157" t="str"/>
      <x:c r="R1157" t="str"/>
      <x:c r="S1157" t="str"/>
      <x:c r="T1157" t="str"/>
      <x:c r="U1157" t="str"/>
      <x:c r="V1157" t="str"/>
      <x:c r="W1157" t="str"/>
      <x:c r="X1157" t="str"/>
      <x:c r="Y1157" t="str">
        <x:v>https://data.ny.gov/Economic-Development/Active-Corporations-Beginning-1800/n9v6-gdp6</x:v>
      </x:c>
    </x:row>
    <x:row r="1158">
      <x:c r="A1158" t="str">
        <x:v>DOS-5-092</x:v>
      </x:c>
      <x:c r="B1158" t="n">
        <x:v>5</x:v>
      </x:c>
      <x:c r="C1158" t="str">
        <x:v>942 LAFAYETTE AVENUE, BROOKLYN, NY, 11221, US</x:v>
      </x:c>
      <x:c r="D1158" t="str">
        <x:v>8208 17TH AVE LLC</x:v>
      </x:c>
      <x:c r="E1158" t="str">
        <x:v>8208 17TH AVE LLC</x:v>
      </x:c>
      <x:c r="F1158" t="str">
        <x:v>Address-corroborated active match</x:v>
      </x:c>
      <x:c r="G1158" t="n">
        <x:v>1</x:v>
      </x:c>
      <x:c r="H1158" t="n">
        <x:v>2</x:v>
      </x:c>
      <x:c r="I1158" t="str">
        <x:v>7629922</x:v>
      </x:c>
      <x:c r="J1158" t="str">
        <x:v>8208 17TH AVE LLC</x:v>
      </x:c>
      <x:c r="K1158" s="55" t="n">
        <x:v>45813</x:v>
      </x:c>
      <x:c r="L1158" t="str">
        <x:v>Kings</x:v>
      </x:c>
      <x:c r="M1158" t="str">
        <x:v>New York</x:v>
      </x:c>
      <x:c r="N1158" t="str">
        <x:v>DOMESTIC LIMITED LIABILITY COMPANY</x:v>
      </x:c>
      <x:c r="O1158" t="str">
        <x:v>Warren Friedman</x:v>
      </x:c>
      <x:c r="P1158" t="str">
        <x:v>942 Lafayette Ave, Brooklyn, NY, 11221</x:v>
      </x:c>
      <x:c r="Q1158" t="str"/>
      <x:c r="R1158" t="str"/>
      <x:c r="S1158" t="str"/>
      <x:c r="T1158" t="str"/>
      <x:c r="U1158" t="str"/>
      <x:c r="V1158" t="str"/>
      <x:c r="W1158" t="str"/>
      <x:c r="X1158" t="str"/>
      <x:c r="Y1158" t="str">
        <x:v>https://data.ny.gov/Economic-Development/Active-Corporations-Beginning-1800/n9v6-gdp6</x:v>
      </x:c>
    </x:row>
    <x:row r="1159">
      <x:c r="A1159" t="str">
        <x:v>DOS-5-092</x:v>
      </x:c>
      <x:c r="B1159" t="n">
        <x:v>5</x:v>
      </x:c>
      <x:c r="C1159" t="str">
        <x:v>942 LAFAYETTE AVENUE, BROOKLYN, NY, 11221, US</x:v>
      </x:c>
      <x:c r="D1159" t="str">
        <x:v>A 510 KENT LLC</x:v>
      </x:c>
      <x:c r="E1159" t="str">
        <x:v>A-510 KENT LLC</x:v>
      </x:c>
      <x:c r="F1159" t="str">
        <x:v>Address-corroborated active match</x:v>
      </x:c>
      <x:c r="G1159" t="n">
        <x:v>1</x:v>
      </x:c>
      <x:c r="H1159" t="n">
        <x:v>2</x:v>
      </x:c>
      <x:c r="I1159" t="str">
        <x:v>5098478</x:v>
      </x:c>
      <x:c r="J1159" t="str">
        <x:v>A-510 KENT, LLC</x:v>
      </x:c>
      <x:c r="K1159" s="55" t="n">
        <x:v>42802</x:v>
      </x:c>
      <x:c r="L1159" t="str">
        <x:v>Kings</x:v>
      </x:c>
      <x:c r="M1159" t="str">
        <x:v>New York</x:v>
      </x:c>
      <x:c r="N1159" t="str">
        <x:v>DOMESTIC LIMITED LIABILITY COMPANY</x:v>
      </x:c>
      <x:c r="O1159" t="str">
        <x:v>A-510 KENT, LLC</x:v>
      </x:c>
      <x:c r="P1159" t="str">
        <x:v>942 LAFAYETTE AVE, BROOKLYN, NY, 11221</x:v>
      </x:c>
      <x:c r="Q1159" t="str"/>
      <x:c r="R1159" t="str"/>
      <x:c r="S1159" t="str"/>
      <x:c r="T1159" t="str"/>
      <x:c r="U1159" t="str"/>
      <x:c r="V1159" t="str"/>
      <x:c r="W1159" t="str"/>
      <x:c r="X1159" t="str"/>
      <x:c r="Y1159" t="str">
        <x:v>https://data.ny.gov/Economic-Development/Active-Corporations-Beginning-1800/n9v6-gdp6</x:v>
      </x:c>
    </x:row>
    <x:row r="1160">
      <x:c r="A1160" t="str">
        <x:v>DOS-5-092</x:v>
      </x:c>
      <x:c r="B1160" t="n">
        <x:v>5</x:v>
      </x:c>
      <x:c r="C1160" t="str">
        <x:v>942 LAFAYETTE AVENUE, BROOKLYN, NY, 11221, US</x:v>
      </x:c>
      <x:c r="D1160" t="str">
        <x:v>F2 LAFAYETTE 953 LLC</x:v>
      </x:c>
      <x:c r="E1160" t="str">
        <x:v>F2 LAFAYETTE 953 LLC</x:v>
      </x:c>
      <x:c r="F1160" t="str">
        <x:v>Address-corroborated active match</x:v>
      </x:c>
      <x:c r="G1160" t="n">
        <x:v>1</x:v>
      </x:c>
      <x:c r="H1160" t="n">
        <x:v>2</x:v>
      </x:c>
      <x:c r="I1160" t="str">
        <x:v>3974565</x:v>
      </x:c>
      <x:c r="J1160" t="str">
        <x:v>F2 LAFAYETTE 953 LLC</x:v>
      </x:c>
      <x:c r="K1160" s="55" t="n">
        <x:v>40379</x:v>
      </x:c>
      <x:c r="L1160" t="str">
        <x:v>Kings</x:v>
      </x:c>
      <x:c r="M1160" t="str">
        <x:v>New York</x:v>
      </x:c>
      <x:c r="N1160" t="str">
        <x:v>DOMESTIC LIMITED LIABILITY COMPANY</x:v>
      </x:c>
      <x:c r="O1160" t="str">
        <x:v>HOWARD FRIEDMAN</x:v>
      </x:c>
      <x:c r="P1160" t="str">
        <x:v>942 LAFAYETTE AVENUE, BROOKLYN, NY, 11221</x:v>
      </x:c>
      <x:c r="Q1160" t="str"/>
      <x:c r="R1160" t="str"/>
      <x:c r="S1160" t="str"/>
      <x:c r="T1160" t="str"/>
      <x:c r="U1160" t="str"/>
      <x:c r="V1160" t="str"/>
      <x:c r="W1160" t="str"/>
      <x:c r="X1160" t="str"/>
      <x:c r="Y1160" t="str">
        <x:v>https://data.ny.gov/Economic-Development/Active-Corporations-Beginning-1800/n9v6-gdp6</x:v>
      </x:c>
    </x:row>
    <x:row r="1161">
      <x:c r="A1161" t="str">
        <x:v>DOS-5-092</x:v>
      </x:c>
      <x:c r="B1161" t="n">
        <x:v>5</x:v>
      </x:c>
      <x:c r="C1161" t="str">
        <x:v>942 LAFAYETTE AVENUE, BROOKLYN, NY, 11221, US</x:v>
      </x:c>
      <x:c r="D1161" t="str">
        <x:v>PAIDGE GROUP LLC</x:v>
      </x:c>
      <x:c r="E1161" t="str">
        <x:v>PAIDGE GROUP LLC</x:v>
      </x:c>
      <x:c r="F1161" t="str">
        <x:v>Address-corroborated active match</x:v>
      </x:c>
      <x:c r="G1161" t="n">
        <x:v>1</x:v>
      </x:c>
      <x:c r="H1161" t="n">
        <x:v>2</x:v>
      </x:c>
      <x:c r="I1161" t="str">
        <x:v>2126370</x:v>
      </x:c>
      <x:c r="J1161" t="str">
        <x:v>PAIDGE GROUP, LLC</x:v>
      </x:c>
      <x:c r="K1161" s="55" t="n">
        <x:v>35514</x:v>
      </x:c>
      <x:c r="L1161" t="str">
        <x:v>Kings</x:v>
      </x:c>
      <x:c r="M1161" t="str">
        <x:v>New York</x:v>
      </x:c>
      <x:c r="N1161" t="str">
        <x:v>DOMESTIC LIMITED LIABILITY COMPANY</x:v>
      </x:c>
      <x:c r="O1161" t="str">
        <x:v>PAIDGE GROUP, LLC</x:v>
      </x:c>
      <x:c r="P1161" t="str">
        <x:v>942 LAFAYETTE AVENUE, BROOKLYN, NY, 11221</x:v>
      </x:c>
      <x:c r="Q1161" t="str"/>
      <x:c r="R1161" t="str"/>
      <x:c r="S1161" t="str"/>
      <x:c r="T1161" t="str"/>
      <x:c r="U1161" t="str"/>
      <x:c r="V1161" t="str"/>
      <x:c r="W1161" t="str"/>
      <x:c r="X1161" t="str"/>
      <x:c r="Y1161" t="str">
        <x:v>https://data.ny.gov/Economic-Development/Active-Corporations-Beginning-1800/n9v6-gdp6</x:v>
      </x:c>
    </x:row>
    <x:row r="1162">
      <x:c r="A1162" t="str">
        <x:v>DOS-5-093</x:v>
      </x:c>
      <x:c r="B1162" t="n">
        <x:v>5</x:v>
      </x:c>
      <x:c r="C1162" t="str">
        <x:v>PO BOX 659, SPRING VALLEY, NY, 10977, US</x:v>
      </x:c>
      <x:c r="D1162" t="str">
        <x:v>539 W 156 LLC</x:v>
      </x:c>
      <x:c r="E1162" t="str">
        <x:v>539 W 156 LLC</x:v>
      </x:c>
      <x:c r="F1162" t="str">
        <x:v>Active name match</x:v>
      </x:c>
      <x:c r="G1162" t="n">
        <x:v>1</x:v>
      </x:c>
      <x:c r="H1162" t="n">
        <x:v>1</x:v>
      </x:c>
      <x:c r="I1162" t="str">
        <x:v>4801428</x:v>
      </x:c>
      <x:c r="J1162" t="str">
        <x:v>539 W 156 LLC</x:v>
      </x:c>
      <x:c r="K1162" s="55" t="n">
        <x:v>42223</x:v>
      </x:c>
      <x:c r="L1162" t="str">
        <x:v>New York</x:v>
      </x:c>
      <x:c r="M1162" t="str">
        <x:v>New York</x:v>
      </x:c>
      <x:c r="N1162" t="str">
        <x:v>DOMESTIC LIMITED LIABILITY COMPANY</x:v>
      </x:c>
      <x:c r="O1162" t="str">
        <x:v>539 W 156 LLC</x:v>
      </x:c>
      <x:c r="P1162" t="str">
        <x:v>286 NORTH MAIN STREET, SPRING VALLEY, NY, 10977</x:v>
      </x:c>
      <x:c r="Q1162" t="str"/>
      <x:c r="R1162" t="str"/>
      <x:c r="S1162" t="str"/>
      <x:c r="T1162" t="str"/>
      <x:c r="U1162" t="str"/>
      <x:c r="V1162" t="str"/>
      <x:c r="W1162" t="str"/>
      <x:c r="X1162" t="str"/>
      <x:c r="Y1162" t="str">
        <x:v>https://data.ny.gov/Economic-Development/Active-Corporations-Beginning-1800/n9v6-gdp6</x:v>
      </x:c>
    </x:row>
    <x:row r="1163">
      <x:c r="A1163" t="str">
        <x:v>DOS-5-093</x:v>
      </x:c>
      <x:c r="B1163" t="n">
        <x:v>5</x:v>
      </x:c>
      <x:c r="C1163" t="str">
        <x:v>PO BOX 659, SPRING VALLEY, NY, 10977, US</x:v>
      </x:c>
      <x:c r="D1163" t="str">
        <x:v>570 WEST 156 STREET LLC</x:v>
      </x:c>
      <x:c r="E1163" t="str">
        <x:v>570 WEST 156 STREET LLC</x:v>
      </x:c>
      <x:c r="F1163" t="str">
        <x:v>Active name match</x:v>
      </x:c>
      <x:c r="G1163" t="n">
        <x:v>1</x:v>
      </x:c>
      <x:c r="H1163" t="n">
        <x:v>1</x:v>
      </x:c>
      <x:c r="I1163" t="str">
        <x:v>4801439</x:v>
      </x:c>
      <x:c r="J1163" t="str">
        <x:v>570 WEST 156 STREET LLC</x:v>
      </x:c>
      <x:c r="K1163" s="55" t="n">
        <x:v>42223</x:v>
      </x:c>
      <x:c r="L1163" t="str">
        <x:v>New York</x:v>
      </x:c>
      <x:c r="M1163" t="str">
        <x:v>New York</x:v>
      </x:c>
      <x:c r="N1163" t="str">
        <x:v>DOMESTIC LIMITED LIABILITY COMPANY</x:v>
      </x:c>
      <x:c r="O1163" t="str">
        <x:v>570 WEST 156 STREET LLC</x:v>
      </x:c>
      <x:c r="P1163" t="str">
        <x:v>286 NORTH MAIN STREET, SPRING VALLEY, NY, 10977</x:v>
      </x:c>
      <x:c r="Q1163" t="str"/>
      <x:c r="R1163" t="str"/>
      <x:c r="S1163" t="str"/>
      <x:c r="T1163" t="str"/>
      <x:c r="U1163" t="str"/>
      <x:c r="V1163" t="str"/>
      <x:c r="W1163" t="str"/>
      <x:c r="X1163" t="str"/>
      <x:c r="Y1163" t="str">
        <x:v>https://data.ny.gov/Economic-Development/Active-Corporations-Beginning-1800/n9v6-gdp6</x:v>
      </x:c>
    </x:row>
    <x:row r="1164">
      <x:c r="A1164" t="str">
        <x:v>DOS-5-093</x:v>
      </x:c>
      <x:c r="B1164" t="n">
        <x:v>5</x:v>
      </x:c>
      <x:c r="C1164" t="str">
        <x:v>PO BOX 659, SPRING VALLEY, NY, 10977, US</x:v>
      </x:c>
      <x:c r="D1164" t="str">
        <x:v>571 W 159 LLC</x:v>
      </x:c>
      <x:c r="E1164" t="str">
        <x:v>571 W 159 LLC</x:v>
      </x:c>
      <x:c r="F1164" t="str">
        <x:v>Active name match</x:v>
      </x:c>
      <x:c r="G1164" t="n">
        <x:v>1</x:v>
      </x:c>
      <x:c r="H1164" t="n">
        <x:v>1</x:v>
      </x:c>
      <x:c r="I1164" t="str">
        <x:v>4801434</x:v>
      </x:c>
      <x:c r="J1164" t="str">
        <x:v>571 W 159 LLC</x:v>
      </x:c>
      <x:c r="K1164" s="55" t="n">
        <x:v>42223</x:v>
      </x:c>
      <x:c r="L1164" t="str">
        <x:v>New York</x:v>
      </x:c>
      <x:c r="M1164" t="str">
        <x:v>New York</x:v>
      </x:c>
      <x:c r="N1164" t="str">
        <x:v>DOMESTIC LIMITED LIABILITY COMPANY</x:v>
      </x:c>
      <x:c r="O1164" t="str">
        <x:v>571 W 159 LLC</x:v>
      </x:c>
      <x:c r="P1164" t="str">
        <x:v>286 NORTH MAIN STREET, SPRING VALLEY, NY, 10977</x:v>
      </x:c>
      <x:c r="Q1164" t="str"/>
      <x:c r="R1164" t="str"/>
      <x:c r="S1164" t="str"/>
      <x:c r="T1164" t="str"/>
      <x:c r="U1164" t="str"/>
      <x:c r="V1164" t="str"/>
      <x:c r="W1164" t="str"/>
      <x:c r="X1164" t="str"/>
      <x:c r="Y1164" t="str">
        <x:v>https://data.ny.gov/Economic-Development/Active-Corporations-Beginning-1800/n9v6-gdp6</x:v>
      </x:c>
    </x:row>
    <x:row r="1165">
      <x:c r="A1165" t="str">
        <x:v>DOS-5-093</x:v>
      </x:c>
      <x:c r="B1165" t="n">
        <x:v>5</x:v>
      </x:c>
      <x:c r="C1165" t="str">
        <x:v>PO BOX 659, SPRING VALLEY, NY, 10977, US</x:v>
      </x:c>
      <x:c r="D1165" t="str">
        <x:v>FIFTH AVENUE 2254 LLC</x:v>
      </x:c>
      <x:c r="E1165" t="str">
        <x:v>FIFTH AVENUE 2254 LLC</x:v>
      </x:c>
      <x:c r="F1165" t="str">
        <x:v>Active name match</x:v>
      </x:c>
      <x:c r="G1165" t="n">
        <x:v>1</x:v>
      </x:c>
      <x:c r="H1165" t="n">
        <x:v>1</x:v>
      </x:c>
      <x:c r="I1165" t="str">
        <x:v>4801489</x:v>
      </x:c>
      <x:c r="J1165" t="str">
        <x:v>FIFTH AVENUE 2254 LLC</x:v>
      </x:c>
      <x:c r="K1165" s="55" t="n">
        <x:v>42223</x:v>
      </x:c>
      <x:c r="L1165" t="str">
        <x:v>New York</x:v>
      </x:c>
      <x:c r="M1165" t="str">
        <x:v>New York</x:v>
      </x:c>
      <x:c r="N1165" t="str">
        <x:v>DOMESTIC LIMITED LIABILITY COMPANY</x:v>
      </x:c>
      <x:c r="O1165" t="str">
        <x:v>FIFTH AVENUE 2254 LLC</x:v>
      </x:c>
      <x:c r="P1165" t="str">
        <x:v>286 NORTH MAIN STREET, SPRING VALLEY, NY, 10977</x:v>
      </x:c>
      <x:c r="Q1165" t="str"/>
      <x:c r="R1165" t="str"/>
      <x:c r="S1165" t="str"/>
      <x:c r="T1165" t="str"/>
      <x:c r="U1165" t="str"/>
      <x:c r="V1165" t="str"/>
      <x:c r="W1165" t="str"/>
      <x:c r="X1165" t="str"/>
      <x:c r="Y1165" t="str">
        <x:v>https://data.ny.gov/Economic-Development/Active-Corporations-Beginning-1800/n9v6-gdp6</x:v>
      </x:c>
    </x:row>
    <x:row r="1166">
      <x:c r="A1166" t="str">
        <x:v>DOS-5-093</x:v>
      </x:c>
      <x:c r="B1166" t="n">
        <x:v>5</x:v>
      </x:c>
      <x:c r="C1166" t="str">
        <x:v>PO BOX 659, SPRING VALLEY, NY, 10977, US</x:v>
      </x:c>
      <x:c r="D1166" t="str">
        <x:v>WE AUDUBON 100 LLC</x:v>
      </x:c>
      <x:c r="E1166" t="str">
        <x:v>WE AUDUBON 100 LLC</x:v>
      </x:c>
      <x:c r="F1166" t="str">
        <x:v>Active name match</x:v>
      </x:c>
      <x:c r="G1166" t="n">
        <x:v>1</x:v>
      </x:c>
      <x:c r="H1166" t="n">
        <x:v>0</x:v>
      </x:c>
      <x:c r="I1166" t="str">
        <x:v>4635400</x:v>
      </x:c>
      <x:c r="J1166" t="str">
        <x:v>WE AUDUBON 100 LLC</x:v>
      </x:c>
      <x:c r="K1166" s="55" t="n">
        <x:v>41894</x:v>
      </x:c>
      <x:c r="L1166" t="str">
        <x:v>Kings</x:v>
      </x:c>
      <x:c r="M1166" t="str">
        <x:v>New York</x:v>
      </x:c>
      <x:c r="N1166" t="str">
        <x:v>DOMESTIC LIMITED LIABILITY COMPANY</x:v>
      </x:c>
      <x:c r="O1166" t="str">
        <x:v>WE AUDUBON 100 LLC</x:v>
      </x:c>
      <x:c r="P1166" t="str">
        <x:v>2071 FLATBUSH AVE. STE.#48, BROOKLYN, NY, 11234</x:v>
      </x:c>
      <x:c r="Q1166" t="str"/>
      <x:c r="R1166" t="str"/>
      <x:c r="S1166" t="str"/>
      <x:c r="T1166" t="str"/>
      <x:c r="U1166" t="str"/>
      <x:c r="V1166" t="str"/>
      <x:c r="W1166" t="str"/>
      <x:c r="X1166" t="str"/>
      <x:c r="Y1166" t="str">
        <x:v>https://data.ny.gov/Economic-Development/Active-Corporations-Beginning-1800/n9v6-gdp6</x:v>
      </x:c>
    </x:row>
    <x:row r="1167">
      <x:c r="A1167" t="str">
        <x:v>DOS-5-094</x:v>
      </x:c>
      <x:c r="B1167" t="n">
        <x:v>5</x:v>
      </x:c>
      <x:c r="C1167" t="str">
        <x:v>1000 MAIN STREET, NEW ROCHELLE, NY, 10801, US</x:v>
      </x:c>
      <x:c r="D1167" t="str">
        <x:v>2510 WESTCHESTER AVENUE ASSOCIATES LLC</x:v>
      </x:c>
      <x:c r="E1167" t="str">
        <x:v>2510 WESTCHESTER AVENUE ASSOCIATES LLC</x:v>
      </x:c>
      <x:c r="F1167" t="str">
        <x:v>Active name match</x:v>
      </x:c>
      <x:c r="G1167" t="n">
        <x:v>1</x:v>
      </x:c>
      <x:c r="H1167" t="n">
        <x:v>0</x:v>
      </x:c>
      <x:c r="I1167" t="str">
        <x:v>3706940</x:v>
      </x:c>
      <x:c r="J1167" t="str">
        <x:v>2510 WESTCHESTER AVENUE ASSOCIATES LLC</x:v>
      </x:c>
      <x:c r="K1167" s="55" t="n">
        <x:v>39668</x:v>
      </x:c>
      <x:c r="L1167" t="str">
        <x:v>Bronx</x:v>
      </x:c>
      <x:c r="M1167" t="str">
        <x:v>New York</x:v>
      </x:c>
      <x:c r="N1167" t="str">
        <x:v>DOMESTIC LIMITED LIABILITY COMPANY</x:v>
      </x:c>
      <x:c r="O1167" t="str">
        <x:v>2510 WESTCHESTER AVENUE ASSOCIATES LLC</x:v>
      </x:c>
      <x:c r="P1167" t="str">
        <x:v>1250 WATERS PLACE, SUITE PH1, BRONX, NY, 10461</x:v>
      </x:c>
      <x:c r="Q1167" t="str"/>
      <x:c r="R1167" t="str"/>
      <x:c r="S1167" t="str"/>
      <x:c r="T1167" t="str"/>
      <x:c r="U1167" t="str"/>
      <x:c r="V1167" t="str"/>
      <x:c r="W1167" t="str"/>
      <x:c r="X1167" t="str"/>
      <x:c r="Y1167" t="str">
        <x:v>https://data.ny.gov/Economic-Development/Active-Corporations-Beginning-1800/n9v6-gdp6</x:v>
      </x:c>
    </x:row>
    <x:row r="1168">
      <x:c r="A1168" t="str">
        <x:v>DOS-5-094</x:v>
      </x:c>
      <x:c r="B1168" t="n">
        <x:v>5</x:v>
      </x:c>
      <x:c r="C1168" t="str">
        <x:v>1000 MAIN STREET, NEW ROCHELLE, NY, 10801, US</x:v>
      </x:c>
      <x:c r="D1168" t="str">
        <x:v>2826 REALTY ASSOCIATES LLC</x:v>
      </x:c>
      <x:c r="E1168" t="str">
        <x:v>2826 REALTY ASSOCIATES LLC</x:v>
      </x:c>
      <x:c r="F1168" t="str">
        <x:v>Active name match</x:v>
      </x:c>
      <x:c r="G1168" t="n">
        <x:v>1</x:v>
      </x:c>
      <x:c r="H1168" t="n">
        <x:v>0</x:v>
      </x:c>
      <x:c r="I1168" t="str">
        <x:v>3597225</x:v>
      </x:c>
      <x:c r="J1168" t="str">
        <x:v>2826 REALTY ASSOCIATES LLC</x:v>
      </x:c>
      <x:c r="K1168" s="55" t="n">
        <x:v>39412</x:v>
      </x:c>
      <x:c r="L1168" t="str">
        <x:v>Bronx</x:v>
      </x:c>
      <x:c r="M1168" t="str">
        <x:v>New York</x:v>
      </x:c>
      <x:c r="N1168" t="str">
        <x:v>DOMESTIC LIMITED LIABILITY COMPANY</x:v>
      </x:c>
      <x:c r="O1168" t="str">
        <x:v>C/O HUTCH MANAGEMENT</x:v>
      </x:c>
      <x:c r="P1168" t="str">
        <x:v>1250 WATERS PLACE, BRONX, NY, 10461</x:v>
      </x:c>
      <x:c r="Q1168" t="str"/>
      <x:c r="R1168" t="str"/>
      <x:c r="S1168" t="str"/>
      <x:c r="T1168" t="str"/>
      <x:c r="U1168" t="str"/>
      <x:c r="V1168" t="str"/>
      <x:c r="W1168" t="str"/>
      <x:c r="X1168" t="str"/>
      <x:c r="Y1168" t="str">
        <x:v>https://data.ny.gov/Economic-Development/Active-Corporations-Beginning-1800/n9v6-gdp6</x:v>
      </x:c>
    </x:row>
    <x:row r="1169">
      <x:c r="A1169" t="str">
        <x:v>DOS-5-094</x:v>
      </x:c>
      <x:c r="B1169" t="n">
        <x:v>5</x:v>
      </x:c>
      <x:c r="C1169" t="str">
        <x:v>1000 MAIN STREET, NEW ROCHELLE, NY, 10801, US</x:v>
      </x:c>
      <x:c r="D1169" t="str">
        <x:v>BLVD PLAZA REALTY LLC</x:v>
      </x:c>
      <x:c r="E1169" t="str">
        <x:v>BLVD. PLAZA REALTY, LLC</x:v>
      </x:c>
      <x:c r="F1169" t="str">
        <x:v>Active name match</x:v>
      </x:c>
      <x:c r="G1169" t="n">
        <x:v>1</x:v>
      </x:c>
      <x:c r="H1169" t="n">
        <x:v>0</x:v>
      </x:c>
      <x:c r="I1169" t="str">
        <x:v>2990906</x:v>
      </x:c>
      <x:c r="J1169" t="str">
        <x:v>BLVD. PLAZA REALTY LLC</x:v>
      </x:c>
      <x:c r="K1169" s="55" t="n">
        <x:v>37974</x:v>
      </x:c>
      <x:c r="L1169" t="str">
        <x:v>Bronx</x:v>
      </x:c>
      <x:c r="M1169" t="str">
        <x:v>New York</x:v>
      </x:c>
      <x:c r="N1169" t="str">
        <x:v>DOMESTIC LIMITED LIABILITY COMPANY</x:v>
      </x:c>
      <x:c r="O1169" t="str">
        <x:v>BLVD. PLAZA REALTY LLC</x:v>
      </x:c>
      <x:c r="P1169" t="str">
        <x:v>1250 WATERS PLACE, PH1, BRONX, NY, 10461</x:v>
      </x:c>
      <x:c r="Q1169" t="str"/>
      <x:c r="R1169" t="str"/>
      <x:c r="S1169" t="str"/>
      <x:c r="T1169" t="str"/>
      <x:c r="U1169" t="str"/>
      <x:c r="V1169" t="str"/>
      <x:c r="W1169" t="str"/>
      <x:c r="X1169" t="str"/>
      <x:c r="Y1169" t="str">
        <x:v>https://data.ny.gov/Economic-Development/Active-Corporations-Beginning-1800/n9v6-gdp6</x:v>
      </x:c>
    </x:row>
    <x:row r="1170">
      <x:c r="A1170" t="str">
        <x:v>DOS-5-094</x:v>
      </x:c>
      <x:c r="B1170" t="n">
        <x:v>5</x:v>
      </x:c>
      <x:c r="C1170" t="str">
        <x:v>1000 MAIN STREET, NEW ROCHELLE, NY, 10801, US</x:v>
      </x:c>
      <x:c r="D1170" t="str">
        <x:v>BORDEN EAST RIVER REALTY LLC</x:v>
      </x:c>
      <x:c r="E1170" t="str">
        <x:v>BORDEN EAST RIVER REALTY LLC</x:v>
      </x:c>
      <x:c r="F1170" t="str">
        <x:v>Active name match</x:v>
      </x:c>
      <x:c r="G1170" t="n">
        <x:v>1</x:v>
      </x:c>
      <x:c r="H1170" t="n">
        <x:v>0</x:v>
      </x:c>
      <x:c r="I1170" t="str">
        <x:v>3262028</x:v>
      </x:c>
      <x:c r="J1170" t="str">
        <x:v>BORDEN EAST RIVER REALTY LLC</x:v>
      </x:c>
      <x:c r="K1170" s="55" t="n">
        <x:v>38623</x:v>
      </x:c>
      <x:c r="L1170" t="str">
        <x:v>Bronx</x:v>
      </x:c>
      <x:c r="M1170" t="str">
        <x:v>New York</x:v>
      </x:c>
      <x:c r="N1170" t="str">
        <x:v>DOMESTIC LIMITED LIABILITY COMPANY</x:v>
      </x:c>
      <x:c r="O1170" t="str">
        <x:v>BORDEN EAST RIVER REALTY LLC</x:v>
      </x:c>
      <x:c r="P1170" t="str">
        <x:v>550 BRUSH AVE, BRONX, NY, 10461</x:v>
      </x:c>
      <x:c r="Q1170" t="str"/>
      <x:c r="R1170" t="str"/>
      <x:c r="S1170" t="str"/>
      <x:c r="T1170" t="str"/>
      <x:c r="U1170" t="str"/>
      <x:c r="V1170" t="str"/>
      <x:c r="W1170" t="str"/>
      <x:c r="X1170" t="str"/>
      <x:c r="Y1170" t="str">
        <x:v>https://data.ny.gov/Economic-Development/Active-Corporations-Beginning-1800/n9v6-gdp6</x:v>
      </x:c>
    </x:row>
    <x:row r="1171">
      <x:c r="A1171" t="str">
        <x:v>DOS-5-094</x:v>
      </x:c>
      <x:c r="B1171" t="n">
        <x:v>5</x:v>
      </x:c>
      <x:c r="C1171" t="str">
        <x:v>1000 MAIN STREET, NEW ROCHELLE, NY, 10801, US</x:v>
      </x:c>
      <x:c r="D1171" t="str">
        <x:v>EAST 141ST STREET ASSOCIATES LLC</x:v>
      </x:c>
      <x:c r="E1171" t="str">
        <x:v>EAST 141ST STREET ASSOCIATES LLC</x:v>
      </x:c>
      <x:c r="F1171" t="str">
        <x:v>Active name match</x:v>
      </x:c>
      <x:c r="G1171" t="n">
        <x:v>1</x:v>
      </x:c>
      <x:c r="H1171" t="n">
        <x:v>0</x:v>
      </x:c>
      <x:c r="I1171" t="str">
        <x:v>3492719</x:v>
      </x:c>
      <x:c r="J1171" t="str">
        <x:v>EAST 141ST STREET ASSOCIATES LLC</x:v>
      </x:c>
      <x:c r="K1171" s="55" t="n">
        <x:v>39162</x:v>
      </x:c>
      <x:c r="L1171" t="str">
        <x:v>Bronx</x:v>
      </x:c>
      <x:c r="M1171" t="str">
        <x:v>New York</x:v>
      </x:c>
      <x:c r="N1171" t="str">
        <x:v>DOMESTIC LIMITED LIABILITY COMPANY</x:v>
      </x:c>
      <x:c r="O1171" t="str">
        <x:v>EAST 141ST STREET ASSOCIATES LLC</x:v>
      </x:c>
      <x:c r="P1171" t="str">
        <x:v>1250 WATERS PL, PH 1, BRONX, NY, 10461</x:v>
      </x:c>
      <x:c r="Q1171" t="str"/>
      <x:c r="R1171" t="str"/>
      <x:c r="S1171" t="str"/>
      <x:c r="T1171" t="str"/>
      <x:c r="U1171" t="str"/>
      <x:c r="V1171" t="str"/>
      <x:c r="W1171" t="str"/>
      <x:c r="X1171" t="str"/>
      <x:c r="Y1171" t="str">
        <x:v>https://data.ny.gov/Economic-Development/Active-Corporations-Beginning-1800/n9v6-gdp6</x:v>
      </x:c>
    </x:row>
    <x:row r="1172">
      <x:c r="A1172" t="str">
        <x:v>DOS-5-095</x:v>
      </x:c>
      <x:c r="B1172" t="n">
        <x:v>5</x:v>
      </x:c>
      <x:c r="C1172" t="str">
        <x:v>102 SACKETT STREET, BROOKLYN, NY, 11231, US</x:v>
      </x:c>
      <x:c r="D1172" t="str">
        <x:v>25 GREAT JONES LLC</x:v>
      </x:c>
      <x:c r="E1172" t="str">
        <x:v>25 GREAT JONES LLC</x:v>
      </x:c>
      <x:c r="F1172" t="str">
        <x:v>Address-corroborated active match</x:v>
      </x:c>
      <x:c r="G1172" t="n">
        <x:v>1</x:v>
      </x:c>
      <x:c r="H1172" t="n">
        <x:v>2</x:v>
      </x:c>
      <x:c r="I1172" t="str">
        <x:v>7309353</x:v>
      </x:c>
      <x:c r="J1172" t="str">
        <x:v>25 GREAT JONES LLC</x:v>
      </x:c>
      <x:c r="K1172" s="55" t="n">
        <x:v>45401</x:v>
      </x:c>
      <x:c r="L1172" t="str">
        <x:v>Kings</x:v>
      </x:c>
      <x:c r="M1172" t="str">
        <x:v>New York</x:v>
      </x:c>
      <x:c r="N1172" t="str">
        <x:v>DOMESTIC LIMITED LIABILITY COMPANY</x:v>
      </x:c>
      <x:c r="O1172" t="str">
        <x:v>25 Great Jones LLC</x:v>
      </x:c>
      <x:c r="P1172" t="str">
        <x:v>102 Sackett Street, Brooklyn, NY, 11231</x:v>
      </x:c>
      <x:c r="Q1172" t="str"/>
      <x:c r="R1172" t="str"/>
      <x:c r="S1172" t="str"/>
      <x:c r="T1172" t="str"/>
      <x:c r="U1172" t="str"/>
      <x:c r="V1172" t="str"/>
      <x:c r="W1172" t="str"/>
      <x:c r="X1172" t="str"/>
      <x:c r="Y1172" t="str">
        <x:v>https://data.ny.gov/Economic-Development/Active-Corporations-Beginning-1800/n9v6-gdp6</x:v>
      </x:c>
    </x:row>
    <x:row r="1173">
      <x:c r="A1173" t="str">
        <x:v>DOS-5-095</x:v>
      </x:c>
      <x:c r="B1173" t="n">
        <x:v>5</x:v>
      </x:c>
      <x:c r="C1173" t="str">
        <x:v>102 SACKETT STREET, BROOKLYN, NY, 11231, US</x:v>
      </x:c>
      <x:c r="D1173" t="str">
        <x:v>BKLYN11201 LLC</x:v>
      </x:c>
      <x:c r="E1173" t="str">
        <x:v>BKLYN11201, LLC</x:v>
      </x:c>
      <x:c r="F1173" t="str">
        <x:v>Address-corroborated active match</x:v>
      </x:c>
      <x:c r="G1173" t="n">
        <x:v>1</x:v>
      </x:c>
      <x:c r="H1173" t="n">
        <x:v>2</x:v>
      </x:c>
      <x:c r="I1173" t="str">
        <x:v>4330873</x:v>
      </x:c>
      <x:c r="J1173" t="str">
        <x:v>BKLYN11201 LLC</x:v>
      </x:c>
      <x:c r="K1173" s="55" t="n">
        <x:v>41254</x:v>
      </x:c>
      <x:c r="L1173" t="str">
        <x:v>Kings</x:v>
      </x:c>
      <x:c r="M1173" t="str">
        <x:v>New York</x:v>
      </x:c>
      <x:c r="N1173" t="str">
        <x:v>DOMESTIC LIMITED LIABILITY COMPANY</x:v>
      </x:c>
      <x:c r="O1173" t="str">
        <x:v>NOAH SOHNE</x:v>
      </x:c>
      <x:c r="P1173" t="str">
        <x:v>102 SACKETT ST, BROOKLYN, NY, 11231</x:v>
      </x:c>
      <x:c r="Q1173" t="str"/>
      <x:c r="R1173" t="str"/>
      <x:c r="S1173" t="str"/>
      <x:c r="T1173" t="str"/>
      <x:c r="U1173" t="str"/>
      <x:c r="V1173" t="str"/>
      <x:c r="W1173" t="str"/>
      <x:c r="X1173" t="str"/>
      <x:c r="Y1173" t="str">
        <x:v>https://data.ny.gov/Economic-Development/Active-Corporations-Beginning-1800/n9v6-gdp6</x:v>
      </x:c>
    </x:row>
    <x:row r="1174">
      <x:c r="A1174" t="str">
        <x:v>DOS-5-095</x:v>
      </x:c>
      <x:c r="B1174" t="n">
        <x:v>5</x:v>
      </x:c>
      <x:c r="C1174" t="str">
        <x:v>102 SACKETT STREET, BROOKLYN, NY, 11231, US</x:v>
      </x:c>
      <x:c r="D1174" t="str">
        <x:v>COLUMBIA MEWS OWNER LLC</x:v>
      </x:c>
      <x:c r="E1174" t="str">
        <x:v>COLUMBIA MEWS OWNER LLC</x:v>
      </x:c>
      <x:c r="F1174" t="str">
        <x:v>Address-corroborated active match</x:v>
      </x:c>
      <x:c r="G1174" t="n">
        <x:v>1</x:v>
      </x:c>
      <x:c r="H1174" t="n">
        <x:v>2</x:v>
      </x:c>
      <x:c r="I1174" t="str">
        <x:v>5722117</x:v>
      </x:c>
      <x:c r="J1174" t="str">
        <x:v>COLUMBIA MEWS OWNER LLC</x:v>
      </x:c>
      <x:c r="K1174" s="55" t="n">
        <x:v>43895</x:v>
      </x:c>
      <x:c r="L1174" t="str">
        <x:v>Kings</x:v>
      </x:c>
      <x:c r="M1174" t="str">
        <x:v>New York</x:v>
      </x:c>
      <x:c r="N1174" t="str">
        <x:v>DOMESTIC LIMITED LIABILITY COMPANY</x:v>
      </x:c>
      <x:c r="O1174" t="str">
        <x:v>COLUMBIA MEWS OWNER LLC</x:v>
      </x:c>
      <x:c r="P1174" t="str">
        <x:v>102 SACKETT STREET, BROOKLYN, NY, 11231</x:v>
      </x:c>
      <x:c r="Q1174" t="str"/>
      <x:c r="R1174" t="str"/>
      <x:c r="S1174" t="str"/>
      <x:c r="T1174" t="str"/>
      <x:c r="U1174" t="str"/>
      <x:c r="V1174" t="str"/>
      <x:c r="W1174" t="str"/>
      <x:c r="X1174" t="str"/>
      <x:c r="Y1174" t="str">
        <x:v>https://data.ny.gov/Economic-Development/Active-Corporations-Beginning-1800/n9v6-gdp6</x:v>
      </x:c>
    </x:row>
    <x:row r="1175">
      <x:c r="A1175" t="str">
        <x:v>DOS-5-095</x:v>
      </x:c>
      <x:c r="B1175" t="n">
        <x:v>5</x:v>
      </x:c>
      <x:c r="C1175" t="str">
        <x:v>102 SACKETT STREET, BROOKLYN, NY, 11231, US</x:v>
      </x:c>
      <x:c r="D1175" t="str">
        <x:v>HEART OF THE COBBLE LLC</x:v>
      </x:c>
      <x:c r="E1175" t="str">
        <x:v>HEART OF THE COBBLE LLC</x:v>
      </x:c>
      <x:c r="F1175" t="str">
        <x:v>Address-corroborated active match</x:v>
      </x:c>
      <x:c r="G1175" t="n">
        <x:v>1</x:v>
      </x:c>
      <x:c r="H1175" t="n">
        <x:v>2</x:v>
      </x:c>
      <x:c r="I1175" t="str">
        <x:v>7404289</x:v>
      </x:c>
      <x:c r="J1175" t="str">
        <x:v>HEART OF THE COBBLE LLC</x:v>
      </x:c>
      <x:c r="K1175" s="55" t="n">
        <x:v>45527</x:v>
      </x:c>
      <x:c r="L1175" t="str">
        <x:v>Kings</x:v>
      </x:c>
      <x:c r="M1175" t="str">
        <x:v>New York</x:v>
      </x:c>
      <x:c r="N1175" t="str">
        <x:v>DOMESTIC LIMITED LIABILITY COMPANY</x:v>
      </x:c>
      <x:c r="O1175" t="str">
        <x:v>HEART OF THE COBBLE LLC</x:v>
      </x:c>
      <x:c r="P1175" t="str">
        <x:v>102 Sackett Street, Brooklyn, NY, 11231</x:v>
      </x:c>
      <x:c r="Q1175" t="str"/>
      <x:c r="R1175" t="str"/>
      <x:c r="S1175" t="str"/>
      <x:c r="T1175" t="str"/>
      <x:c r="U1175" t="str"/>
      <x:c r="V1175" t="str"/>
      <x:c r="W1175" t="str"/>
      <x:c r="X1175" t="str"/>
      <x:c r="Y1175" t="str">
        <x:v>https://data.ny.gov/Economic-Development/Active-Corporations-Beginning-1800/n9v6-gdp6</x:v>
      </x:c>
    </x:row>
    <x:row r="1176">
      <x:c r="A1176" t="str">
        <x:v>DOS-5-095</x:v>
      </x:c>
      <x:c r="B1176" t="n">
        <x:v>5</x:v>
      </x:c>
      <x:c r="C1176" t="str">
        <x:v>102 SACKETT STREET, BROOKLYN, NY, 11231, US</x:v>
      </x:c>
      <x:c r="D1176" t="str">
        <x:v>PROSPECT PARK ROWHOUSE LLC</x:v>
      </x:c>
      <x:c r="E1176" t="str">
        <x:v>PROSPECT PARK ROWHOUSE LLC</x:v>
      </x:c>
      <x:c r="F1176" t="str">
        <x:v>Active name match</x:v>
      </x:c>
      <x:c r="G1176" t="n">
        <x:v>1</x:v>
      </x:c>
      <x:c r="H1176" t="n">
        <x:v>0</x:v>
      </x:c>
      <x:c r="I1176" t="str">
        <x:v>4785986</x:v>
      </x:c>
      <x:c r="J1176" t="str">
        <x:v>PROSPECT PARK ROWHOUSE LLC</x:v>
      </x:c>
      <x:c r="K1176" s="55" t="n">
        <x:v>42193</x:v>
      </x:c>
      <x:c r="L1176" t="str">
        <x:v>Kings</x:v>
      </x:c>
      <x:c r="M1176" t="str">
        <x:v>New York</x:v>
      </x:c>
      <x:c r="N1176" t="str">
        <x:v>DOMESTIC LIMITED LIABILITY COMPANY</x:v>
      </x:c>
      <x:c r="O1176" t="str">
        <x:v>NOAH SOHNE</x:v>
      </x:c>
      <x:c r="P1176" t="str">
        <x:v>102 SACKETT STREET, BROOKLYN, NY, 11201</x:v>
      </x:c>
      <x:c r="Q1176" t="str"/>
      <x:c r="R1176" t="str"/>
      <x:c r="S1176" t="str"/>
      <x:c r="T1176" t="str"/>
      <x:c r="U1176" t="str"/>
      <x:c r="V1176" t="str"/>
      <x:c r="W1176" t="str"/>
      <x:c r="X1176" t="str"/>
      <x:c r="Y1176" t="str">
        <x:v>https://data.ny.gov/Economic-Development/Active-Corporations-Beginning-1800/n9v6-gdp6</x:v>
      </x:c>
    </x:row>
    <x:row r="1177">
      <x:c r="A1177" t="str">
        <x:v>DOS-5-096</x:v>
      </x:c>
      <x:c r="B1177" t="n">
        <x:v>5</x:v>
      </x:c>
      <x:c r="C1177" t="str">
        <x:v>1026 BROADWAY #12, BROOKLYN, NY, 11221, US | 1026 BROADWAY, #12, BROOKLYN, NY, 11221, US | 1026 BROADWAY, 12, BROOKLYN, NY, 11221, US</x:v>
      </x:c>
      <x:c r="D1177" t="str">
        <x:v>1406 CROTONA PARK LLC</x:v>
      </x:c>
      <x:c r="E1177" t="str">
        <x:v>1406 CROTONA PARK LLC</x:v>
      </x:c>
      <x:c r="F1177" t="str">
        <x:v>Address-corroborated active match</x:v>
      </x:c>
      <x:c r="G1177" t="n">
        <x:v>1</x:v>
      </x:c>
      <x:c r="H1177" t="n">
        <x:v>2</x:v>
      </x:c>
      <x:c r="I1177" t="str">
        <x:v>4840048</x:v>
      </x:c>
      <x:c r="J1177" t="str">
        <x:v>1406 CROTONA PARK LLC</x:v>
      </x:c>
      <x:c r="K1177" s="55" t="n">
        <x:v>42303</x:v>
      </x:c>
      <x:c r="L1177" t="str">
        <x:v>Kings</x:v>
      </x:c>
      <x:c r="M1177" t="str">
        <x:v>New York</x:v>
      </x:c>
      <x:c r="N1177" t="str">
        <x:v>DOMESTIC LIMITED LIABILITY COMPANY</x:v>
      </x:c>
      <x:c r="O1177" t="str">
        <x:v>1406 CROTONA PARK</x:v>
      </x:c>
      <x:c r="P1177" t="str">
        <x:v>1026 BROADWAY #12, BROOKLYN, NY, 11221</x:v>
      </x:c>
      <x:c r="Q1177" t="str"/>
      <x:c r="R1177" t="str"/>
      <x:c r="S1177" t="str"/>
      <x:c r="T1177" t="str"/>
      <x:c r="U1177" t="str"/>
      <x:c r="V1177" t="str"/>
      <x:c r="W1177" t="str"/>
      <x:c r="X1177" t="str"/>
      <x:c r="Y1177" t="str">
        <x:v>https://data.ny.gov/Economic-Development/Active-Corporations-Beginning-1800/n9v6-gdp6</x:v>
      </x:c>
    </x:row>
    <x:row r="1178">
      <x:c r="A1178" t="str">
        <x:v>DOS-5-096</x:v>
      </x:c>
      <x:c r="B1178" t="n">
        <x:v>5</x:v>
      </x:c>
      <x:c r="C1178" t="str">
        <x:v>1026 BROADWAY #12, BROOKLYN, NY, 11221, US | 1026 BROADWAY, #12, BROOKLYN, NY, 11221, US | 1026 BROADWAY, 12, BROOKLYN, NY, 11221, US</x:v>
      </x:c>
      <x:c r="D1178" t="str">
        <x:v>1870 HOUSING LLC</x:v>
      </x:c>
      <x:c r="E1178" t="str">
        <x:v>1870 HOUSING LLC</x:v>
      </x:c>
      <x:c r="F1178" t="str">
        <x:v>Address-corroborated active match</x:v>
      </x:c>
      <x:c r="G1178" t="n">
        <x:v>1</x:v>
      </x:c>
      <x:c r="H1178" t="n">
        <x:v>2</x:v>
      </x:c>
      <x:c r="I1178" t="str">
        <x:v>4813136</x:v>
      </x:c>
      <x:c r="J1178" t="str">
        <x:v>1870 HOUSING LLC</x:v>
      </x:c>
      <x:c r="K1178" s="55" t="n">
        <x:v>42247</x:v>
      </x:c>
      <x:c r="L1178" t="str">
        <x:v>Kings</x:v>
      </x:c>
      <x:c r="M1178" t="str">
        <x:v>New York</x:v>
      </x:c>
      <x:c r="N1178" t="str">
        <x:v>DOMESTIC LIMITED LIABILITY COMPANY</x:v>
      </x:c>
      <x:c r="O1178" t="str">
        <x:v>1870 HOUSING</x:v>
      </x:c>
      <x:c r="P1178" t="str">
        <x:v>1026 BROADWAY #12, BROOKLYN, NY, 11221</x:v>
      </x:c>
      <x:c r="Q1178" t="str"/>
      <x:c r="R1178" t="str"/>
      <x:c r="S1178" t="str"/>
      <x:c r="T1178" t="str"/>
      <x:c r="U1178" t="str"/>
      <x:c r="V1178" t="str"/>
      <x:c r="W1178" t="str"/>
      <x:c r="X1178" t="str"/>
      <x:c r="Y1178" t="str">
        <x:v>https://data.ny.gov/Economic-Development/Active-Corporations-Beginning-1800/n9v6-gdp6</x:v>
      </x:c>
    </x:row>
    <x:row r="1179">
      <x:c r="A1179" t="str">
        <x:v>DOS-5-096</x:v>
      </x:c>
      <x:c r="B1179" t="n">
        <x:v>5</x:v>
      </x:c>
      <x:c r="C1179" t="str">
        <x:v>1026 BROADWAY #12, BROOKLYN, NY, 11221, US | 1026 BROADWAY, #12, BROOKLYN, NY, 11221, US | 1026 BROADWAY, 12, BROOKLYN, NY, 11221, US</x:v>
      </x:c>
      <x:c r="D1179" t="str">
        <x:v>325 E18 LLC</x:v>
      </x:c>
      <x:c r="E1179" t="str">
        <x:v>325 E18 LLC</x:v>
      </x:c>
      <x:c r="F1179" t="str">
        <x:v>Active name match</x:v>
      </x:c>
      <x:c r="G1179" t="n">
        <x:v>1</x:v>
      </x:c>
      <x:c r="H1179" t="n">
        <x:v>1</x:v>
      </x:c>
      <x:c r="I1179" t="str">
        <x:v>5824791</x:v>
      </x:c>
      <x:c r="J1179" t="str">
        <x:v>325 E18 LLC</x:v>
      </x:c>
      <x:c r="K1179" s="55" t="n">
        <x:v>44074</x:v>
      </x:c>
      <x:c r="L1179" t="str">
        <x:v>Kings</x:v>
      </x:c>
      <x:c r="M1179" t="str">
        <x:v>New York</x:v>
      </x:c>
      <x:c r="N1179" t="str">
        <x:v>DOMESTIC LIMITED LIABILITY COMPANY</x:v>
      </x:c>
      <x:c r="O1179" t="str">
        <x:v>325 E18 LLC</x:v>
      </x:c>
      <x:c r="P1179" t="str">
        <x:v>1026 BROADWAY MBX 12, BROOKLYN, NY, 11221</x:v>
      </x:c>
      <x:c r="Q1179" t="str"/>
      <x:c r="R1179" t="str"/>
      <x:c r="S1179" t="str"/>
      <x:c r="T1179" t="str"/>
      <x:c r="U1179" t="str"/>
      <x:c r="V1179" t="str"/>
      <x:c r="W1179" t="str"/>
      <x:c r="X1179" t="str"/>
      <x:c r="Y1179" t="str">
        <x:v>https://data.ny.gov/Economic-Development/Active-Corporations-Beginning-1800/n9v6-gdp6</x:v>
      </x:c>
    </x:row>
    <x:row r="1180">
      <x:c r="A1180" t="str">
        <x:v>DOS-5-096</x:v>
      </x:c>
      <x:c r="B1180" t="n">
        <x:v>5</x:v>
      </x:c>
      <x:c r="C1180" t="str">
        <x:v>1026 BROADWAY #12, BROOKLYN, NY, 11221, US | 1026 BROADWAY, #12, BROOKLYN, NY, 11221, US | 1026 BROADWAY, 12, BROOKLYN, NY, 11221, US</x:v>
      </x:c>
      <x:c r="D1180" t="str">
        <x:v>W2910 LLC</x:v>
      </x:c>
      <x:c r="E1180" t="str">
        <x:v>W2910 LLC</x:v>
      </x:c>
      <x:c r="F1180" t="str">
        <x:v>Address-corroborated active match</x:v>
      </x:c>
      <x:c r="G1180" t="n">
        <x:v>1</x:v>
      </x:c>
      <x:c r="H1180" t="n">
        <x:v>2</x:v>
      </x:c>
      <x:c r="I1180" t="str">
        <x:v>5450310</x:v>
      </x:c>
      <x:c r="J1180" t="str">
        <x:v>W2910 LLC</x:v>
      </x:c>
      <x:c r="K1180" s="55" t="n">
        <x:v>43432</x:v>
      </x:c>
      <x:c r="L1180" t="str">
        <x:v>Kings</x:v>
      </x:c>
      <x:c r="M1180" t="str">
        <x:v>New York</x:v>
      </x:c>
      <x:c r="N1180" t="str">
        <x:v>DOMESTIC LIMITED LIABILITY COMPANY</x:v>
      </x:c>
      <x:c r="O1180" t="str">
        <x:v>W2910 LLC</x:v>
      </x:c>
      <x:c r="P1180" t="str">
        <x:v>1026 BROADWAY, MAILBOX 12, BROOKLYN, NY, 11221</x:v>
      </x:c>
      <x:c r="Q1180" t="str"/>
      <x:c r="R1180" t="str"/>
      <x:c r="S1180" t="str"/>
      <x:c r="T1180" t="str"/>
      <x:c r="U1180" t="str"/>
      <x:c r="V1180" t="str"/>
      <x:c r="W1180" t="str"/>
      <x:c r="X1180" t="str"/>
      <x:c r="Y1180" t="str">
        <x:v>https://data.ny.gov/Economic-Development/Active-Corporations-Beginning-1800/n9v6-gdp6</x:v>
      </x:c>
    </x:row>
    <x:row r="1181">
      <x:c r="A1181" t="str">
        <x:v>DOS-5-096</x:v>
      </x:c>
      <x:c r="B1181" t="n">
        <x:v>5</x:v>
      </x:c>
      <x:c r="C1181" t="str">
        <x:v>1026 BROADWAY #12, BROOKLYN, NY, 11221, US | 1026 BROADWAY, #12, BROOKLYN, NY, 11221, US | 1026 BROADWAY, 12, BROOKLYN, NY, 11221, US</x:v>
      </x:c>
      <x:c r="D1181" t="str">
        <x:v>YOUNG BX 996 LLC</x:v>
      </x:c>
      <x:c r="E1181" t="str">
        <x:v>YOUNG BX 996 LLC</x:v>
      </x:c>
      <x:c r="F1181" t="str">
        <x:v>Address-corroborated active match</x:v>
      </x:c>
      <x:c r="G1181" t="n">
        <x:v>1</x:v>
      </x:c>
      <x:c r="H1181" t="n">
        <x:v>2</x:v>
      </x:c>
      <x:c r="I1181" t="str">
        <x:v>4626700</x:v>
      </x:c>
      <x:c r="J1181" t="str">
        <x:v>YOUNG BX 996 LLC</x:v>
      </x:c>
      <x:c r="K1181" s="55" t="n">
        <x:v>41876</x:v>
      </x:c>
      <x:c r="L1181" t="str">
        <x:v>Kings</x:v>
      </x:c>
      <x:c r="M1181" t="str">
        <x:v>New York</x:v>
      </x:c>
      <x:c r="N1181" t="str">
        <x:v>DOMESTIC LIMITED LIABILITY COMPANY</x:v>
      </x:c>
      <x:c r="O1181" t="str">
        <x:v>YOUNG BX 996</x:v>
      </x:c>
      <x:c r="P1181" t="str">
        <x:v>1026 BROADWAY #12, BROOKLYN, NY, 11221</x:v>
      </x:c>
      <x:c r="Q1181" t="str"/>
      <x:c r="R1181" t="str"/>
      <x:c r="S1181" t="str"/>
      <x:c r="T1181" t="str"/>
      <x:c r="U1181" t="str"/>
      <x:c r="V1181" t="str"/>
      <x:c r="W1181" t="str"/>
      <x:c r="X1181" t="str"/>
      <x:c r="Y1181" t="str">
        <x:v>https://data.ny.gov/Economic-Development/Active-Corporations-Beginning-1800/n9v6-gdp6</x:v>
      </x:c>
    </x:row>
    <x:row r="1182">
      <x:c r="A1182" t="str">
        <x:v>DOS-5-097</x:v>
      </x:c>
      <x:c r="B1182" t="n">
        <x:v>5</x:v>
      </x:c>
      <x:c r="C1182" t="str">
        <x:v>1087  LIBERTY AVENUE, BROOKLYN, NY, 11208, US | 1087 LIBERTY AVENUE, BROOKLYN, NY, 11208, US</x:v>
      </x:c>
      <x:c r="D1182" t="str">
        <x:v>1148 BELMONT AVE LLC</x:v>
      </x:c>
      <x:c r="E1182" t="str">
        <x:v>1148 BELMONT AVE LLC</x:v>
      </x:c>
      <x:c r="F1182" t="str">
        <x:v>Active name match</x:v>
      </x:c>
      <x:c r="G1182" t="n">
        <x:v>1</x:v>
      </x:c>
      <x:c r="H1182" t="n">
        <x:v>0</x:v>
      </x:c>
      <x:c r="I1182" t="str">
        <x:v>6348660</x:v>
      </x:c>
      <x:c r="J1182" t="str">
        <x:v>1148 BELMONT AVE LLC</x:v>
      </x:c>
      <x:c r="K1182" s="55" t="n">
        <x:v>44543</x:v>
      </x:c>
      <x:c r="L1182" t="str">
        <x:v>Kings</x:v>
      </x:c>
      <x:c r="M1182" t="str">
        <x:v>New York</x:v>
      </x:c>
      <x:c r="N1182" t="str">
        <x:v>DOMESTIC LIMITED LIABILITY COMPANY</x:v>
      </x:c>
      <x:c r="O1182" t="str">
        <x:v>1148 BELMONT AVE LLC</x:v>
      </x:c>
      <x:c r="P1182" t="str">
        <x:v>PO BOX 17, NEW HYDE PARK, NY, 11040</x:v>
      </x:c>
      <x:c r="Q1182" t="str"/>
      <x:c r="R1182" t="str"/>
      <x:c r="S1182" t="str"/>
      <x:c r="T1182" t="str"/>
      <x:c r="U1182" t="str"/>
      <x:c r="V1182" t="str"/>
      <x:c r="W1182" t="str"/>
      <x:c r="X1182" t="str"/>
      <x:c r="Y1182" t="str">
        <x:v>https://data.ny.gov/Economic-Development/Active-Corporations-Beginning-1800/n9v6-gdp6</x:v>
      </x:c>
    </x:row>
    <x:row r="1183">
      <x:c r="A1183" t="str">
        <x:v>DOS-5-097</x:v>
      </x:c>
      <x:c r="B1183" t="n">
        <x:v>5</x:v>
      </x:c>
      <x:c r="C1183" t="str">
        <x:v>1087  LIBERTY AVENUE, BROOKLYN, NY, 11208, US | 1087 LIBERTY AVENUE, BROOKLYN, NY, 11208, US</x:v>
      </x:c>
      <x:c r="D1183" t="str">
        <x:v>508 CLEVELAND STREET REALTY LLC</x:v>
      </x:c>
      <x:c r="E1183" t="str">
        <x:v>508 CLEVELAND STREET REALTY LLC</x:v>
      </x:c>
      <x:c r="F1183" t="str">
        <x:v>No active DOS match</x:v>
      </x:c>
      <x:c r="G1183" t="n">
        <x:v>0</x:v>
      </x:c>
      <x:c r="H1183" t="n">
        <x:v>0</x:v>
      </x:c>
      <x:c r="I1183" t="str"/>
      <x:c r="J1183" t="str"/>
      <x:c r="K1183" s="55" t="str"/>
      <x:c r="L1183" t="str"/>
      <x:c r="M1183" t="str"/>
      <x:c r="N1183" t="str"/>
      <x:c r="O1183" t="str"/>
      <x:c r="P1183" t="str"/>
      <x:c r="Q1183" t="str"/>
      <x:c r="R1183" t="str"/>
      <x:c r="S1183" t="str"/>
      <x:c r="T1183" t="str"/>
      <x:c r="U1183" t="str"/>
      <x:c r="V1183" t="str"/>
      <x:c r="W1183" t="str"/>
      <x:c r="X1183" t="str"/>
      <x:c r="Y1183" t="str">
        <x:v>https://data.ny.gov/Economic-Development/Active-Corporations-Beginning-1800/n9v6-gdp6</x:v>
      </x:c>
    </x:row>
    <x:row r="1184">
      <x:c r="A1184" t="str">
        <x:v>DOS-5-097</x:v>
      </x:c>
      <x:c r="B1184" t="n">
        <x:v>5</x:v>
      </x:c>
      <x:c r="C1184" t="str">
        <x:v>1087  LIBERTY AVENUE, BROOKLYN, NY, 11208, US | 1087 LIBERTY AVENUE, BROOKLYN, NY, 11208, US</x:v>
      </x:c>
      <x:c r="D1184" t="str">
        <x:v>953 SUTTER AVENUE LLC</x:v>
      </x:c>
      <x:c r="E1184" t="str">
        <x:v>953 SUTTER AVENUE, LLC</x:v>
      </x:c>
      <x:c r="F1184" t="str">
        <x:v>Active name match</x:v>
      </x:c>
      <x:c r="G1184" t="n">
        <x:v>1</x:v>
      </x:c>
      <x:c r="H1184" t="n">
        <x:v>0</x:v>
      </x:c>
      <x:c r="I1184" t="str">
        <x:v>3294798</x:v>
      </x:c>
      <x:c r="J1184" t="str">
        <x:v>953 SUTTER AVENUE, LLC</x:v>
      </x:c>
      <x:c r="K1184" s="55" t="n">
        <x:v>38705</x:v>
      </x:c>
      <x:c r="L1184" t="str">
        <x:v>Kings</x:v>
      </x:c>
      <x:c r="M1184" t="str">
        <x:v>New York</x:v>
      </x:c>
      <x:c r="N1184" t="str">
        <x:v>DOMESTIC LIMITED LIABILITY COMPANY</x:v>
      </x:c>
      <x:c r="O1184" t="str">
        <x:v>953 SUTTER AVENUE, LLC</x:v>
      </x:c>
      <x:c r="P1184" t="str">
        <x:v>PO BOX 17, NEW HYDE PARK, NY, 11040</x:v>
      </x:c>
      <x:c r="Q1184" t="str"/>
      <x:c r="R1184" t="str"/>
      <x:c r="S1184" t="str"/>
      <x:c r="T1184" t="str"/>
      <x:c r="U1184" t="str"/>
      <x:c r="V1184" t="str"/>
      <x:c r="W1184" t="str"/>
      <x:c r="X1184" t="str"/>
      <x:c r="Y1184" t="str">
        <x:v>https://data.ny.gov/Economic-Development/Active-Corporations-Beginning-1800/n9v6-gdp6</x:v>
      </x:c>
    </x:row>
    <x:row r="1185">
      <x:c r="A1185" t="str">
        <x:v>DOS-5-097</x:v>
      </x:c>
      <x:c r="B1185" t="n">
        <x:v>5</x:v>
      </x:c>
      <x:c r="C1185" t="str">
        <x:v>1087  LIBERTY AVENUE, BROOKLYN, NY, 11208, US | 1087 LIBERTY AVENUE, BROOKLYN, NY, 11208, US</x:v>
      </x:c>
      <x:c r="D1185" t="str">
        <x:v>957 SUTTER AVENUE LLC</x:v>
      </x:c>
      <x:c r="E1185" t="str">
        <x:v>957 SUTTER AVENUE, LLC</x:v>
      </x:c>
      <x:c r="F1185" t="str">
        <x:v>Active name match</x:v>
      </x:c>
      <x:c r="G1185" t="n">
        <x:v>1</x:v>
      </x:c>
      <x:c r="H1185" t="n">
        <x:v>0</x:v>
      </x:c>
      <x:c r="I1185" t="str">
        <x:v>3294789</x:v>
      </x:c>
      <x:c r="J1185" t="str">
        <x:v>957 SUTTER AVENUE, LLC</x:v>
      </x:c>
      <x:c r="K1185" s="55" t="n">
        <x:v>38705</x:v>
      </x:c>
      <x:c r="L1185" t="str">
        <x:v>Kings</x:v>
      </x:c>
      <x:c r="M1185" t="str">
        <x:v>New York</x:v>
      </x:c>
      <x:c r="N1185" t="str">
        <x:v>DOMESTIC LIMITED LIABILITY COMPANY</x:v>
      </x:c>
      <x:c r="O1185" t="str">
        <x:v>957 SUTTER AVENUE, LLC</x:v>
      </x:c>
      <x:c r="P1185" t="str">
        <x:v>PO BOX 17, NEW HYDE PARK, NY, 11040</x:v>
      </x:c>
      <x:c r="Q1185" t="str"/>
      <x:c r="R1185" t="str"/>
      <x:c r="S1185" t="str"/>
      <x:c r="T1185" t="str"/>
      <x:c r="U1185" t="str"/>
      <x:c r="V1185" t="str"/>
      <x:c r="W1185" t="str"/>
      <x:c r="X1185" t="str"/>
      <x:c r="Y1185" t="str">
        <x:v>https://data.ny.gov/Economic-Development/Active-Corporations-Beginning-1800/n9v6-gdp6</x:v>
      </x:c>
    </x:row>
    <x:row r="1186">
      <x:c r="A1186" t="str">
        <x:v>DOS-5-097</x:v>
      </x:c>
      <x:c r="B1186" t="n">
        <x:v>5</x:v>
      </x:c>
      <x:c r="C1186" t="str">
        <x:v>1087  LIBERTY AVENUE, BROOKLYN, NY, 11208, US | 1087 LIBERTY AVENUE, BROOKLYN, NY, 11208, US</x:v>
      </x:c>
      <x:c r="D1186" t="str">
        <x:v>963 SUTTER AVENUE LLC</x:v>
      </x:c>
      <x:c r="E1186" t="str">
        <x:v>963 SUTTER AVENUE LLC</x:v>
      </x:c>
      <x:c r="F1186" t="str">
        <x:v>Active name match</x:v>
      </x:c>
      <x:c r="G1186" t="n">
        <x:v>1</x:v>
      </x:c>
      <x:c r="H1186" t="n">
        <x:v>0</x:v>
      </x:c>
      <x:c r="I1186" t="str">
        <x:v>3294770</x:v>
      </x:c>
      <x:c r="J1186" t="str">
        <x:v>963 SUTTER AVENUE, LLC</x:v>
      </x:c>
      <x:c r="K1186" s="55" t="n">
        <x:v>38705</x:v>
      </x:c>
      <x:c r="L1186" t="str">
        <x:v>Kings</x:v>
      </x:c>
      <x:c r="M1186" t="str">
        <x:v>New York</x:v>
      </x:c>
      <x:c r="N1186" t="str">
        <x:v>DOMESTIC LIMITED LIABILITY COMPANY</x:v>
      </x:c>
      <x:c r="O1186" t="str">
        <x:v>963 SUTTER AVENUE, LLC</x:v>
      </x:c>
      <x:c r="P1186" t="str">
        <x:v>PO BOX 17, NEW HYDE PARK, NY, 11040</x:v>
      </x:c>
      <x:c r="Q1186" t="str"/>
      <x:c r="R1186" t="str"/>
      <x:c r="S1186" t="str"/>
      <x:c r="T1186" t="str"/>
      <x:c r="U1186" t="str"/>
      <x:c r="V1186" t="str"/>
      <x:c r="W1186" t="str"/>
      <x:c r="X1186" t="str"/>
      <x:c r="Y1186" t="str">
        <x:v>https://data.ny.gov/Economic-Development/Active-Corporations-Beginning-1800/n9v6-gdp6</x:v>
      </x:c>
    </x:row>
    <x:row r="1187">
      <x:c r="A1187" t="str">
        <x:v>DOS-5-098</x:v>
      </x:c>
      <x:c r="B1187" t="n">
        <x:v>5</x:v>
      </x:c>
      <x:c r="C1187" t="str">
        <x:v>120-18 115TH AVE, SOUTH OZONE PARK, NY, 11420, US</x:v>
      </x:c>
      <x:c r="D1187" t="str">
        <x:v>11 13 115TH STREET LLC</x:v>
      </x:c>
      <x:c r="E1187" t="str">
        <x:v>11-13 115TH STREET LLC</x:v>
      </x:c>
      <x:c r="F1187" t="str">
        <x:v>Active name match</x:v>
      </x:c>
      <x:c r="G1187" t="n">
        <x:v>1</x:v>
      </x:c>
      <x:c r="H1187" t="n">
        <x:v>0</x:v>
      </x:c>
      <x:c r="I1187" t="str">
        <x:v>5853594</x:v>
      </x:c>
      <x:c r="J1187" t="str">
        <x:v>11-13 115TH STREET LLC</x:v>
      </x:c>
      <x:c r="K1187" s="55" t="n">
        <x:v>44112</x:v>
      </x:c>
      <x:c r="L1187" t="str">
        <x:v>Queens</x:v>
      </x:c>
      <x:c r="M1187" t="str">
        <x:v>New York</x:v>
      </x:c>
      <x:c r="N1187" t="str">
        <x:v>DOMESTIC LIMITED LIABILITY COMPANY</x:v>
      </x:c>
      <x:c r="O1187" t="str">
        <x:v>ANTHONY FRANCIS</x:v>
      </x:c>
      <x:c r="P1187" t="str">
        <x:v>86-30 108TH STREET, RICHMOND HILL, NY, 11418</x:v>
      </x:c>
      <x:c r="Q1187" t="str"/>
      <x:c r="R1187" t="str"/>
      <x:c r="S1187" t="str"/>
      <x:c r="T1187" t="str"/>
      <x:c r="U1187" t="str"/>
      <x:c r="V1187" t="str"/>
      <x:c r="W1187" t="str"/>
      <x:c r="X1187" t="str"/>
      <x:c r="Y1187" t="str">
        <x:v>https://data.ny.gov/Economic-Development/Active-Corporations-Beginning-1800/n9v6-gdp6</x:v>
      </x:c>
    </x:row>
    <x:row r="1188">
      <x:c r="A1188" t="str">
        <x:v>DOS-5-098</x:v>
      </x:c>
      <x:c r="B1188" t="n">
        <x:v>5</x:v>
      </x:c>
      <x:c r="C1188" t="str">
        <x:v>120-18 115TH AVE, SOUTH OZONE PARK, NY, 11420, US</x:v>
      </x:c>
      <x:c r="D1188" t="str">
        <x:v>126 128 MONTAUK AVE LLC</x:v>
      </x:c>
      <x:c r="E1188" t="str">
        <x:v>126-128 MONTAUK AVE LLC</x:v>
      </x:c>
      <x:c r="F1188" t="str">
        <x:v>Active name match</x:v>
      </x:c>
      <x:c r="G1188" t="n">
        <x:v>1</x:v>
      </x:c>
      <x:c r="H1188" t="n">
        <x:v>0</x:v>
      </x:c>
      <x:c r="I1188" t="str">
        <x:v>5853607</x:v>
      </x:c>
      <x:c r="J1188" t="str">
        <x:v>126-128 MONTAUK AVE LLC</x:v>
      </x:c>
      <x:c r="K1188" s="55" t="n">
        <x:v>44112</x:v>
      </x:c>
      <x:c r="L1188" t="str">
        <x:v>Kings</x:v>
      </x:c>
      <x:c r="M1188" t="str">
        <x:v>New York</x:v>
      </x:c>
      <x:c r="N1188" t="str">
        <x:v>DOMESTIC LIMITED LIABILITY COMPANY</x:v>
      </x:c>
      <x:c r="O1188" t="str">
        <x:v>ANTHONY FRANCIS</x:v>
      </x:c>
      <x:c r="P1188" t="str">
        <x:v>86-30 108TH STREET, RICHMOND HILL, NY, 11418</x:v>
      </x:c>
      <x:c r="Q1188" t="str"/>
      <x:c r="R1188" t="str"/>
      <x:c r="S1188" t="str"/>
      <x:c r="T1188" t="str"/>
      <x:c r="U1188" t="str"/>
      <x:c r="V1188" t="str"/>
      <x:c r="W1188" t="str"/>
      <x:c r="X1188" t="str"/>
      <x:c r="Y1188" t="str">
        <x:v>https://data.ny.gov/Economic-Development/Active-Corporations-Beginning-1800/n9v6-gdp6</x:v>
      </x:c>
    </x:row>
    <x:row r="1189">
      <x:c r="A1189" t="str">
        <x:v>DOS-5-098</x:v>
      </x:c>
      <x:c r="B1189" t="n">
        <x:v>5</x:v>
      </x:c>
      <x:c r="C1189" t="str">
        <x:v>120-18 115TH AVE, SOUTH OZONE PARK, NY, 11420, US</x:v>
      </x:c>
      <x:c r="D1189" t="str">
        <x:v>134 MONTAUK AVE LLC</x:v>
      </x:c>
      <x:c r="E1189" t="str">
        <x:v>134 MONTAUK AVE LLC</x:v>
      </x:c>
      <x:c r="F1189" t="str">
        <x:v>Active name match</x:v>
      </x:c>
      <x:c r="G1189" t="n">
        <x:v>1</x:v>
      </x:c>
      <x:c r="H1189" t="n">
        <x:v>0</x:v>
      </x:c>
      <x:c r="I1189" t="str">
        <x:v>5853604</x:v>
      </x:c>
      <x:c r="J1189" t="str">
        <x:v>134 MONTAUK AVE LLC</x:v>
      </x:c>
      <x:c r="K1189" s="55" t="n">
        <x:v>44112</x:v>
      </x:c>
      <x:c r="L1189" t="str">
        <x:v>Kings</x:v>
      </x:c>
      <x:c r="M1189" t="str">
        <x:v>New York</x:v>
      </x:c>
      <x:c r="N1189" t="str">
        <x:v>DOMESTIC LIMITED LIABILITY COMPANY</x:v>
      </x:c>
      <x:c r="O1189" t="str">
        <x:v>ANTHONY FRANCIS</x:v>
      </x:c>
      <x:c r="P1189" t="str">
        <x:v>86-30 108TH STREET, RICHMOND HILL, NY, 11418</x:v>
      </x:c>
      <x:c r="Q1189" t="str"/>
      <x:c r="R1189" t="str"/>
      <x:c r="S1189" t="str"/>
      <x:c r="T1189" t="str"/>
      <x:c r="U1189" t="str"/>
      <x:c r="V1189" t="str"/>
      <x:c r="W1189" t="str"/>
      <x:c r="X1189" t="str"/>
      <x:c r="Y1189" t="str">
        <x:v>https://data.ny.gov/Economic-Development/Active-Corporations-Beginning-1800/n9v6-gdp6</x:v>
      </x:c>
    </x:row>
    <x:row r="1190">
      <x:c r="A1190" t="str">
        <x:v>DOS-5-098</x:v>
      </x:c>
      <x:c r="B1190" t="n">
        <x:v>5</x:v>
      </x:c>
      <x:c r="C1190" t="str">
        <x:v>120-18 115TH AVE, SOUTH OZONE PARK, NY, 11420, US</x:v>
      </x:c>
      <x:c r="D1190" t="str">
        <x:v>14 18 115TH AVENUE LLC</x:v>
      </x:c>
      <x:c r="E1190" t="str">
        <x:v>14-18 115TH AVENUE LLC</x:v>
      </x:c>
      <x:c r="F1190" t="str">
        <x:v>Active name match</x:v>
      </x:c>
      <x:c r="G1190" t="n">
        <x:v>1</x:v>
      </x:c>
      <x:c r="H1190" t="n">
        <x:v>0</x:v>
      </x:c>
      <x:c r="I1190" t="str">
        <x:v>5853592</x:v>
      </x:c>
      <x:c r="J1190" t="str">
        <x:v>14-18 115TH AVENUE LLC</x:v>
      </x:c>
      <x:c r="K1190" s="55" t="n">
        <x:v>44112</x:v>
      </x:c>
      <x:c r="L1190" t="str">
        <x:v>Queens</x:v>
      </x:c>
      <x:c r="M1190" t="str">
        <x:v>New York</x:v>
      </x:c>
      <x:c r="N1190" t="str">
        <x:v>DOMESTIC LIMITED LIABILITY COMPANY</x:v>
      </x:c>
      <x:c r="O1190" t="str">
        <x:v>ANTHONY FRANCIS</x:v>
      </x:c>
      <x:c r="P1190" t="str">
        <x:v>86-30 108TH STREET, RICHMOND HILL, NY, 11418</x:v>
      </x:c>
      <x:c r="Q1190" t="str"/>
      <x:c r="R1190" t="str"/>
      <x:c r="S1190" t="str"/>
      <x:c r="T1190" t="str"/>
      <x:c r="U1190" t="str"/>
      <x:c r="V1190" t="str"/>
      <x:c r="W1190" t="str"/>
      <x:c r="X1190" t="str"/>
      <x:c r="Y1190" t="str">
        <x:v>https://data.ny.gov/Economic-Development/Active-Corporations-Beginning-1800/n9v6-gdp6</x:v>
      </x:c>
    </x:row>
    <x:row r="1191">
      <x:c r="A1191" t="str">
        <x:v>DOS-5-098</x:v>
      </x:c>
      <x:c r="B1191" t="n">
        <x:v>5</x:v>
      </x:c>
      <x:c r="C1191" t="str">
        <x:v>120-18 115TH AVE, SOUTH OZONE PARK, NY, 11420, US</x:v>
      </x:c>
      <x:c r="D1191" t="str">
        <x:v>220 MILFORD STREET LLC</x:v>
      </x:c>
      <x:c r="E1191" t="str">
        <x:v>220 MILFORD STREET LLC</x:v>
      </x:c>
      <x:c r="F1191" t="str">
        <x:v>Active name match</x:v>
      </x:c>
      <x:c r="G1191" t="n">
        <x:v>1</x:v>
      </x:c>
      <x:c r="H1191" t="n">
        <x:v>1</x:v>
      </x:c>
      <x:c r="I1191" t="str">
        <x:v>5864902</x:v>
      </x:c>
      <x:c r="J1191" t="str">
        <x:v>220 MILFORD STREET LLC</x:v>
      </x:c>
      <x:c r="K1191" s="55" t="n">
        <x:v>44130</x:v>
      </x:c>
      <x:c r="L1191" t="str">
        <x:v>Kings</x:v>
      </x:c>
      <x:c r="M1191" t="str">
        <x:v>New York</x:v>
      </x:c>
      <x:c r="N1191" t="str">
        <x:v>DOMESTIC LIMITED LIABILITY COMPANY</x:v>
      </x:c>
      <x:c r="O1191" t="str">
        <x:v>ANTHONY FRANCIS</x:v>
      </x:c>
      <x:c r="P1191" t="str">
        <x:v>120-18 115TH AVENUE, SOUTH OZONE PARK, NY, 11420</x:v>
      </x:c>
      <x:c r="Q1191" t="str"/>
      <x:c r="R1191" t="str"/>
      <x:c r="S1191" t="str"/>
      <x:c r="T1191" t="str"/>
      <x:c r="U1191" t="str"/>
      <x:c r="V1191" t="str"/>
      <x:c r="W1191" t="str"/>
      <x:c r="X1191" t="str"/>
      <x:c r="Y1191" t="str">
        <x:v>https://data.ny.gov/Economic-Development/Active-Corporations-Beginning-1800/n9v6-gdp6</x:v>
      </x:c>
    </x:row>
    <x:row r="1192">
      <x:c r="A1192" t="str">
        <x:v>DOS-5-099</x:v>
      </x:c>
      <x:c r="B1192" t="n">
        <x:v>5</x:v>
      </x:c>
      <x:c r="C1192" t="str">
        <x:v>131 HEYWARD STREET, BROOKLYN, NY, 11206, US</x:v>
      </x:c>
      <x:c r="D1192" t="str">
        <x:v>239 FRANKLIN AVE LLC</x:v>
      </x:c>
      <x:c r="E1192" t="str">
        <x:v>239 FRANKLIN AVE. LLC</x:v>
      </x:c>
      <x:c r="F1192" t="str">
        <x:v>Active name match</x:v>
      </x:c>
      <x:c r="G1192" t="n">
        <x:v>1</x:v>
      </x:c>
      <x:c r="H1192" t="n">
        <x:v>1</x:v>
      </x:c>
      <x:c r="I1192" t="str">
        <x:v>3403986</x:v>
      </x:c>
      <x:c r="J1192" t="str">
        <x:v>239 FRANKLIN AVE., LLC</x:v>
      </x:c>
      <x:c r="K1192" s="55" t="n">
        <x:v>38952</x:v>
      </x:c>
      <x:c r="L1192" t="str">
        <x:v>Kings</x:v>
      </x:c>
      <x:c r="M1192" t="str">
        <x:v>New York</x:v>
      </x:c>
      <x:c r="N1192" t="str">
        <x:v>DOMESTIC LIMITED LIABILITY COMPANY</x:v>
      </x:c>
      <x:c r="O1192" t="str">
        <x:v>239 FRANKLIN AVE., LLC</x:v>
      </x:c>
      <x:c r="P1192" t="str">
        <x:v>246 LYNCH STREET, 1A, BROOKLYN, NY, 11206</x:v>
      </x:c>
      <x:c r="Q1192" t="str"/>
      <x:c r="R1192" t="str"/>
      <x:c r="S1192" t="str"/>
      <x:c r="T1192" t="str"/>
      <x:c r="U1192" t="str"/>
      <x:c r="V1192" t="str"/>
      <x:c r="W1192" t="str"/>
      <x:c r="X1192" t="str"/>
      <x:c r="Y1192" t="str">
        <x:v>https://data.ny.gov/Economic-Development/Active-Corporations-Beginning-1800/n9v6-gdp6</x:v>
      </x:c>
    </x:row>
    <x:row r="1193">
      <x:c r="A1193" t="str">
        <x:v>DOS-5-099</x:v>
      </x:c>
      <x:c r="B1193" t="n">
        <x:v>5</x:v>
      </x:c>
      <x:c r="C1193" t="str">
        <x:v>131 HEYWARD STREET, BROOKLYN, NY, 11206, US</x:v>
      </x:c>
      <x:c r="D1193" t="str">
        <x:v>242 LYNCH HOLDINGS LLC</x:v>
      </x:c>
      <x:c r="E1193" t="str">
        <x:v>242 LYNCH HOLDINGS, LLC</x:v>
      </x:c>
      <x:c r="F1193" t="str">
        <x:v>Active name match</x:v>
      </x:c>
      <x:c r="G1193" t="n">
        <x:v>1</x:v>
      </x:c>
      <x:c r="H1193" t="n">
        <x:v>1</x:v>
      </x:c>
      <x:c r="I1193" t="str">
        <x:v>4059789</x:v>
      </x:c>
      <x:c r="J1193" t="str">
        <x:v>242 LYNCH HOLDINGS LLC</x:v>
      </x:c>
      <x:c r="K1193" s="55" t="n">
        <x:v>40598</x:v>
      </x:c>
      <x:c r="L1193" t="str">
        <x:v>Kings</x:v>
      </x:c>
      <x:c r="M1193" t="str">
        <x:v>New York</x:v>
      </x:c>
      <x:c r="N1193" t="str">
        <x:v>DOMESTIC LIMITED LIABILITY COMPANY</x:v>
      </x:c>
      <x:c r="O1193" t="str">
        <x:v>242 LYNCH HOLDINGS LLC</x:v>
      </x:c>
      <x:c r="P1193" t="str">
        <x:v>246 LYNCH STREET, 1A, BROOKLYN, NY, 11206</x:v>
      </x:c>
      <x:c r="Q1193" t="str"/>
      <x:c r="R1193" t="str"/>
      <x:c r="S1193" t="str"/>
      <x:c r="T1193" t="str"/>
      <x:c r="U1193" t="str"/>
      <x:c r="V1193" t="str"/>
      <x:c r="W1193" t="str"/>
      <x:c r="X1193" t="str"/>
      <x:c r="Y1193" t="str">
        <x:v>https://data.ny.gov/Economic-Development/Active-Corporations-Beginning-1800/n9v6-gdp6</x:v>
      </x:c>
    </x:row>
    <x:row r="1194">
      <x:c r="A1194" t="str">
        <x:v>DOS-5-099</x:v>
      </x:c>
      <x:c r="B1194" t="n">
        <x:v>5</x:v>
      </x:c>
      <x:c r="C1194" t="str">
        <x:v>131 HEYWARD STREET, BROOKLYN, NY, 11206, US</x:v>
      </x:c>
      <x:c r="D1194" t="str">
        <x:v>577 MARCY LLC</x:v>
      </x:c>
      <x:c r="E1194" t="str">
        <x:v>577 MARCY LLC</x:v>
      </x:c>
      <x:c r="F1194" t="str">
        <x:v>Active name match</x:v>
      </x:c>
      <x:c r="G1194" t="n">
        <x:v>1</x:v>
      </x:c>
      <x:c r="H1194" t="n">
        <x:v>1</x:v>
      </x:c>
      <x:c r="I1194" t="str">
        <x:v>3382450</x:v>
      </x:c>
      <x:c r="J1194" t="str">
        <x:v>577 MARCY LLC</x:v>
      </x:c>
      <x:c r="K1194" s="55" t="n">
        <x:v>38896</x:v>
      </x:c>
      <x:c r="L1194" t="str">
        <x:v>Kings</x:v>
      </x:c>
      <x:c r="M1194" t="str">
        <x:v>New York</x:v>
      </x:c>
      <x:c r="N1194" t="str">
        <x:v>DOMESTIC LIMITED LIABILITY COMPANY</x:v>
      </x:c>
      <x:c r="O1194" t="str">
        <x:v>577 MARCY LLC</x:v>
      </x:c>
      <x:c r="P1194" t="str">
        <x:v>246 LYNCH STREET, SUITE 1A, BROOKLYN, NY, 11206</x:v>
      </x:c>
      <x:c r="Q1194" t="str"/>
      <x:c r="R1194" t="str"/>
      <x:c r="S1194" t="str"/>
      <x:c r="T1194" t="str"/>
      <x:c r="U1194" t="str"/>
      <x:c r="V1194" t="str"/>
      <x:c r="W1194" t="str"/>
      <x:c r="X1194" t="str"/>
      <x:c r="Y1194" t="str">
        <x:v>https://data.ny.gov/Economic-Development/Active-Corporations-Beginning-1800/n9v6-gdp6</x:v>
      </x:c>
    </x:row>
    <x:row r="1195">
      <x:c r="A1195" t="str">
        <x:v>DOS-5-099</x:v>
      </x:c>
      <x:c r="B1195" t="n">
        <x:v>5</x:v>
      </x:c>
      <x:c r="C1195" t="str">
        <x:v>131 HEYWARD STREET, BROOKLYN, NY, 11206, US</x:v>
      </x:c>
      <x:c r="D1195" t="str">
        <x:v>836 838 BEDFORD AVE LLC</x:v>
      </x:c>
      <x:c r="E1195" t="str">
        <x:v>836-838 BEDFORD AVE LLC</x:v>
      </x:c>
      <x:c r="F1195" t="str">
        <x:v>Active name match</x:v>
      </x:c>
      <x:c r="G1195" t="n">
        <x:v>1</x:v>
      </x:c>
      <x:c r="H1195" t="n">
        <x:v>1</x:v>
      </x:c>
      <x:c r="I1195" t="str">
        <x:v>3359734</x:v>
      </x:c>
      <x:c r="J1195" t="str">
        <x:v>836-838 BEDFORD AVE LLC</x:v>
      </x:c>
      <x:c r="K1195" s="55" t="n">
        <x:v>38846</x:v>
      </x:c>
      <x:c r="L1195" t="str">
        <x:v>Kings</x:v>
      </x:c>
      <x:c r="M1195" t="str">
        <x:v>New York</x:v>
      </x:c>
      <x:c r="N1195" t="str">
        <x:v>DOMESTIC LIMITED LIABILITY COMPANY</x:v>
      </x:c>
      <x:c r="O1195" t="str">
        <x:v>836-838 BEDFORD AVE LLC</x:v>
      </x:c>
      <x:c r="P1195" t="str">
        <x:v>246 LYNCH STREET, #1A, BROOKLYN, NY, 11206</x:v>
      </x:c>
      <x:c r="Q1195" t="str"/>
      <x:c r="R1195" t="str"/>
      <x:c r="S1195" t="str"/>
      <x:c r="T1195" t="str"/>
      <x:c r="U1195" t="str"/>
      <x:c r="V1195" t="str"/>
      <x:c r="W1195" t="str"/>
      <x:c r="X1195" t="str"/>
      <x:c r="Y1195" t="str">
        <x:v>https://data.ny.gov/Economic-Development/Active-Corporations-Beginning-1800/n9v6-gdp6</x:v>
      </x:c>
    </x:row>
    <x:row r="1196">
      <x:c r="A1196" t="str">
        <x:v>DOS-5-099</x:v>
      </x:c>
      <x:c r="B1196" t="n">
        <x:v>5</x:v>
      </x:c>
      <x:c r="C1196" t="str">
        <x:v>131 HEYWARD STREET, BROOKLYN, NY, 11206, US</x:v>
      </x:c>
      <x:c r="D1196" t="str">
        <x:v>836 838 BEDFORD AVENUE LLC</x:v>
      </x:c>
      <x:c r="E1196" t="str">
        <x:v>836-838 BEDFORD AVENUE LLC</x:v>
      </x:c>
      <x:c r="F1196" t="str">
        <x:v>No active DOS match</x:v>
      </x:c>
      <x:c r="G1196" t="n">
        <x:v>0</x:v>
      </x:c>
      <x:c r="H1196" t="n">
        <x:v>0</x:v>
      </x:c>
      <x:c r="I1196" t="str"/>
      <x:c r="J1196" t="str"/>
      <x:c r="K1196" s="55" t="str"/>
      <x:c r="L1196" t="str"/>
      <x:c r="M1196" t="str"/>
      <x:c r="N1196" t="str"/>
      <x:c r="O1196" t="str"/>
      <x:c r="P1196" t="str"/>
      <x:c r="Q1196" t="str"/>
      <x:c r="R1196" t="str"/>
      <x:c r="S1196" t="str"/>
      <x:c r="T1196" t="str"/>
      <x:c r="U1196" t="str"/>
      <x:c r="V1196" t="str"/>
      <x:c r="W1196" t="str"/>
      <x:c r="X1196" t="str"/>
      <x:c r="Y1196" t="str">
        <x:v>https://data.ny.gov/Economic-Development/Active-Corporations-Beginning-1800/n9v6-gdp6</x:v>
      </x:c>
    </x:row>
    <x:row r="1197">
      <x:c r="A1197" t="str">
        <x:v>DOS-5-100</x:v>
      </x:c>
      <x:c r="B1197" t="n">
        <x:v>5</x:v>
      </x:c>
      <x:c r="C1197" t="str">
        <x:v>132 PARKVILLE AVENUE, BROOKLYN, NY, 11230, US</x:v>
      </x:c>
      <x:c r="D1197" t="str">
        <x:v>2474 BRAGG LLC</x:v>
      </x:c>
      <x:c r="E1197" t="str">
        <x:v>2474 BRAGG LLC</x:v>
      </x:c>
      <x:c r="F1197" t="str">
        <x:v>Address-corroborated active match</x:v>
      </x:c>
      <x:c r="G1197" t="n">
        <x:v>1</x:v>
      </x:c>
      <x:c r="H1197" t="n">
        <x:v>2</x:v>
      </x:c>
      <x:c r="I1197" t="str">
        <x:v>7600985</x:v>
      </x:c>
      <x:c r="J1197" t="str">
        <x:v>2474 BRAGG LLC</x:v>
      </x:c>
      <x:c r="K1197" s="55" t="n">
        <x:v>45778</x:v>
      </x:c>
      <x:c r="L1197" t="str">
        <x:v>Kings</x:v>
      </x:c>
      <x:c r="M1197" t="str">
        <x:v>New York</x:v>
      </x:c>
      <x:c r="N1197" t="str">
        <x:v>DOMESTIC LIMITED LIABILITY COMPANY</x:v>
      </x:c>
      <x:c r="O1197" t="str">
        <x:v>2474 BRAGG LLC</x:v>
      </x:c>
      <x:c r="P1197" t="str">
        <x:v>132 parkville ave, BROOKLYN, NY, 11230</x:v>
      </x:c>
      <x:c r="Q1197" t="str"/>
      <x:c r="R1197" t="str"/>
      <x:c r="S1197" t="str"/>
      <x:c r="T1197" t="str"/>
      <x:c r="U1197" t="str"/>
      <x:c r="V1197" t="str"/>
      <x:c r="W1197" t="str"/>
      <x:c r="X1197" t="str"/>
      <x:c r="Y1197" t="str">
        <x:v>https://data.ny.gov/Economic-Development/Active-Corporations-Beginning-1800/n9v6-gdp6</x:v>
      </x:c>
    </x:row>
    <x:row r="1198">
      <x:c r="A1198" t="str">
        <x:v>DOS-5-100</x:v>
      </x:c>
      <x:c r="B1198" t="n">
        <x:v>5</x:v>
      </x:c>
      <x:c r="C1198" t="str">
        <x:v>132 PARKVILLE AVENUE, BROOKLYN, NY, 11230, US</x:v>
      </x:c>
      <x:c r="D1198" t="str">
        <x:v>2503 E 19 ST 66 LLC</x:v>
      </x:c>
      <x:c r="E1198" t="str">
        <x:v>2503 E 19 ST 66 LLC</x:v>
      </x:c>
      <x:c r="F1198" t="str">
        <x:v>Address-corroborated active match</x:v>
      </x:c>
      <x:c r="G1198" t="n">
        <x:v>1</x:v>
      </x:c>
      <x:c r="H1198" t="n">
        <x:v>2</x:v>
      </x:c>
      <x:c r="I1198" t="str">
        <x:v>5247444</x:v>
      </x:c>
      <x:c r="J1198" t="str">
        <x:v>2503 E 19 ST 66 LLC</x:v>
      </x:c>
      <x:c r="K1198" s="55" t="n">
        <x:v>43077</x:v>
      </x:c>
      <x:c r="L1198" t="str">
        <x:v>Kings</x:v>
      </x:c>
      <x:c r="M1198" t="str">
        <x:v>New York</x:v>
      </x:c>
      <x:c r="N1198" t="str">
        <x:v>DOMESTIC LIMITED LIABILITY COMPANY</x:v>
      </x:c>
      <x:c r="O1198" t="str">
        <x:v>2503 E 19 ST 66 LLC</x:v>
      </x:c>
      <x:c r="P1198" t="str">
        <x:v>132 PARKVILLE AVE, BROOKLYN, NY, 11230</x:v>
      </x:c>
      <x:c r="Q1198" t="str"/>
      <x:c r="R1198" t="str"/>
      <x:c r="S1198" t="str"/>
      <x:c r="T1198" t="str"/>
      <x:c r="U1198" t="str"/>
      <x:c r="V1198" t="str"/>
      <x:c r="W1198" t="str"/>
      <x:c r="X1198" t="str"/>
      <x:c r="Y1198" t="str">
        <x:v>https://data.ny.gov/Economic-Development/Active-Corporations-Beginning-1800/n9v6-gdp6</x:v>
      </x:c>
    </x:row>
    <x:row r="1199">
      <x:c r="A1199" t="str">
        <x:v>DOS-5-100</x:v>
      </x:c>
      <x:c r="B1199" t="n">
        <x:v>5</x:v>
      </x:c>
      <x:c r="C1199" t="str">
        <x:v>132 PARKVILLE AVENUE, BROOKLYN, NY, 11230, US</x:v>
      </x:c>
      <x:c r="D1199" t="str">
        <x:v>2752 REALTY LLC</x:v>
      </x:c>
      <x:c r="E1199" t="str">
        <x:v>2752 REALTY LLC</x:v>
      </x:c>
      <x:c r="F1199" t="str">
        <x:v>Address-corroborated active match</x:v>
      </x:c>
      <x:c r="G1199" t="n">
        <x:v>1</x:v>
      </x:c>
      <x:c r="H1199" t="n">
        <x:v>2</x:v>
      </x:c>
      <x:c r="I1199" t="str">
        <x:v>5082046</x:v>
      </x:c>
      <x:c r="J1199" t="str">
        <x:v>2752 REALTY LLC</x:v>
      </x:c>
      <x:c r="K1199" s="55" t="n">
        <x:v>42774</x:v>
      </x:c>
      <x:c r="L1199" t="str">
        <x:v>Kings</x:v>
      </x:c>
      <x:c r="M1199" t="str">
        <x:v>New York</x:v>
      </x:c>
      <x:c r="N1199" t="str">
        <x:v>DOMESTIC LIMITED LIABILITY COMPANY</x:v>
      </x:c>
      <x:c r="O1199" t="str">
        <x:v>2752 REALTY LLC</x:v>
      </x:c>
      <x:c r="P1199" t="str">
        <x:v>132 PARKVILLE AVE, BROOKLYN, NY, 11230</x:v>
      </x:c>
      <x:c r="Q1199" t="str"/>
      <x:c r="R1199" t="str"/>
      <x:c r="S1199" t="str"/>
      <x:c r="T1199" t="str"/>
      <x:c r="U1199" t="str"/>
      <x:c r="V1199" t="str"/>
      <x:c r="W1199" t="str"/>
      <x:c r="X1199" t="str"/>
      <x:c r="Y1199" t="str">
        <x:v>https://data.ny.gov/Economic-Development/Active-Corporations-Beginning-1800/n9v6-gdp6</x:v>
      </x:c>
    </x:row>
    <x:row r="1200">
      <x:c r="A1200" t="str">
        <x:v>DOS-5-100</x:v>
      </x:c>
      <x:c r="B1200" t="n">
        <x:v>5</x:v>
      </x:c>
      <x:c r="C1200" t="str">
        <x:v>132 PARKVILLE AVENUE, BROOKLYN, NY, 11230, US</x:v>
      </x:c>
      <x:c r="D1200" t="str">
        <x:v>2803 WEST 20TH LLC</x:v>
      </x:c>
      <x:c r="E1200" t="str">
        <x:v>2803 WEST 20TH LLC</x:v>
      </x:c>
      <x:c r="F1200" t="str">
        <x:v>Address-corroborated active match</x:v>
      </x:c>
      <x:c r="G1200" t="n">
        <x:v>1</x:v>
      </x:c>
      <x:c r="H1200" t="n">
        <x:v>2</x:v>
      </x:c>
      <x:c r="I1200" t="str">
        <x:v>4979801</x:v>
      </x:c>
      <x:c r="J1200" t="str">
        <x:v>2803 WEST 20TH LLC</x:v>
      </x:c>
      <x:c r="K1200" s="55" t="n">
        <x:v>42570</x:v>
      </x:c>
      <x:c r="L1200" t="str">
        <x:v>Kings</x:v>
      </x:c>
      <x:c r="M1200" t="str">
        <x:v>New York</x:v>
      </x:c>
      <x:c r="N1200" t="str">
        <x:v>DOMESTIC LIMITED LIABILITY COMPANY</x:v>
      </x:c>
      <x:c r="O1200" t="str">
        <x:v>2803 WEST 20TH LLC</x:v>
      </x:c>
      <x:c r="P1200" t="str">
        <x:v>132 PARKVILLE AVE, BROOKLYN, NY, 11230</x:v>
      </x:c>
      <x:c r="Q1200" t="str"/>
      <x:c r="R1200" t="str"/>
      <x:c r="S1200" t="str"/>
      <x:c r="T1200" t="str"/>
      <x:c r="U1200" t="str"/>
      <x:c r="V1200" t="str"/>
      <x:c r="W1200" t="str"/>
      <x:c r="X1200" t="str"/>
      <x:c r="Y1200" t="str">
        <x:v>https://data.ny.gov/Economic-Development/Active-Corporations-Beginning-1800/n9v6-gdp6</x:v>
      </x:c>
    </x:row>
    <x:row r="1201">
      <x:c r="A1201" t="str">
        <x:v>DOS-5-100</x:v>
      </x:c>
      <x:c r="B1201" t="n">
        <x:v>5</x:v>
      </x:c>
      <x:c r="C1201" t="str">
        <x:v>132 PARKVILLE AVENUE, BROOKLYN, NY, 11230, US</x:v>
      </x:c>
      <x:c r="D1201" t="str">
        <x:v>2869 WEST 17 PARTHNERS REALTY LLC</x:v>
      </x:c>
      <x:c r="E1201" t="str">
        <x:v>2869 WEST 17 PARTHNERS REALTY LLC</x:v>
      </x:c>
      <x:c r="F1201" t="str">
        <x:v>Address-corroborated active match</x:v>
      </x:c>
      <x:c r="G1201" t="n">
        <x:v>1</x:v>
      </x:c>
      <x:c r="H1201" t="n">
        <x:v>2</x:v>
      </x:c>
      <x:c r="I1201" t="str">
        <x:v>7071653</x:v>
      </x:c>
      <x:c r="J1201" t="str">
        <x:v>2869 WEST 17 PARTHNERS REALTY LLC</x:v>
      </x:c>
      <x:c r="K1201" s="55" t="n">
        <x:v>45174</x:v>
      </x:c>
      <x:c r="L1201" t="str">
        <x:v>New York</x:v>
      </x:c>
      <x:c r="M1201" t="str">
        <x:v>New York</x:v>
      </x:c>
      <x:c r="N1201" t="str">
        <x:v>DOMESTIC LIMITED LIABILITY COMPANY</x:v>
      </x:c>
      <x:c r="O1201" t="str">
        <x:v>Mikhail Leviev</x:v>
      </x:c>
      <x:c r="P1201" t="str">
        <x:v>132 Parkville ave, Brooklyn, NY, 11230</x:v>
      </x:c>
      <x:c r="Q1201" t="str"/>
      <x:c r="R1201" t="str"/>
      <x:c r="S1201" t="str"/>
      <x:c r="T1201" t="str"/>
      <x:c r="U1201" t="str"/>
      <x:c r="V1201" t="str"/>
      <x:c r="W1201" t="str"/>
      <x:c r="X1201" t="str"/>
      <x:c r="Y1201" t="str">
        <x:v>https://data.ny.gov/Economic-Development/Active-Corporations-Beginning-1800/n9v6-gdp6</x:v>
      </x:c>
    </x:row>
    <x:row r="1202">
      <x:c r="A1202" t="str">
        <x:v>DOS-6-001</x:v>
      </x:c>
      <x:c r="B1202" t="n">
        <x:v>6</x:v>
      </x:c>
      <x:c r="C1202" t="str">
        <x:v>1660 49TH STREET, BROOKLYN, NY, 11204, US</x:v>
      </x:c>
      <x:c r="D1202" t="str">
        <x:v>1528 45TH 2ND FLOOR LLC</x:v>
      </x:c>
      <x:c r="E1202" t="str">
        <x:v>1528 45TH 2ND FLOOR LLC</x:v>
      </x:c>
      <x:c r="F1202" t="str">
        <x:v>Address-corroborated active match</x:v>
      </x:c>
      <x:c r="G1202" t="n">
        <x:v>1</x:v>
      </x:c>
      <x:c r="H1202" t="n">
        <x:v>2</x:v>
      </x:c>
      <x:c r="I1202" t="str">
        <x:v>7676301</x:v>
      </x:c>
      <x:c r="J1202" t="str">
        <x:v>1528 45TH 2ND FLOOR LLC</x:v>
      </x:c>
      <x:c r="K1202" s="55" t="n">
        <x:v>45873</x:v>
      </x:c>
      <x:c r="L1202" t="str">
        <x:v>Rockland</x:v>
      </x:c>
      <x:c r="M1202" t="str">
        <x:v>New York</x:v>
      </x:c>
      <x:c r="N1202" t="str">
        <x:v>DOMESTIC LIMITED LIABILITY COMPANY</x:v>
      </x:c>
      <x:c r="O1202" t="str">
        <x:v>1528 45TH 2ND FLOOR LLC</x:v>
      </x:c>
      <x:c r="P1202" t="str">
        <x:v>1660 49TH STREET, BROOKLYN, NY, 11204</x:v>
      </x:c>
      <x:c r="Q1202" t="str"/>
      <x:c r="R1202" t="str"/>
      <x:c r="S1202" t="str"/>
      <x:c r="T1202" t="str"/>
      <x:c r="U1202" t="str"/>
      <x:c r="V1202" t="str"/>
      <x:c r="W1202" t="str"/>
      <x:c r="X1202" t="str"/>
      <x:c r="Y1202" t="str">
        <x:v>https://data.ny.gov/Economic-Development/Active-Corporations-Beginning-1800/n9v6-gdp6</x:v>
      </x:c>
    </x:row>
    <x:row r="1203">
      <x:c r="A1203" t="str">
        <x:v>DOS-6-001</x:v>
      </x:c>
      <x:c r="B1203" t="n">
        <x:v>6</x:v>
      </x:c>
      <x:c r="C1203" t="str">
        <x:v>1660 49TH STREET, BROOKLYN, NY, 11204, US</x:v>
      </x:c>
      <x:c r="D1203" t="str">
        <x:v>DS CAPITAL ASSOCIATES LLC</x:v>
      </x:c>
      <x:c r="E1203" t="str">
        <x:v>DS CAPITAL ASSOCIATES LLC</x:v>
      </x:c>
      <x:c r="F1203" t="str">
        <x:v>Active name match</x:v>
      </x:c>
      <x:c r="G1203" t="n">
        <x:v>1</x:v>
      </x:c>
      <x:c r="H1203" t="n">
        <x:v>1</x:v>
      </x:c>
      <x:c r="I1203" t="str">
        <x:v>6280006</x:v>
      </x:c>
      <x:c r="J1203" t="str">
        <x:v>DS CAPITAL ASSOCIATES LLC</x:v>
      </x:c>
      <x:c r="K1203" s="55" t="n">
        <x:v>44453</x:v>
      </x:c>
      <x:c r="L1203" t="str">
        <x:v>Kings</x:v>
      </x:c>
      <x:c r="M1203" t="str">
        <x:v>New York</x:v>
      </x:c>
      <x:c r="N1203" t="str">
        <x:v>DOMESTIC LIMITED LIABILITY COMPANY</x:v>
      </x:c>
      <x:c r="O1203" t="str">
        <x:v>DS CAPITAL ASSOCIATES LLC</x:v>
      </x:c>
      <x:c r="P1203" t="str">
        <x:v>PO BOX 040308, PARKVILLE STATION, BROOKLYN, NY, 11204</x:v>
      </x:c>
      <x:c r="Q1203" t="str"/>
      <x:c r="R1203" t="str"/>
      <x:c r="S1203" t="str"/>
      <x:c r="T1203" t="str"/>
      <x:c r="U1203" t="str"/>
      <x:c r="V1203" t="str"/>
      <x:c r="W1203" t="str"/>
      <x:c r="X1203" t="str"/>
      <x:c r="Y1203" t="str">
        <x:v>https://data.ny.gov/Economic-Development/Active-Corporations-Beginning-1800/n9v6-gdp6</x:v>
      </x:c>
    </x:row>
    <x:row r="1204">
      <x:c r="A1204" t="str">
        <x:v>DOS-6-001</x:v>
      </x:c>
      <x:c r="B1204" t="n">
        <x:v>6</x:v>
      </x:c>
      <x:c r="C1204" t="str">
        <x:v>1660 49TH STREET, BROOKLYN, NY, 11204, US</x:v>
      </x:c>
      <x:c r="D1204" t="str">
        <x:v>MEADOWWOOD TOWERS II LLC</x:v>
      </x:c>
      <x:c r="E1204" t="str">
        <x:v>MEADOWWOOD TOWERS II LLC</x:v>
      </x:c>
      <x:c r="F1204" t="str">
        <x:v>Active name match</x:v>
      </x:c>
      <x:c r="G1204" t="n">
        <x:v>1</x:v>
      </x:c>
      <x:c r="H1204" t="n">
        <x:v>1</x:v>
      </x:c>
      <x:c r="I1204" t="str">
        <x:v>6329689</x:v>
      </x:c>
      <x:c r="J1204" t="str">
        <x:v>MEADOWWOOD TOWERS II LLC</x:v>
      </x:c>
      <x:c r="K1204" s="55" t="n">
        <x:v>44517</x:v>
      </x:c>
      <x:c r="L1204" t="str">
        <x:v>Kings</x:v>
      </x:c>
      <x:c r="M1204" t="str">
        <x:v>New York</x:v>
      </x:c>
      <x:c r="N1204" t="str">
        <x:v>DOMESTIC LIMITED LIABILITY COMPANY</x:v>
      </x:c>
      <x:c r="O1204" t="str">
        <x:v>THE LIMITED LIABILITY COMPANY</x:v>
      </x:c>
      <x:c r="P1204" t="str">
        <x:v>POB 040308, Parkville Station, Brooklyn, NY, 11204</x:v>
      </x:c>
      <x:c r="Q1204" t="str"/>
      <x:c r="R1204" t="str"/>
      <x:c r="S1204" t="str"/>
      <x:c r="T1204" t="str"/>
      <x:c r="U1204" t="str"/>
      <x:c r="V1204" t="str"/>
      <x:c r="W1204" t="str"/>
      <x:c r="X1204" t="str"/>
      <x:c r="Y1204" t="str">
        <x:v>https://data.ny.gov/Economic-Development/Active-Corporations-Beginning-1800/n9v6-gdp6</x:v>
      </x:c>
    </x:row>
    <x:row r="1205">
      <x:c r="A1205" t="str">
        <x:v>DOS-6-001</x:v>
      </x:c>
      <x:c r="B1205" t="n">
        <x:v>6</x:v>
      </x:c>
      <x:c r="C1205" t="str">
        <x:v>1660 49TH STREET, BROOKLYN, NY, 11204, US</x:v>
      </x:c>
      <x:c r="D1205" t="str">
        <x:v>MEADOWWOOD TOWERS LLC</x:v>
      </x:c>
      <x:c r="E1205" t="str">
        <x:v>MEADOWWOOD TOWERS LLC</x:v>
      </x:c>
      <x:c r="F1205" t="str">
        <x:v>Active name match</x:v>
      </x:c>
      <x:c r="G1205" t="n">
        <x:v>1</x:v>
      </x:c>
      <x:c r="H1205" t="n">
        <x:v>1</x:v>
      </x:c>
      <x:c r="I1205" t="str">
        <x:v>6329686</x:v>
      </x:c>
      <x:c r="J1205" t="str">
        <x:v>MEADOWWOOD TOWERS LLC</x:v>
      </x:c>
      <x:c r="K1205" s="55" t="n">
        <x:v>44517</x:v>
      </x:c>
      <x:c r="L1205" t="str">
        <x:v>Kings</x:v>
      </x:c>
      <x:c r="M1205" t="str">
        <x:v>New York</x:v>
      </x:c>
      <x:c r="N1205" t="str">
        <x:v>DOMESTIC LIMITED LIABILITY COMPANY</x:v>
      </x:c>
      <x:c r="O1205" t="str">
        <x:v>THE LIMITED LIABILITY COMPANY</x:v>
      </x:c>
      <x:c r="P1205" t="str">
        <x:v>POB 040308, Parkville Station, Brooklyn, NY, 11204</x:v>
      </x:c>
      <x:c r="Q1205" t="str"/>
      <x:c r="R1205" t="str"/>
      <x:c r="S1205" t="str"/>
      <x:c r="T1205" t="str"/>
      <x:c r="U1205" t="str"/>
      <x:c r="V1205" t="str"/>
      <x:c r="W1205" t="str"/>
      <x:c r="X1205" t="str"/>
      <x:c r="Y1205" t="str">
        <x:v>https://data.ny.gov/Economic-Development/Active-Corporations-Beginning-1800/n9v6-gdp6</x:v>
      </x:c>
    </x:row>
    <x:row r="1206">
      <x:c r="A1206" t="str">
        <x:v>DOS-6-001</x:v>
      </x:c>
      <x:c r="B1206" t="n">
        <x:v>6</x:v>
      </x:c>
      <x:c r="C1206" t="str">
        <x:v>1660 49TH STREET, BROOKLYN, NY, 11204, US</x:v>
      </x:c>
      <x:c r="D1206" t="str">
        <x:v>SOUNDVIEW EMPIRE LLC</x:v>
      </x:c>
      <x:c r="E1206" t="str">
        <x:v>SOUNDVIEW EMPIRE LLC</x:v>
      </x:c>
      <x:c r="F1206" t="str">
        <x:v>Active name match</x:v>
      </x:c>
      <x:c r="G1206" t="n">
        <x:v>1</x:v>
      </x:c>
      <x:c r="H1206" t="n">
        <x:v>0</x:v>
      </x:c>
      <x:c r="I1206" t="str">
        <x:v>7551908</x:v>
      </x:c>
      <x:c r="J1206" t="str">
        <x:v>SOUNDVIEW EMPIRE LLC</x:v>
      </x:c>
      <x:c r="K1206" s="55" t="n">
        <x:v>45721</x:v>
      </x:c>
      <x:c r="L1206" t="str">
        <x:v>Albany</x:v>
      </x:c>
      <x:c r="M1206" t="str">
        <x:v>New York</x:v>
      </x:c>
      <x:c r="N1206" t="str">
        <x:v>DOMESTIC LIMITED LIABILITY COMPANY</x:v>
      </x:c>
      <x:c r="O1206" t="str">
        <x:v>c/o jeffrey zwick &amp; associates, p.c.</x:v>
      </x:c>
      <x:c r="P1206" t="str">
        <x:v>2329 nostrand avenue, suite 400, BROOKLYN, NY, 11210</x:v>
      </x:c>
      <x:c r="Q1206" t="str"/>
      <x:c r="R1206" t="str"/>
      <x:c r="S1206" t="str"/>
      <x:c r="T1206" t="str"/>
      <x:c r="U1206" t="str"/>
      <x:c r="V1206" t="str"/>
      <x:c r="W1206" t="str"/>
      <x:c r="X1206" t="str"/>
      <x:c r="Y1206" t="str">
        <x:v>https://data.ny.gov/Economic-Development/Active-Corporations-Beginning-1800/n9v6-gdp6</x:v>
      </x:c>
    </x:row>
    <x:row r="1207">
      <x:c r="A1207" t="str">
        <x:v>DOS-6-001</x:v>
      </x:c>
      <x:c r="B1207" t="n">
        <x:v>6</x:v>
      </x:c>
      <x:c r="C1207" t="str">
        <x:v>1660 49TH STREET, BROOKLYN, NY, 11204, US</x:v>
      </x:c>
      <x:c r="D1207" t="str">
        <x:v>SPIGRO LLC</x:v>
      </x:c>
      <x:c r="E1207" t="str">
        <x:v>SPIGRO LLC</x:v>
      </x:c>
      <x:c r="F1207" t="str">
        <x:v>Active name match</x:v>
      </x:c>
      <x:c r="G1207" t="n">
        <x:v>1</x:v>
      </x:c>
      <x:c r="H1207" t="n">
        <x:v>1</x:v>
      </x:c>
      <x:c r="I1207" t="str">
        <x:v>4292439</x:v>
      </x:c>
      <x:c r="J1207" t="str">
        <x:v>SPIGRO LLC</x:v>
      </x:c>
      <x:c r="K1207" s="55" t="n">
        <x:v>41158</x:v>
      </x:c>
      <x:c r="L1207" t="str">
        <x:v>Kings</x:v>
      </x:c>
      <x:c r="M1207" t="str">
        <x:v>New York</x:v>
      </x:c>
      <x:c r="N1207" t="str">
        <x:v>DOMESTIC LIMITED LIABILITY COMPANY</x:v>
      </x:c>
      <x:c r="O1207" t="str">
        <x:v>SPIGRO LLC</x:v>
      </x:c>
      <x:c r="P1207" t="str">
        <x:v>PO BOX 040308, PARKVILLE STATION, BROOKLYN, NY, 11204</x:v>
      </x:c>
      <x:c r="Q1207" t="str"/>
      <x:c r="R1207" t="str"/>
      <x:c r="S1207" t="str"/>
      <x:c r="T1207" t="str"/>
      <x:c r="U1207" t="str"/>
      <x:c r="V1207" t="str"/>
      <x:c r="W1207" t="str"/>
      <x:c r="X1207" t="str"/>
      <x:c r="Y1207" t="str">
        <x:v>https://data.ny.gov/Economic-Development/Active-Corporations-Beginning-1800/n9v6-gdp6</x:v>
      </x:c>
    </x:row>
    <x:row r="1208">
      <x:c r="A1208" t="str">
        <x:v>DOS-6-002</x:v>
      </x:c>
      <x:c r="B1208" t="n">
        <x:v>6</x:v>
      </x:c>
      <x:c r="C1208" t="str">
        <x:v>92 EMERSON PLACE, BROOKLYN, NY, 11205, US</x:v>
      </x:c>
      <x:c r="D1208" t="str">
        <x:v>33 WALTON HOLDINGS LLC</x:v>
      </x:c>
      <x:c r="E1208" t="str">
        <x:v>33 WALTON HOLDINGS LLC</x:v>
      </x:c>
      <x:c r="F1208" t="str">
        <x:v>Address-corroborated active match</x:v>
      </x:c>
      <x:c r="G1208" t="n">
        <x:v>1</x:v>
      </x:c>
      <x:c r="H1208" t="n">
        <x:v>2</x:v>
      </x:c>
      <x:c r="I1208" t="str">
        <x:v>7477521</x:v>
      </x:c>
      <x:c r="J1208" t="str">
        <x:v>33 WALTON HOLDINGS LLC</x:v>
      </x:c>
      <x:c r="K1208" s="55" t="n">
        <x:v>45629</x:v>
      </x:c>
      <x:c r="L1208" t="str">
        <x:v>Kings</x:v>
      </x:c>
      <x:c r="M1208" t="str">
        <x:v>New York</x:v>
      </x:c>
      <x:c r="N1208" t="str">
        <x:v>DOMESTIC LIMITED LIABILITY COMPANY</x:v>
      </x:c>
      <x:c r="O1208" t="str">
        <x:v>S Gluck</x:v>
      </x:c>
      <x:c r="P1208" t="str">
        <x:v>92 Emerson Pl, Brooklyn, NY, 11205</x:v>
      </x:c>
      <x:c r="Q1208" t="str"/>
      <x:c r="R1208" t="str"/>
      <x:c r="S1208" t="str"/>
      <x:c r="T1208" t="str"/>
      <x:c r="U1208" t="str"/>
      <x:c r="V1208" t="str"/>
      <x:c r="W1208" t="str"/>
      <x:c r="X1208" t="str"/>
      <x:c r="Y1208" t="str">
        <x:v>https://data.ny.gov/Economic-Development/Active-Corporations-Beginning-1800/n9v6-gdp6</x:v>
      </x:c>
    </x:row>
    <x:row r="1209">
      <x:c r="A1209" t="str">
        <x:v>DOS-6-002</x:v>
      </x:c>
      <x:c r="B1209" t="n">
        <x:v>6</x:v>
      </x:c>
      <x:c r="C1209" t="str">
        <x:v>92 EMERSON PLACE, BROOKLYN, NY, 11205, US</x:v>
      </x:c>
      <x:c r="D1209" t="str">
        <x:v>58 3A LLC</x:v>
      </x:c>
      <x:c r="E1209" t="str">
        <x:v>58 3A LLC</x:v>
      </x:c>
      <x:c r="F1209" t="str">
        <x:v>Address-corroborated active match</x:v>
      </x:c>
      <x:c r="G1209" t="n">
        <x:v>1</x:v>
      </x:c>
      <x:c r="H1209" t="n">
        <x:v>2</x:v>
      </x:c>
      <x:c r="I1209" t="str">
        <x:v>7218442</x:v>
      </x:c>
      <x:c r="J1209" t="str">
        <x:v>58 3A LLC</x:v>
      </x:c>
      <x:c r="K1209" s="55" t="n">
        <x:v>45294</x:v>
      </x:c>
      <x:c r="L1209" t="str">
        <x:v>Albany</x:v>
      </x:c>
      <x:c r="M1209" t="str">
        <x:v>New York</x:v>
      </x:c>
      <x:c r="N1209" t="str">
        <x:v>DOMESTIC LIMITED LIABILITY COMPANY</x:v>
      </x:c>
      <x:c r="O1209" t="str">
        <x:v>Signature Acquisitions</x:v>
      </x:c>
      <x:c r="P1209" t="str">
        <x:v>92 Emerson Pl, Brooklyn, NY, 11205</x:v>
      </x:c>
      <x:c r="Q1209" t="str"/>
      <x:c r="R1209" t="str"/>
      <x:c r="S1209" t="str"/>
      <x:c r="T1209" t="str"/>
      <x:c r="U1209" t="str"/>
      <x:c r="V1209" t="str"/>
      <x:c r="W1209" t="str"/>
      <x:c r="X1209" t="str"/>
      <x:c r="Y1209" t="str">
        <x:v>https://data.ny.gov/Economic-Development/Active-Corporations-Beginning-1800/n9v6-gdp6</x:v>
      </x:c>
    </x:row>
    <x:row r="1210">
      <x:c r="A1210" t="str">
        <x:v>DOS-6-002</x:v>
      </x:c>
      <x:c r="B1210" t="n">
        <x:v>6</x:v>
      </x:c>
      <x:c r="C1210" t="str">
        <x:v>92 EMERSON PLACE, BROOKLYN, NY, 11205, US</x:v>
      </x:c>
      <x:c r="D1210" t="str">
        <x:v>MARCY EE LLC</x:v>
      </x:c>
      <x:c r="E1210" t="str">
        <x:v>MARCY EE LLC</x:v>
      </x:c>
      <x:c r="F1210" t="str">
        <x:v>Address-corroborated active match</x:v>
      </x:c>
      <x:c r="G1210" t="n">
        <x:v>1</x:v>
      </x:c>
      <x:c r="H1210" t="n">
        <x:v>2</x:v>
      </x:c>
      <x:c r="I1210" t="str">
        <x:v>6666543</x:v>
      </x:c>
      <x:c r="J1210" t="str">
        <x:v>MARCY EE LLC</x:v>
      </x:c>
      <x:c r="K1210" s="55" t="n">
        <x:v>44907</x:v>
      </x:c>
      <x:c r="L1210" t="str">
        <x:v>Albany</x:v>
      </x:c>
      <x:c r="M1210" t="str">
        <x:v>New York</x:v>
      </x:c>
      <x:c r="N1210" t="str">
        <x:v>DOMESTIC LIMITED LIABILITY COMPANY</x:v>
      </x:c>
      <x:c r="O1210" t="str">
        <x:v>SIGNATURE ACQ</x:v>
      </x:c>
      <x:c r="P1210" t="str">
        <x:v>92 Emerson PL, BROOKLYN, NY, 11205</x:v>
      </x:c>
      <x:c r="Q1210" t="str"/>
      <x:c r="R1210" t="str"/>
      <x:c r="S1210" t="str"/>
      <x:c r="T1210" t="str"/>
      <x:c r="U1210" t="str"/>
      <x:c r="V1210" t="str"/>
      <x:c r="W1210" t="str"/>
      <x:c r="X1210" t="str"/>
      <x:c r="Y1210" t="str">
        <x:v>https://data.ny.gov/Economic-Development/Active-Corporations-Beginning-1800/n9v6-gdp6</x:v>
      </x:c>
    </x:row>
    <x:row r="1211">
      <x:c r="A1211" t="str">
        <x:v>DOS-6-002</x:v>
      </x:c>
      <x:c r="B1211" t="n">
        <x:v>6</x:v>
      </x:c>
      <x:c r="C1211" t="str">
        <x:v>92 EMERSON PLACE, BROOKLYN, NY, 11205, US</x:v>
      </x:c>
      <x:c r="D1211" t="str">
        <x:v>SIG 305 LLC</x:v>
      </x:c>
      <x:c r="E1211" t="str">
        <x:v>SIG 305 LLC</x:v>
      </x:c>
      <x:c r="F1211" t="str">
        <x:v>Address-corroborated active match</x:v>
      </x:c>
      <x:c r="G1211" t="n">
        <x:v>1</x:v>
      </x:c>
      <x:c r="H1211" t="n">
        <x:v>2</x:v>
      </x:c>
      <x:c r="I1211" t="str">
        <x:v>7826848</x:v>
      </x:c>
      <x:c r="J1211" t="str">
        <x:v>SIG 305 LLC</x:v>
      </x:c>
      <x:c r="K1211" s="55" t="n">
        <x:v>46058</x:v>
      </x:c>
      <x:c r="L1211" t="str">
        <x:v>Albany</x:v>
      </x:c>
      <x:c r="M1211" t="str">
        <x:v>New York</x:v>
      </x:c>
      <x:c r="N1211" t="str">
        <x:v>DOMESTIC LIMITED LIABILITY COMPANY</x:v>
      </x:c>
      <x:c r="O1211" t="str">
        <x:v>S Gluck</x:v>
      </x:c>
      <x:c r="P1211" t="str">
        <x:v>92 Emerson Pl, Brooklyn, NY, 11205</x:v>
      </x:c>
      <x:c r="Q1211" t="str"/>
      <x:c r="R1211" t="str"/>
      <x:c r="S1211" t="str"/>
      <x:c r="T1211" t="str"/>
      <x:c r="U1211" t="str"/>
      <x:c r="V1211" t="str"/>
      <x:c r="W1211" t="str"/>
      <x:c r="X1211" t="str"/>
      <x:c r="Y1211" t="str">
        <x:v>https://data.ny.gov/Economic-Development/Active-Corporations-Beginning-1800/n9v6-gdp6</x:v>
      </x:c>
    </x:row>
    <x:row r="1212">
      <x:c r="A1212" t="str">
        <x:v>DOS-6-002</x:v>
      </x:c>
      <x:c r="B1212" t="n">
        <x:v>6</x:v>
      </x:c>
      <x:c r="C1212" t="str">
        <x:v>92 EMERSON PLACE, BROOKLYN, NY, 11205, US</x:v>
      </x:c>
      <x:c r="D1212" t="str">
        <x:v>SIG CF LLC</x:v>
      </x:c>
      <x:c r="E1212" t="str">
        <x:v>SIG CF LLC</x:v>
      </x:c>
      <x:c r="F1212" t="str">
        <x:v>Address-corroborated active match</x:v>
      </x:c>
      <x:c r="G1212" t="n">
        <x:v>1</x:v>
      </x:c>
      <x:c r="H1212" t="n">
        <x:v>2</x:v>
      </x:c>
      <x:c r="I1212" t="str">
        <x:v>6763894</x:v>
      </x:c>
      <x:c r="J1212" t="str">
        <x:v>SIG CF LLC</x:v>
      </x:c>
      <x:c r="K1212" s="55" t="n">
        <x:v>44999</x:v>
      </x:c>
      <x:c r="L1212" t="str">
        <x:v>Albany</x:v>
      </x:c>
      <x:c r="M1212" t="str">
        <x:v>New York</x:v>
      </x:c>
      <x:c r="N1212" t="str">
        <x:v>DOMESTIC LIMITED LIABILITY COMPANY</x:v>
      </x:c>
      <x:c r="O1212" t="str">
        <x:v>Signature Acquisitions LLC</x:v>
      </x:c>
      <x:c r="P1212" t="str">
        <x:v>92 Emerson PL, Brooklyn, NY, 11205</x:v>
      </x:c>
      <x:c r="Q1212" t="str"/>
      <x:c r="R1212" t="str"/>
      <x:c r="S1212" t="str"/>
      <x:c r="T1212" t="str"/>
      <x:c r="U1212" t="str"/>
      <x:c r="V1212" t="str"/>
      <x:c r="W1212" t="str"/>
      <x:c r="X1212" t="str"/>
      <x:c r="Y1212" t="str">
        <x:v>https://data.ny.gov/Economic-Development/Active-Corporations-Beginning-1800/n9v6-gdp6</x:v>
      </x:c>
    </x:row>
    <x:row r="1213">
      <x:c r="A1213" t="str">
        <x:v>DOS-6-002</x:v>
      </x:c>
      <x:c r="B1213" t="n">
        <x:v>6</x:v>
      </x:c>
      <x:c r="C1213" t="str">
        <x:v>92 EMERSON PLACE, BROOKLYN, NY, 11205, US</x:v>
      </x:c>
      <x:c r="D1213" t="str">
        <x:v>THE CASCADE MALL LLC</x:v>
      </x:c>
      <x:c r="E1213" t="str">
        <x:v>THE CASCADE MALL LLC</x:v>
      </x:c>
      <x:c r="F1213" t="str">
        <x:v>Address-corroborated active match</x:v>
      </x:c>
      <x:c r="G1213" t="n">
        <x:v>1</x:v>
      </x:c>
      <x:c r="H1213" t="n">
        <x:v>2</x:v>
      </x:c>
      <x:c r="I1213" t="str">
        <x:v>6266294</x:v>
      </x:c>
      <x:c r="J1213" t="str">
        <x:v>THE CASCADE MALL LLC</x:v>
      </x:c>
      <x:c r="K1213" s="55" t="n">
        <x:v>44433</x:v>
      </x:c>
      <x:c r="L1213" t="str">
        <x:v>Albany</x:v>
      </x:c>
      <x:c r="M1213" t="str">
        <x:v>New York</x:v>
      </x:c>
      <x:c r="N1213" t="str">
        <x:v>DOMESTIC LIMITED LIABILITY COMPANY</x:v>
      </x:c>
      <x:c r="O1213" t="str">
        <x:v>SIGNATURE ACQUISITIONS LLC</x:v>
      </x:c>
      <x:c r="P1213" t="str">
        <x:v>92 EMERSON PL, BROOKLYN, NY, 11205</x:v>
      </x:c>
      <x:c r="Q1213" t="str"/>
      <x:c r="R1213" t="str"/>
      <x:c r="S1213" t="str"/>
      <x:c r="T1213" t="str"/>
      <x:c r="U1213" t="str"/>
      <x:c r="V1213" t="str"/>
      <x:c r="W1213" t="str"/>
      <x:c r="X1213" t="str"/>
      <x:c r="Y1213" t="str">
        <x:v>https://data.ny.gov/Economic-Development/Active-Corporations-Beginning-1800/n9v6-gdp6</x:v>
      </x:c>
    </x:row>
    <x:row r="1214">
      <x:c r="A1214" t="str">
        <x:v>DOS-6-003</x:v>
      </x:c>
      <x:c r="B1214" t="n">
        <x:v>6</x:v>
      </x:c>
      <x:c r="C1214" t="str">
        <x:v>5312 NEW UTRECHT AVENUE, BROOKLYN, NY, 11219, US | 5312 NEW UTRECHT AVENUE,, BROOKLYN, NY, 11219, US</x:v>
      </x:c>
      <x:c r="D1214" t="str">
        <x:v>2151 55 LLC</x:v>
      </x:c>
      <x:c r="E1214" t="str">
        <x:v>2151-55 LLC</x:v>
      </x:c>
      <x:c r="F1214" t="str">
        <x:v>Address-corroborated active match</x:v>
      </x:c>
      <x:c r="G1214" t="n">
        <x:v>1</x:v>
      </x:c>
      <x:c r="H1214" t="n">
        <x:v>2</x:v>
      </x:c>
      <x:c r="I1214" t="str">
        <x:v>7329160</x:v>
      </x:c>
      <x:c r="J1214" t="str">
        <x:v>2151-55 LLC</x:v>
      </x:c>
      <x:c r="K1214" s="55" t="n">
        <x:v>45427</x:v>
      </x:c>
      <x:c r="L1214" t="str">
        <x:v>Kings</x:v>
      </x:c>
      <x:c r="M1214" t="str">
        <x:v>New York</x:v>
      </x:c>
      <x:c r="N1214" t="str">
        <x:v>DOMESTIC LIMITED LIABILITY COMPANY</x:v>
      </x:c>
      <x:c r="O1214" t="str">
        <x:v>THE LIMITED LIABILITY COMPANY</x:v>
      </x:c>
      <x:c r="P1214" t="str">
        <x:v>5312 New Utrecht Avenue, Brooklyn, NY, 11219</x:v>
      </x:c>
      <x:c r="Q1214" t="str"/>
      <x:c r="R1214" t="str"/>
      <x:c r="S1214" t="str"/>
      <x:c r="T1214" t="str"/>
      <x:c r="U1214" t="str"/>
      <x:c r="V1214" t="str"/>
      <x:c r="W1214" t="str"/>
      <x:c r="X1214" t="str"/>
      <x:c r="Y1214" t="str">
        <x:v>https://data.ny.gov/Economic-Development/Active-Corporations-Beginning-1800/n9v6-gdp6</x:v>
      </x:c>
    </x:row>
    <x:row r="1215">
      <x:c r="A1215" t="str">
        <x:v>DOS-6-003</x:v>
      </x:c>
      <x:c r="B1215" t="n">
        <x:v>6</x:v>
      </x:c>
      <x:c r="C1215" t="str">
        <x:v>5312 NEW UTRECHT AVENUE, BROOKLYN, NY, 11219, US | 5312 NEW UTRECHT AVENUE,, BROOKLYN, NY, 11219, US</x:v>
      </x:c>
      <x:c r="D1215" t="str">
        <x:v>716 REALTY LLC</x:v>
      </x:c>
      <x:c r="E1215" t="str">
        <x:v>716 REALTY, LLC</x:v>
      </x:c>
      <x:c r="F1215" t="str">
        <x:v>Address-corroborated active match</x:v>
      </x:c>
      <x:c r="G1215" t="n">
        <x:v>1</x:v>
      </x:c>
      <x:c r="H1215" t="n">
        <x:v>2</x:v>
      </x:c>
      <x:c r="I1215" t="str">
        <x:v>3716748</x:v>
      </x:c>
      <x:c r="J1215" t="str">
        <x:v>716 REALTY LLC</x:v>
      </x:c>
      <x:c r="K1215" s="55" t="n">
        <x:v>39696</x:v>
      </x:c>
      <x:c r="L1215" t="str">
        <x:v>Kings</x:v>
      </x:c>
      <x:c r="M1215" t="str">
        <x:v>New York</x:v>
      </x:c>
      <x:c r="N1215" t="str">
        <x:v>DOMESTIC LIMITED LIABILITY COMPANY</x:v>
      </x:c>
      <x:c r="O1215" t="str">
        <x:v>716 REALTY LLC</x:v>
      </x:c>
      <x:c r="P1215" t="str">
        <x:v>5312 NEW UTRECHT AVENUE, BROOKLYN, NY, 11219</x:v>
      </x:c>
      <x:c r="Q1215" t="str"/>
      <x:c r="R1215" t="str"/>
      <x:c r="S1215" t="str"/>
      <x:c r="T1215" t="str"/>
      <x:c r="U1215" t="str"/>
      <x:c r="V1215" t="str"/>
      <x:c r="W1215" t="str"/>
      <x:c r="X1215" t="str"/>
      <x:c r="Y1215" t="str">
        <x:v>https://data.ny.gov/Economic-Development/Active-Corporations-Beginning-1800/n9v6-gdp6</x:v>
      </x:c>
    </x:row>
    <x:row r="1216">
      <x:c r="A1216" t="str">
        <x:v>DOS-6-003</x:v>
      </x:c>
      <x:c r="B1216" t="n">
        <x:v>6</x:v>
      </x:c>
      <x:c r="C1216" t="str">
        <x:v>5312 NEW UTRECHT AVENUE, BROOKLYN, NY, 11219, US | 5312 NEW UTRECHT AVENUE,, BROOKLYN, NY, 11219, US</x:v>
      </x:c>
      <x:c r="D1216" t="str">
        <x:v>8415 REALTY LLC</x:v>
      </x:c>
      <x:c r="E1216" t="str">
        <x:v>8415 REALTY LLC</x:v>
      </x:c>
      <x:c r="F1216" t="str">
        <x:v>Address-corroborated active match</x:v>
      </x:c>
      <x:c r="G1216" t="n">
        <x:v>1</x:v>
      </x:c>
      <x:c r="H1216" t="n">
        <x:v>2</x:v>
      </x:c>
      <x:c r="I1216" t="str">
        <x:v>3184379</x:v>
      </x:c>
      <x:c r="J1216" t="str">
        <x:v>8415 REALTY LLC</x:v>
      </x:c>
      <x:c r="K1216" s="55" t="n">
        <x:v>38441</x:v>
      </x:c>
      <x:c r="L1216" t="str">
        <x:v>Kings</x:v>
      </x:c>
      <x:c r="M1216" t="str">
        <x:v>New York</x:v>
      </x:c>
      <x:c r="N1216" t="str">
        <x:v>DOMESTIC LIMITED LIABILITY COMPANY</x:v>
      </x:c>
      <x:c r="O1216" t="str">
        <x:v>8415 REALTY LLC</x:v>
      </x:c>
      <x:c r="P1216" t="str">
        <x:v>5312 NEW UTRECHT AVENUE, BROOKLYN, NY, 11219</x:v>
      </x:c>
      <x:c r="Q1216" t="str"/>
      <x:c r="R1216" t="str"/>
      <x:c r="S1216" t="str"/>
      <x:c r="T1216" t="str"/>
      <x:c r="U1216" t="str"/>
      <x:c r="V1216" t="str"/>
      <x:c r="W1216" t="str"/>
      <x:c r="X1216" t="str"/>
      <x:c r="Y1216" t="str">
        <x:v>https://data.ny.gov/Economic-Development/Active-Corporations-Beginning-1800/n9v6-gdp6</x:v>
      </x:c>
    </x:row>
    <x:row r="1217">
      <x:c r="A1217" t="str">
        <x:v>DOS-6-003</x:v>
      </x:c>
      <x:c r="B1217" t="n">
        <x:v>6</x:v>
      </x:c>
      <x:c r="C1217" t="str">
        <x:v>5312 NEW UTRECHT AVENUE, BROOKLYN, NY, 11219, US | 5312 NEW UTRECHT AVENUE,, BROOKLYN, NY, 11219, US</x:v>
      </x:c>
      <x:c r="D1217" t="str">
        <x:v>BAY STREET PROPERTIES LLC</x:v>
      </x:c>
      <x:c r="E1217" t="str">
        <x:v>BAY STREET PROPERTIES LLC</x:v>
      </x:c>
      <x:c r="F1217" t="str">
        <x:v>Address-corroborated active match</x:v>
      </x:c>
      <x:c r="G1217" t="n">
        <x:v>1</x:v>
      </x:c>
      <x:c r="H1217" t="n">
        <x:v>2</x:v>
      </x:c>
      <x:c r="I1217" t="str">
        <x:v>4185493</x:v>
      </x:c>
      <x:c r="J1217" t="str">
        <x:v>BAY STREET PROPERTIES LLC</x:v>
      </x:c>
      <x:c r="K1217" s="55" t="n">
        <x:v>40914</x:v>
      </x:c>
      <x:c r="L1217" t="str">
        <x:v>Kings</x:v>
      </x:c>
      <x:c r="M1217" t="str">
        <x:v>New York</x:v>
      </x:c>
      <x:c r="N1217" t="str">
        <x:v>DOMESTIC LIMITED LIABILITY COMPANY</x:v>
      </x:c>
      <x:c r="O1217" t="str">
        <x:v>BAY STREET PROPERTIES LLC</x:v>
      </x:c>
      <x:c r="P1217" t="str">
        <x:v>5312 NEW UTRECHT AVE, BROOKLYN, NY, 11219</x:v>
      </x:c>
      <x:c r="Q1217" t="str"/>
      <x:c r="R1217" t="str"/>
      <x:c r="S1217" t="str"/>
      <x:c r="T1217" t="str"/>
      <x:c r="U1217" t="str"/>
      <x:c r="V1217" t="str"/>
      <x:c r="W1217" t="str"/>
      <x:c r="X1217" t="str"/>
      <x:c r="Y1217" t="str">
        <x:v>https://data.ny.gov/Economic-Development/Active-Corporations-Beginning-1800/n9v6-gdp6</x:v>
      </x:c>
    </x:row>
    <x:row r="1218">
      <x:c r="A1218" t="str">
        <x:v>DOS-6-003</x:v>
      </x:c>
      <x:c r="B1218" t="n">
        <x:v>6</x:v>
      </x:c>
      <x:c r="C1218" t="str">
        <x:v>5312 NEW UTRECHT AVENUE, BROOKLYN, NY, 11219, US | 5312 NEW UTRECHT AVENUE,, BROOKLYN, NY, 11219, US</x:v>
      </x:c>
      <x:c r="D1218" t="str">
        <x:v>CENTURY 19 HOLDINGS LLC</x:v>
      </x:c>
      <x:c r="E1218" t="str">
        <x:v>CENTURY 19 HOLDINGS LLC</x:v>
      </x:c>
      <x:c r="F1218" t="str">
        <x:v>Address-corroborated active match</x:v>
      </x:c>
      <x:c r="G1218" t="n">
        <x:v>1</x:v>
      </x:c>
      <x:c r="H1218" t="n">
        <x:v>2</x:v>
      </x:c>
      <x:c r="I1218" t="str">
        <x:v>4932889</x:v>
      </x:c>
      <x:c r="J1218" t="str">
        <x:v>CENTURY 19 HOLDINGS LLC</x:v>
      </x:c>
      <x:c r="K1218" s="55" t="n">
        <x:v>42479</x:v>
      </x:c>
      <x:c r="L1218" t="str">
        <x:v>Kings</x:v>
      </x:c>
      <x:c r="M1218" t="str">
        <x:v>New York</x:v>
      </x:c>
      <x:c r="N1218" t="str">
        <x:v>DOMESTIC LIMITED LIABILITY COMPANY</x:v>
      </x:c>
      <x:c r="O1218" t="str">
        <x:v>CENTURY 19 HOLDINGS LLC</x:v>
      </x:c>
      <x:c r="P1218" t="str">
        <x:v>5312 NEW UTRECHT AVE, BROOKLYN, NY, 11219</x:v>
      </x:c>
      <x:c r="Q1218" t="str"/>
      <x:c r="R1218" t="str"/>
      <x:c r="S1218" t="str"/>
      <x:c r="T1218" t="str"/>
      <x:c r="U1218" t="str"/>
      <x:c r="V1218" t="str"/>
      <x:c r="W1218" t="str"/>
      <x:c r="X1218" t="str"/>
      <x:c r="Y1218" t="str">
        <x:v>https://data.ny.gov/Economic-Development/Active-Corporations-Beginning-1800/n9v6-gdp6</x:v>
      </x:c>
    </x:row>
    <x:row r="1219">
      <x:c r="A1219" t="str">
        <x:v>DOS-6-003</x:v>
      </x:c>
      <x:c r="B1219" t="n">
        <x:v>6</x:v>
      </x:c>
      <x:c r="C1219" t="str">
        <x:v>5312 NEW UTRECHT AVENUE, BROOKLYN, NY, 11219, US | 5312 NEW UTRECHT AVENUE,, BROOKLYN, NY, 11219, US</x:v>
      </x:c>
      <x:c r="D1219" t="str">
        <x:v>KINGS 2626 HOLDINGS LLC</x:v>
      </x:c>
      <x:c r="E1219" t="str">
        <x:v>KINGS 2626 HOLDINGS LLC</x:v>
      </x:c>
      <x:c r="F1219" t="str">
        <x:v>Address-corroborated active match</x:v>
      </x:c>
      <x:c r="G1219" t="n">
        <x:v>1</x:v>
      </x:c>
      <x:c r="H1219" t="n">
        <x:v>2</x:v>
      </x:c>
      <x:c r="I1219" t="str">
        <x:v>5349833</x:v>
      </x:c>
      <x:c r="J1219" t="str">
        <x:v>KINGS 2626 HOLDINGS LLC</x:v>
      </x:c>
      <x:c r="K1219" s="55" t="n">
        <x:v>43250</x:v>
      </x:c>
      <x:c r="L1219" t="str">
        <x:v>Kings</x:v>
      </x:c>
      <x:c r="M1219" t="str">
        <x:v>New York</x:v>
      </x:c>
      <x:c r="N1219" t="str">
        <x:v>DOMESTIC LIMITED LIABILITY COMPANY</x:v>
      </x:c>
      <x:c r="O1219" t="str">
        <x:v>KINGS 2626 HOLDINGS LLC</x:v>
      </x:c>
      <x:c r="P1219" t="str">
        <x:v>5312 NEW UTRECHT AVENUE, BROOKLYN, NY, 11219</x:v>
      </x:c>
      <x:c r="Q1219" t="str"/>
      <x:c r="R1219" t="str"/>
      <x:c r="S1219" t="str"/>
      <x:c r="T1219" t="str"/>
      <x:c r="U1219" t="str"/>
      <x:c r="V1219" t="str"/>
      <x:c r="W1219" t="str"/>
      <x:c r="X1219" t="str"/>
      <x:c r="Y1219" t="str">
        <x:v>https://data.ny.gov/Economic-Development/Active-Corporations-Beginning-1800/n9v6-gdp6</x:v>
      </x:c>
    </x:row>
    <x:row r="1220">
      <x:c r="A1220" t="str">
        <x:v>DOS-6-004</x:v>
      </x:c>
      <x:c r="B1220" t="n">
        <x:v>6</x:v>
      </x:c>
      <x:c r="C1220" t="str">
        <x:v>12-40 CLINTONVILLE STREET, WHITESTONE, NY, 11357, US</x:v>
      </x:c>
      <x:c r="D1220" t="str">
        <x:v>162ND STREET HOLDINGS LLC</x:v>
      </x:c>
      <x:c r="E1220" t="str">
        <x:v>162ND STREET HOLDINGS LLC</x:v>
      </x:c>
      <x:c r="F1220" t="str">
        <x:v>No active DOS match</x:v>
      </x:c>
      <x:c r="G1220" t="n">
        <x:v>0</x:v>
      </x:c>
      <x:c r="H1220" t="n">
        <x:v>0</x:v>
      </x:c>
      <x:c r="I1220" t="str"/>
      <x:c r="J1220" t="str"/>
      <x:c r="K1220" s="55" t="str"/>
      <x:c r="L1220" t="str"/>
      <x:c r="M1220" t="str"/>
      <x:c r="N1220" t="str"/>
      <x:c r="O1220" t="str"/>
      <x:c r="P1220" t="str"/>
      <x:c r="Q1220" t="str"/>
      <x:c r="R1220" t="str"/>
      <x:c r="S1220" t="str"/>
      <x:c r="T1220" t="str"/>
      <x:c r="U1220" t="str"/>
      <x:c r="V1220" t="str"/>
      <x:c r="W1220" t="str"/>
      <x:c r="X1220" t="str"/>
      <x:c r="Y1220" t="str">
        <x:v>https://data.ny.gov/Economic-Development/Active-Corporations-Beginning-1800/n9v6-gdp6</x:v>
      </x:c>
    </x:row>
    <x:row r="1221">
      <x:c r="A1221" t="str">
        <x:v>DOS-6-004</x:v>
      </x:c>
      <x:c r="B1221" t="n">
        <x:v>6</x:v>
      </x:c>
      <x:c r="C1221" t="str">
        <x:v>12-40 CLINTONVILLE STREET, WHITESTONE, NY, 11357, US</x:v>
      </x:c>
      <x:c r="D1221" t="str">
        <x:v>178 28 WEXFORD TERRACE LLC</x:v>
      </x:c>
      <x:c r="E1221" t="str">
        <x:v>178-28 WEXFORD TERRACE, LLC</x:v>
      </x:c>
      <x:c r="F1221" t="str">
        <x:v>Address-corroborated active match</x:v>
      </x:c>
      <x:c r="G1221" t="n">
        <x:v>1</x:v>
      </x:c>
      <x:c r="H1221" t="n">
        <x:v>2</x:v>
      </x:c>
      <x:c r="I1221" t="str">
        <x:v>4449417</x:v>
      </x:c>
      <x:c r="J1221" t="str">
        <x:v>178-28 WEXFORD TERRACE, LLC</x:v>
      </x:c>
      <x:c r="K1221" s="55" t="n">
        <x:v>41508</x:v>
      </x:c>
      <x:c r="L1221" t="str">
        <x:v>Queens</x:v>
      </x:c>
      <x:c r="M1221" t="str">
        <x:v>New York</x:v>
      </x:c>
      <x:c r="N1221" t="str">
        <x:v>DOMESTIC LIMITED LIABILITY COMPANY</x:v>
      </x:c>
      <x:c r="O1221" t="str">
        <x:v>178-28 WEXFORD TERRACE, LLC</x:v>
      </x:c>
      <x:c r="P1221" t="str">
        <x:v>12-40 CLINTONVILLE STREET, WHITESTONE, NY, 11357</x:v>
      </x:c>
      <x:c r="Q1221" t="str"/>
      <x:c r="R1221" t="str"/>
      <x:c r="S1221" t="str"/>
      <x:c r="T1221" t="str"/>
      <x:c r="U1221" t="str"/>
      <x:c r="V1221" t="str"/>
      <x:c r="W1221" t="str"/>
      <x:c r="X1221" t="str"/>
      <x:c r="Y1221" t="str">
        <x:v>https://data.ny.gov/Economic-Development/Active-Corporations-Beginning-1800/n9v6-gdp6</x:v>
      </x:c>
    </x:row>
    <x:row r="1222">
      <x:c r="A1222" t="str">
        <x:v>DOS-6-004</x:v>
      </x:c>
      <x:c r="B1222" t="n">
        <x:v>6</x:v>
      </x:c>
      <x:c r="C1222" t="str">
        <x:v>12-40 CLINTONVILLE STREET, WHITESTONE, NY, 11357, US</x:v>
      </x:c>
      <x:c r="D1222" t="str">
        <x:v>47TH AVENUE HOLDING LLC</x:v>
      </x:c>
      <x:c r="E1222" t="str">
        <x:v>47TH AVENUE HOLDING, LLC</x:v>
      </x:c>
      <x:c r="F1222" t="str">
        <x:v>No active DOS match</x:v>
      </x:c>
      <x:c r="G1222" t="n">
        <x:v>0</x:v>
      </x:c>
      <x:c r="H1222" t="n">
        <x:v>0</x:v>
      </x:c>
      <x:c r="I1222" t="str"/>
      <x:c r="J1222" t="str"/>
      <x:c r="K1222" s="55" t="str"/>
      <x:c r="L1222" t="str"/>
      <x:c r="M1222" t="str"/>
      <x:c r="N1222" t="str"/>
      <x:c r="O1222" t="str"/>
      <x:c r="P1222" t="str"/>
      <x:c r="Q1222" t="str"/>
      <x:c r="R1222" t="str"/>
      <x:c r="S1222" t="str"/>
      <x:c r="T1222" t="str"/>
      <x:c r="U1222" t="str"/>
      <x:c r="V1222" t="str"/>
      <x:c r="W1222" t="str"/>
      <x:c r="X1222" t="str"/>
      <x:c r="Y1222" t="str">
        <x:v>https://data.ny.gov/Economic-Development/Active-Corporations-Beginning-1800/n9v6-gdp6</x:v>
      </x:c>
    </x:row>
    <x:row r="1223">
      <x:c r="A1223" t="str">
        <x:v>DOS-6-004</x:v>
      </x:c>
      <x:c r="B1223" t="n">
        <x:v>6</x:v>
      </x:c>
      <x:c r="C1223" t="str">
        <x:v>12-40 CLINTONVILLE STREET, WHITESTONE, NY, 11357, US</x:v>
      </x:c>
      <x:c r="D1223" t="str">
        <x:v>61 25 56TH AVENUE LLC</x:v>
      </x:c>
      <x:c r="E1223" t="str">
        <x:v>61-25 56TH AVENUE LLC</x:v>
      </x:c>
      <x:c r="F1223" t="str">
        <x:v>Address-corroborated active match</x:v>
      </x:c>
      <x:c r="G1223" t="n">
        <x:v>1</x:v>
      </x:c>
      <x:c r="H1223" t="n">
        <x:v>2</x:v>
      </x:c>
      <x:c r="I1223" t="str">
        <x:v>5156656</x:v>
      </x:c>
      <x:c r="J1223" t="str">
        <x:v>61-25 56TH AVENUE LLC</x:v>
      </x:c>
      <x:c r="K1223" s="55" t="n">
        <x:v>42905</x:v>
      </x:c>
      <x:c r="L1223" t="str">
        <x:v>Queens</x:v>
      </x:c>
      <x:c r="M1223" t="str">
        <x:v>New York</x:v>
      </x:c>
      <x:c r="N1223" t="str">
        <x:v>DOMESTIC LIMITED LIABILITY COMPANY</x:v>
      </x:c>
      <x:c r="O1223" t="str">
        <x:v>61-25 56TH AVENUE LLC</x:v>
      </x:c>
      <x:c r="P1223" t="str">
        <x:v>12-40 CLINTONVILLE STREET, WHITSTONE, NY, 11357</x:v>
      </x:c>
      <x:c r="Q1223" t="str"/>
      <x:c r="R1223" t="str"/>
      <x:c r="S1223" t="str"/>
      <x:c r="T1223" t="str"/>
      <x:c r="U1223" t="str"/>
      <x:c r="V1223" t="str"/>
      <x:c r="W1223" t="str"/>
      <x:c r="X1223" t="str"/>
      <x:c r="Y1223" t="str">
        <x:v>https://data.ny.gov/Economic-Development/Active-Corporations-Beginning-1800/n9v6-gdp6</x:v>
      </x:c>
    </x:row>
    <x:row r="1224">
      <x:c r="A1224" t="str">
        <x:v>DOS-6-004</x:v>
      </x:c>
      <x:c r="B1224" t="n">
        <x:v>6</x:v>
      </x:c>
      <x:c r="C1224" t="str">
        <x:v>12-40 CLINTONVILLE STREET, WHITESTONE, NY, 11357, US</x:v>
      </x:c>
      <x:c r="D1224" t="str">
        <x:v>GRAND AVENUE REALTY LLC</x:v>
      </x:c>
      <x:c r="E1224" t="str">
        <x:v>GRAND AVENUE REALTY LLC</x:v>
      </x:c>
      <x:c r="F1224" t="str">
        <x:v>Address-corroborated active match</x:v>
      </x:c>
      <x:c r="G1224" t="n">
        <x:v>1</x:v>
      </x:c>
      <x:c r="H1224" t="n">
        <x:v>2</x:v>
      </x:c>
      <x:c r="I1224" t="str">
        <x:v>4267968</x:v>
      </x:c>
      <x:c r="J1224" t="str">
        <x:v>GRAND AVENUE REALTY LLC</x:v>
      </x:c>
      <x:c r="K1224" s="55" t="n">
        <x:v>41099</x:v>
      </x:c>
      <x:c r="L1224" t="str">
        <x:v>Queens</x:v>
      </x:c>
      <x:c r="M1224" t="str">
        <x:v>New York</x:v>
      </x:c>
      <x:c r="N1224" t="str">
        <x:v>DOMESTIC LIMITED LIABILITY COMPANY</x:v>
      </x:c>
      <x:c r="O1224" t="str">
        <x:v>GRAND AVENUE REALTY LLC</x:v>
      </x:c>
      <x:c r="P1224" t="str">
        <x:v>12-40 CLINTONVILLE STREET, WHITESTONE, NY, 11357</x:v>
      </x:c>
      <x:c r="Q1224" t="str"/>
      <x:c r="R1224" t="str"/>
      <x:c r="S1224" t="str"/>
      <x:c r="T1224" t="str"/>
      <x:c r="U1224" t="str"/>
      <x:c r="V1224" t="str"/>
      <x:c r="W1224" t="str"/>
      <x:c r="X1224" t="str"/>
      <x:c r="Y1224" t="str">
        <x:v>https://data.ny.gov/Economic-Development/Active-Corporations-Beginning-1800/n9v6-gdp6</x:v>
      </x:c>
    </x:row>
    <x:row r="1225">
      <x:c r="A1225" t="str">
        <x:v>DOS-6-004</x:v>
      </x:c>
      <x:c r="B1225" t="n">
        <x:v>6</x:v>
      </x:c>
      <x:c r="C1225" t="str">
        <x:v>12-40 CLINTONVILLE STREET, WHITESTONE, NY, 11357, US</x:v>
      </x:c>
      <x:c r="D1225" t="str">
        <x:v>WHITESTONE COMMONS REALTY LLC</x:v>
      </x:c>
      <x:c r="E1225" t="str">
        <x:v>WHITESTONE COMMONS REALTY, LLC</x:v>
      </x:c>
      <x:c r="F1225" t="str">
        <x:v>Address-corroborated active match</x:v>
      </x:c>
      <x:c r="G1225" t="n">
        <x:v>1</x:v>
      </x:c>
      <x:c r="H1225" t="n">
        <x:v>2</x:v>
      </x:c>
      <x:c r="I1225" t="str">
        <x:v>4250478</x:v>
      </x:c>
      <x:c r="J1225" t="str">
        <x:v>WHITESTONE COMMONS REALTY, LLC</x:v>
      </x:c>
      <x:c r="K1225" s="55" t="n">
        <x:v>41054</x:v>
      </x:c>
      <x:c r="L1225" t="str">
        <x:v>Queens</x:v>
      </x:c>
      <x:c r="M1225" t="str">
        <x:v>New York</x:v>
      </x:c>
      <x:c r="N1225" t="str">
        <x:v>DOMESTIC LIMITED LIABILITY COMPANY</x:v>
      </x:c>
      <x:c r="O1225" t="str">
        <x:v>WHITESTONE COMMONS REALTY, LLC</x:v>
      </x:c>
      <x:c r="P1225" t="str">
        <x:v>12-40 CLINTONVILLE STREET, WHITESTONE, NY, 11357</x:v>
      </x:c>
      <x:c r="Q1225" t="str"/>
      <x:c r="R1225" t="str"/>
      <x:c r="S1225" t="str"/>
      <x:c r="T1225" t="str"/>
      <x:c r="U1225" t="str"/>
      <x:c r="V1225" t="str"/>
      <x:c r="W1225" t="str"/>
      <x:c r="X1225" t="str"/>
      <x:c r="Y1225" t="str">
        <x:v>https://data.ny.gov/Economic-Development/Active-Corporations-Beginning-1800/n9v6-gdp6</x:v>
      </x:c>
    </x:row>
    <x:row r="1226">
      <x:c r="A1226" t="str">
        <x:v>DOS-6-005</x:v>
      </x:c>
      <x:c r="B1226" t="n">
        <x:v>6</x:v>
      </x:c>
      <x:c r="C1226" t="str">
        <x:v>150 PROSPECT PARK WEST, SUITE 1A, BROOKLYN, NY, 11215, US</x:v>
      </x:c>
      <x:c r="D1226" t="str">
        <x:v>OR 107 EAST SECOND LLC</x:v>
      </x:c>
      <x:c r="E1226" t="str">
        <x:v>OR 107 EAST SECOND, LLC</x:v>
      </x:c>
      <x:c r="F1226" t="str">
        <x:v>Active name match</x:v>
      </x:c>
      <x:c r="G1226" t="n">
        <x:v>1</x:v>
      </x:c>
      <x:c r="H1226" t="n">
        <x:v>0</x:v>
      </x:c>
      <x:c r="I1226" t="str">
        <x:v>5926719</x:v>
      </x:c>
      <x:c r="J1226" t="str">
        <x:v>OR 107 EAST SECOND, LLC</x:v>
      </x:c>
      <x:c r="K1226" s="55" t="n">
        <x:v>44222</x:v>
      </x:c>
      <x:c r="L1226" t="str">
        <x:v>New York</x:v>
      </x:c>
      <x:c r="M1226" t="str">
        <x:v>New York</x:v>
      </x:c>
      <x:c r="N1226" t="str">
        <x:v>DOMESTIC LIMITED LIABILITY COMPANY</x:v>
      </x:c>
      <x:c r="O1226" t="str">
        <x:v>JENNA BITTMAN</x:v>
      </x:c>
      <x:c r="P1226" t="str">
        <x:v>131 SPRING STREET, SUITE 405, New York, NY, 10012</x:v>
      </x:c>
      <x:c r="Q1226" t="str"/>
      <x:c r="R1226" t="str"/>
      <x:c r="S1226" t="str"/>
      <x:c r="T1226" t="str"/>
      <x:c r="U1226" t="str"/>
      <x:c r="V1226" t="str"/>
      <x:c r="W1226" t="str"/>
      <x:c r="X1226" t="str"/>
      <x:c r="Y1226" t="str">
        <x:v>https://data.ny.gov/Economic-Development/Active-Corporations-Beginning-1800/n9v6-gdp6</x:v>
      </x:c>
    </x:row>
    <x:row r="1227">
      <x:c r="A1227" t="str">
        <x:v>DOS-6-005</x:v>
      </x:c>
      <x:c r="B1227" t="n">
        <x:v>6</x:v>
      </x:c>
      <x:c r="C1227" t="str">
        <x:v>150 PROSPECT PARK WEST, SUITE 1A, BROOKLYN, NY, 11215, US</x:v>
      </x:c>
      <x:c r="D1227" t="str">
        <x:v>OR 196 ELIZABETH LLC</x:v>
      </x:c>
      <x:c r="E1227" t="str">
        <x:v>OR 196 ELIZABETH, LLC</x:v>
      </x:c>
      <x:c r="F1227" t="str">
        <x:v>Active name match</x:v>
      </x:c>
      <x:c r="G1227" t="n">
        <x:v>1</x:v>
      </x:c>
      <x:c r="H1227" t="n">
        <x:v>0</x:v>
      </x:c>
      <x:c r="I1227" t="str">
        <x:v>5947906</x:v>
      </x:c>
      <x:c r="J1227" t="str">
        <x:v>OR 196 ELIZABETH, LLC</x:v>
      </x:c>
      <x:c r="K1227" s="55" t="n">
        <x:v>44251</x:v>
      </x:c>
      <x:c r="L1227" t="str">
        <x:v>New York</x:v>
      </x:c>
      <x:c r="M1227" t="str">
        <x:v>New York</x:v>
      </x:c>
      <x:c r="N1227" t="str">
        <x:v>DOMESTIC LIMITED LIABILITY COMPANY</x:v>
      </x:c>
      <x:c r="O1227" t="str">
        <x:v>JENNA BITTMAN</x:v>
      </x:c>
      <x:c r="P1227" t="str">
        <x:v>131 SPRING STREET, SUITE 405, New York, NY, 10012</x:v>
      </x:c>
      <x:c r="Q1227" t="str"/>
      <x:c r="R1227" t="str"/>
      <x:c r="S1227" t="str"/>
      <x:c r="T1227" t="str"/>
      <x:c r="U1227" t="str"/>
      <x:c r="V1227" t="str"/>
      <x:c r="W1227" t="str"/>
      <x:c r="X1227" t="str"/>
      <x:c r="Y1227" t="str">
        <x:v>https://data.ny.gov/Economic-Development/Active-Corporations-Beginning-1800/n9v6-gdp6</x:v>
      </x:c>
    </x:row>
    <x:row r="1228">
      <x:c r="A1228" t="str">
        <x:v>DOS-6-005</x:v>
      </x:c>
      <x:c r="B1228" t="n">
        <x:v>6</x:v>
      </x:c>
      <x:c r="C1228" t="str">
        <x:v>150 PROSPECT PARK WEST, SUITE 1A, BROOKLYN, NY, 11215, US</x:v>
      </x:c>
      <x:c r="D1228" t="str">
        <x:v>OR 240 MULBERRY LLC</x:v>
      </x:c>
      <x:c r="E1228" t="str">
        <x:v>OR 240 MULBERRY LLC</x:v>
      </x:c>
      <x:c r="F1228" t="str">
        <x:v>Active name match</x:v>
      </x:c>
      <x:c r="G1228" t="n">
        <x:v>1</x:v>
      </x:c>
      <x:c r="H1228" t="n">
        <x:v>0</x:v>
      </x:c>
      <x:c r="I1228" t="str">
        <x:v>5947914</x:v>
      </x:c>
      <x:c r="J1228" t="str">
        <x:v>OR 240 MULBERRY, LLC</x:v>
      </x:c>
      <x:c r="K1228" s="55" t="n">
        <x:v>44251</x:v>
      </x:c>
      <x:c r="L1228" t="str">
        <x:v>New York</x:v>
      </x:c>
      <x:c r="M1228" t="str">
        <x:v>New York</x:v>
      </x:c>
      <x:c r="N1228" t="str">
        <x:v>DOMESTIC LIMITED LIABILITY COMPANY</x:v>
      </x:c>
      <x:c r="O1228" t="str">
        <x:v>JENNA BITTMAN</x:v>
      </x:c>
      <x:c r="P1228" t="str">
        <x:v>131 SPRING STREET, SUITE 405, New York, NY, 10012</x:v>
      </x:c>
      <x:c r="Q1228" t="str"/>
      <x:c r="R1228" t="str"/>
      <x:c r="S1228" t="str"/>
      <x:c r="T1228" t="str"/>
      <x:c r="U1228" t="str"/>
      <x:c r="V1228" t="str"/>
      <x:c r="W1228" t="str"/>
      <x:c r="X1228" t="str"/>
      <x:c r="Y1228" t="str">
        <x:v>https://data.ny.gov/Economic-Development/Active-Corporations-Beginning-1800/n9v6-gdp6</x:v>
      </x:c>
    </x:row>
    <x:row r="1229">
      <x:c r="A1229" t="str">
        <x:v>DOS-6-005</x:v>
      </x:c>
      <x:c r="B1229" t="n">
        <x:v>6</x:v>
      </x:c>
      <x:c r="C1229" t="str">
        <x:v>150 PROSPECT PARK WEST, SUITE 1A, BROOKLYN, NY, 11215, US</x:v>
      </x:c>
      <x:c r="D1229" t="str">
        <x:v>OR 274 HENRY LLC</x:v>
      </x:c>
      <x:c r="E1229" t="str">
        <x:v>OR 274 HENRY, LLC</x:v>
      </x:c>
      <x:c r="F1229" t="str">
        <x:v>Active name match</x:v>
      </x:c>
      <x:c r="G1229" t="n">
        <x:v>1</x:v>
      </x:c>
      <x:c r="H1229" t="n">
        <x:v>0</x:v>
      </x:c>
      <x:c r="I1229" t="str">
        <x:v>5938467</x:v>
      </x:c>
      <x:c r="J1229" t="str">
        <x:v>OR 274 HENRY, LLC</x:v>
      </x:c>
      <x:c r="K1229" s="55" t="n">
        <x:v>44237</x:v>
      </x:c>
      <x:c r="L1229" t="str">
        <x:v>Kings</x:v>
      </x:c>
      <x:c r="M1229" t="str">
        <x:v>New York</x:v>
      </x:c>
      <x:c r="N1229" t="str">
        <x:v>DOMESTIC LIMITED LIABILITY COMPANY</x:v>
      </x:c>
      <x:c r="O1229" t="str">
        <x:v>JENNA BITTMAN</x:v>
      </x:c>
      <x:c r="P1229" t="str">
        <x:v>131 SPRING STREET, SUITE 405, New York, NY, 10012</x:v>
      </x:c>
      <x:c r="Q1229" t="str"/>
      <x:c r="R1229" t="str"/>
      <x:c r="S1229" t="str"/>
      <x:c r="T1229" t="str"/>
      <x:c r="U1229" t="str"/>
      <x:c r="V1229" t="str"/>
      <x:c r="W1229" t="str"/>
      <x:c r="X1229" t="str"/>
      <x:c r="Y1229" t="str">
        <x:v>https://data.ny.gov/Economic-Development/Active-Corporations-Beginning-1800/n9v6-gdp6</x:v>
      </x:c>
    </x:row>
    <x:row r="1230">
      <x:c r="A1230" t="str">
        <x:v>DOS-6-005</x:v>
      </x:c>
      <x:c r="B1230" t="n">
        <x:v>6</x:v>
      </x:c>
      <x:c r="C1230" t="str">
        <x:v>150 PROSPECT PARK WEST, SUITE 1A, BROOKLYN, NY, 11215, US</x:v>
      </x:c>
      <x:c r="D1230" t="str">
        <x:v>OR 90 STATE LLC</x:v>
      </x:c>
      <x:c r="E1230" t="str">
        <x:v>OR 90 STATE, LLC</x:v>
      </x:c>
      <x:c r="F1230" t="str">
        <x:v>Active name match</x:v>
      </x:c>
      <x:c r="G1230" t="n">
        <x:v>1</x:v>
      </x:c>
      <x:c r="H1230" t="n">
        <x:v>0</x:v>
      </x:c>
      <x:c r="I1230" t="str">
        <x:v>5938460</x:v>
      </x:c>
      <x:c r="J1230" t="str">
        <x:v>OR 90 STATE, LLC</x:v>
      </x:c>
      <x:c r="K1230" s="55" t="n">
        <x:v>44237</x:v>
      </x:c>
      <x:c r="L1230" t="str">
        <x:v>Kings</x:v>
      </x:c>
      <x:c r="M1230" t="str">
        <x:v>New York</x:v>
      </x:c>
      <x:c r="N1230" t="str">
        <x:v>DOMESTIC LIMITED LIABILITY COMPANY</x:v>
      </x:c>
      <x:c r="O1230" t="str">
        <x:v>JENNA BITTMAN</x:v>
      </x:c>
      <x:c r="P1230" t="str">
        <x:v>131 SPRING STREET, SUITE 405, New York, NY, 10012</x:v>
      </x:c>
      <x:c r="Q1230" t="str"/>
      <x:c r="R1230" t="str"/>
      <x:c r="S1230" t="str"/>
      <x:c r="T1230" t="str"/>
      <x:c r="U1230" t="str"/>
      <x:c r="V1230" t="str"/>
      <x:c r="W1230" t="str"/>
      <x:c r="X1230" t="str"/>
      <x:c r="Y1230" t="str">
        <x:v>https://data.ny.gov/Economic-Development/Active-Corporations-Beginning-1800/n9v6-gdp6</x:v>
      </x:c>
    </x:row>
    <x:row r="1231">
      <x:c r="A1231" t="str">
        <x:v>DOS-6-005</x:v>
      </x:c>
      <x:c r="B1231" t="n">
        <x:v>6</x:v>
      </x:c>
      <x:c r="C1231" t="str">
        <x:v>150 PROSPECT PARK WEST, SUITE 1A, BROOKLYN, NY, 11215, US</x:v>
      </x:c>
      <x:c r="D1231" t="str">
        <x:v>OR PATCHIN PLACE LLC</x:v>
      </x:c>
      <x:c r="E1231" t="str">
        <x:v>OR PATCHIN PLACE, LLC</x:v>
      </x:c>
      <x:c r="F1231" t="str">
        <x:v>Active name match</x:v>
      </x:c>
      <x:c r="G1231" t="n">
        <x:v>1</x:v>
      </x:c>
      <x:c r="H1231" t="n">
        <x:v>0</x:v>
      </x:c>
      <x:c r="I1231" t="str">
        <x:v>6330709</x:v>
      </x:c>
      <x:c r="J1231" t="str">
        <x:v>OR PATCHIN PLACE, LLC</x:v>
      </x:c>
      <x:c r="K1231" s="55" t="n">
        <x:v>44518</x:v>
      </x:c>
      <x:c r="L1231" t="str">
        <x:v>New York</x:v>
      </x:c>
      <x:c r="M1231" t="str">
        <x:v>New York</x:v>
      </x:c>
      <x:c r="N1231" t="str">
        <x:v>DOMESTIC LIMITED LIABILITY COMPANY</x:v>
      </x:c>
      <x:c r="O1231" t="str">
        <x:v>JENNA BITTMAN</x:v>
      </x:c>
      <x:c r="P1231" t="str">
        <x:v>131 SPRING STREET, SUITE 405, New York, NY, 10012</x:v>
      </x:c>
      <x:c r="Q1231" t="str"/>
      <x:c r="R1231" t="str"/>
      <x:c r="S1231" t="str">
        <x:v>JENNA BITTMAN</x:v>
      </x:c>
      <x:c r="T1231" t="str">
        <x:v>131 SPRING STREET, SUITE 405, NEW YORK, NEW YORK, 10012</x:v>
      </x:c>
      <x:c r="U1231" t="str"/>
      <x:c r="V1231" t="str"/>
      <x:c r="W1231" t="str"/>
      <x:c r="X1231" t="str"/>
      <x:c r="Y1231" t="str">
        <x:v>https://data.ny.gov/Economic-Development/Active-Corporations-Beginning-1800/n9v6-gdp6</x:v>
      </x:c>
    </x:row>
    <x:row r="1232">
      <x:c r="A1232" t="str">
        <x:v>DOS-6-006</x:v>
      </x:c>
      <x:c r="B1232" t="n">
        <x:v>6</x:v>
      </x:c>
      <x:c r="C1232" t="str">
        <x:v>156  WILLIAM STREET, NEW YORK, NY, 10038, US | 156 WILLIAM STREET, NEW YORK, NY, 10038, US</x:v>
      </x:c>
      <x:c r="D1232" t="str">
        <x:v>3505 BWAY OWNER LLC</x:v>
      </x:c>
      <x:c r="E1232" t="str">
        <x:v>3505 BWAY OWNER LLC</x:v>
      </x:c>
      <x:c r="F1232" t="str">
        <x:v>Active name match</x:v>
      </x:c>
      <x:c r="G1232" t="n">
        <x:v>1</x:v>
      </x:c>
      <x:c r="H1232" t="n">
        <x:v>0</x:v>
      </x:c>
      <x:c r="I1232" t="str">
        <x:v>5204870</x:v>
      </x:c>
      <x:c r="J1232" t="str">
        <x:v>3505 BWAY OWNER LLC</x:v>
      </x:c>
      <x:c r="K1232" s="55" t="n">
        <x:v>42998</x:v>
      </x:c>
      <x:c r="L1232" t="str">
        <x:v>New York</x:v>
      </x:c>
      <x:c r="M1232" t="str">
        <x:v>Delaware</x:v>
      </x:c>
      <x:c r="N1232" t="str">
        <x:v>FOREIGN LIMITED LIABILITY COMPANY</x:v>
      </x:c>
      <x:c r="O1232" t="str">
        <x:v>C T CORPORATION SYSTEM</x:v>
      </x:c>
      <x:c r="P1232" t="str">
        <x:v>28 LIBERTY ST., NEW YORK, NY, 10005</x:v>
      </x:c>
      <x:c r="Q1232" t="str"/>
      <x:c r="R1232" t="str"/>
      <x:c r="S1232" t="str">
        <x:v>C T CORPORATION SYSTEM</x:v>
      </x:c>
      <x:c r="T1232" t="str">
        <x:v>28 LIBERTY ST., NEW YORK, NEW YORK, 10005</x:v>
      </x:c>
      <x:c r="U1232" t="str"/>
      <x:c r="V1232" t="str"/>
      <x:c r="W1232" t="str"/>
      <x:c r="X1232" t="str"/>
      <x:c r="Y1232" t="str">
        <x:v>https://data.ny.gov/Economic-Development/Active-Corporations-Beginning-1800/n9v6-gdp6</x:v>
      </x:c>
    </x:row>
    <x:row r="1233">
      <x:c r="A1233" t="str">
        <x:v>DOS-6-006</x:v>
      </x:c>
      <x:c r="B1233" t="n">
        <x:v>6</x:v>
      </x:c>
      <x:c r="C1233" t="str">
        <x:v>156  WILLIAM STREET, NEW YORK, NY, 10038, US | 156 WILLIAM STREET, NEW YORK, NY, 10038, US</x:v>
      </x:c>
      <x:c r="D1233" t="str">
        <x:v>919 LLC</x:v>
      </x:c>
      <x:c r="E1233" t="str">
        <x:v>919 LLC</x:v>
      </x:c>
      <x:c r="F1233" t="str">
        <x:v>Address-corroborated active match</x:v>
      </x:c>
      <x:c r="G1233" t="n">
        <x:v>1</x:v>
      </x:c>
      <x:c r="H1233" t="n">
        <x:v>2</x:v>
      </x:c>
      <x:c r="I1233" t="str">
        <x:v>2096397</x:v>
      </x:c>
      <x:c r="J1233" t="str">
        <x:v>919 LLC</x:v>
      </x:c>
      <x:c r="K1233" s="55" t="n">
        <x:v>35426</x:v>
      </x:c>
      <x:c r="L1233" t="str">
        <x:v>New York</x:v>
      </x:c>
      <x:c r="M1233" t="str">
        <x:v>New York</x:v>
      </x:c>
      <x:c r="N1233" t="str">
        <x:v>DOMESTIC LIMITED LIABILITY COMPANY</x:v>
      </x:c>
      <x:c r="O1233" t="str">
        <x:v>919 LLC</x:v>
      </x:c>
      <x:c r="P1233" t="str">
        <x:v>156 WILLIAM STREET, NEW YORK, NY, 10038</x:v>
      </x:c>
      <x:c r="Q1233" t="str"/>
      <x:c r="R1233" t="str"/>
      <x:c r="S1233" t="str"/>
      <x:c r="T1233" t="str"/>
      <x:c r="U1233" t="str"/>
      <x:c r="V1233" t="str"/>
      <x:c r="W1233" t="str"/>
      <x:c r="X1233" t="str"/>
      <x:c r="Y1233" t="str">
        <x:v>https://data.ny.gov/Economic-Development/Active-Corporations-Beginning-1800/n9v6-gdp6</x:v>
      </x:c>
    </x:row>
    <x:row r="1234">
      <x:c r="A1234" t="str">
        <x:v>DOS-6-006</x:v>
      </x:c>
      <x:c r="B1234" t="n">
        <x:v>6</x:v>
      </x:c>
      <x:c r="C1234" t="str">
        <x:v>156  WILLIAM STREET, NEW YORK, NY, 10038, US | 156 WILLIAM STREET, NEW YORK, NY, 10038, US</x:v>
      </x:c>
      <x:c r="D1234" t="str">
        <x:v>A IRIS NEW YORK LLC</x:v>
      </x:c>
      <x:c r="E1234" t="str">
        <x:v>A.IRIS NEW YORK LLC</x:v>
      </x:c>
      <x:c r="F1234" t="str">
        <x:v>Active name match</x:v>
      </x:c>
      <x:c r="G1234" t="n">
        <x:v>1</x:v>
      </x:c>
      <x:c r="H1234" t="n">
        <x:v>0</x:v>
      </x:c>
      <x:c r="I1234" t="str">
        <x:v>4897534</x:v>
      </x:c>
      <x:c r="J1234" t="str">
        <x:v>A.IRIS NEW YORK LLC</x:v>
      </x:c>
      <x:c r="K1234" s="55" t="n">
        <x:v>42417</x:v>
      </x:c>
      <x:c r="L1234" t="str">
        <x:v>New York</x:v>
      </x:c>
      <x:c r="M1234" t="str">
        <x:v>New York</x:v>
      </x:c>
      <x:c r="N1234" t="str">
        <x:v>DOMESTIC LIMITED LIABILITY COMPANY</x:v>
      </x:c>
      <x:c r="O1234" t="str">
        <x:v>C/O C T CORPORATION SYSTEM</x:v>
      </x:c>
      <x:c r="P1234" t="str">
        <x:v>28 LIBERTY STREET, NEW YORK, NY, 10005</x:v>
      </x:c>
      <x:c r="Q1234" t="str"/>
      <x:c r="R1234" t="str"/>
      <x:c r="S1234" t="str">
        <x:v>C T CORPORATION SYSTEM</x:v>
      </x:c>
      <x:c r="T1234" t="str">
        <x:v>28 LIBERTY STREET, NEW YORK, NEW YORK, 10005</x:v>
      </x:c>
      <x:c r="U1234" t="str"/>
      <x:c r="V1234" t="str"/>
      <x:c r="W1234" t="str"/>
      <x:c r="X1234" t="str"/>
      <x:c r="Y1234" t="str">
        <x:v>https://data.ny.gov/Economic-Development/Active-Corporations-Beginning-1800/n9v6-gdp6</x:v>
      </x:c>
    </x:row>
    <x:row r="1235">
      <x:c r="A1235" t="str">
        <x:v>DOS-6-006</x:v>
      </x:c>
      <x:c r="B1235" t="n">
        <x:v>6</x:v>
      </x:c>
      <x:c r="C1235" t="str">
        <x:v>156  WILLIAM STREET, NEW YORK, NY, 10038, US | 156 WILLIAM STREET, NEW YORK, NY, 10038, US</x:v>
      </x:c>
      <x:c r="D1235" t="str">
        <x:v>COB 3351 BROADWAY LLC</x:v>
      </x:c>
      <x:c r="E1235" t="str">
        <x:v>COB 3351 BROADWAY LLC</x:v>
      </x:c>
      <x:c r="F1235" t="str">
        <x:v>Active name match</x:v>
      </x:c>
      <x:c r="G1235" t="n">
        <x:v>1</x:v>
      </x:c>
      <x:c r="H1235" t="n">
        <x:v>0</x:v>
      </x:c>
      <x:c r="I1235" t="str">
        <x:v>4530971</x:v>
      </x:c>
      <x:c r="J1235" t="str">
        <x:v>COB 3351 BROADWAY LLC</x:v>
      </x:c>
      <x:c r="K1235" s="55" t="n">
        <x:v>41689</x:v>
      </x:c>
      <x:c r="L1235" t="str">
        <x:v>New York</x:v>
      </x:c>
      <x:c r="M1235" t="str">
        <x:v>Delaware</x:v>
      </x:c>
      <x:c r="N1235" t="str">
        <x:v>FOREIGN LIMITED LIABILITY COMPANY</x:v>
      </x:c>
      <x:c r="O1235" t="str">
        <x:v>C T CORPORATION SYSTEM</x:v>
      </x:c>
      <x:c r="P1235" t="str">
        <x:v>28 LIBERTY ST., NEW YORK, NY, 10005</x:v>
      </x:c>
      <x:c r="Q1235" t="str"/>
      <x:c r="R1235" t="str"/>
      <x:c r="S1235" t="str">
        <x:v>C T CORPORATION SYSTEM</x:v>
      </x:c>
      <x:c r="T1235" t="str">
        <x:v>28 LIBERTY ST., NEW YORK, NEW YORK, 10005</x:v>
      </x:c>
      <x:c r="U1235" t="str"/>
      <x:c r="V1235" t="str"/>
      <x:c r="W1235" t="str"/>
      <x:c r="X1235" t="str"/>
      <x:c r="Y1235" t="str">
        <x:v>https://data.ny.gov/Economic-Development/Active-Corporations-Beginning-1800/n9v6-gdp6</x:v>
      </x:c>
    </x:row>
    <x:row r="1236">
      <x:c r="A1236" t="str">
        <x:v>DOS-6-006</x:v>
      </x:c>
      <x:c r="B1236" t="n">
        <x:v>6</x:v>
      </x:c>
      <x:c r="C1236" t="str">
        <x:v>156  WILLIAM STREET, NEW YORK, NY, 10038, US | 156 WILLIAM STREET, NEW YORK, NY, 10038, US</x:v>
      </x:c>
      <x:c r="D1236" t="str">
        <x:v>COB 3420 BROADWAY LLC</x:v>
      </x:c>
      <x:c r="E1236" t="str">
        <x:v>COB 3420 BROADWAY LLC</x:v>
      </x:c>
      <x:c r="F1236" t="str">
        <x:v>Active name match</x:v>
      </x:c>
      <x:c r="G1236" t="n">
        <x:v>1</x:v>
      </x:c>
      <x:c r="H1236" t="n">
        <x:v>0</x:v>
      </x:c>
      <x:c r="I1236" t="str">
        <x:v>4530972</x:v>
      </x:c>
      <x:c r="J1236" t="str">
        <x:v>COB 3420 BROADWAY LLC</x:v>
      </x:c>
      <x:c r="K1236" s="55" t="n">
        <x:v>41689</x:v>
      </x:c>
      <x:c r="L1236" t="str">
        <x:v>New York</x:v>
      </x:c>
      <x:c r="M1236" t="str">
        <x:v>Delaware</x:v>
      </x:c>
      <x:c r="N1236" t="str">
        <x:v>FOREIGN LIMITED LIABILITY COMPANY</x:v>
      </x:c>
      <x:c r="O1236" t="str">
        <x:v>C T CORPORATION SYSTEM</x:v>
      </x:c>
      <x:c r="P1236" t="str">
        <x:v>28 LIBERTY ST., NEW YORK, NY, 10005</x:v>
      </x:c>
      <x:c r="Q1236" t="str"/>
      <x:c r="R1236" t="str"/>
      <x:c r="S1236" t="str">
        <x:v>C T CORPORATION SYSTEM</x:v>
      </x:c>
      <x:c r="T1236" t="str">
        <x:v>28 LIBERTY ST., NEW YORK, NEW YORK, 10005</x:v>
      </x:c>
      <x:c r="U1236" t="str"/>
      <x:c r="V1236" t="str"/>
      <x:c r="W1236" t="str"/>
      <x:c r="X1236" t="str"/>
      <x:c r="Y1236" t="str">
        <x:v>https://data.ny.gov/Economic-Development/Active-Corporations-Beginning-1800/n9v6-gdp6</x:v>
      </x:c>
    </x:row>
    <x:row r="1237">
      <x:c r="A1237" t="str">
        <x:v>DOS-6-006</x:v>
      </x:c>
      <x:c r="B1237" t="n">
        <x:v>6</x:v>
      </x:c>
      <x:c r="C1237" t="str">
        <x:v>156  WILLIAM STREET, NEW YORK, NY, 10038, US | 156 WILLIAM STREET, NEW YORK, NY, 10038, US</x:v>
      </x:c>
      <x:c r="D1237" t="str">
        <x:v>CPW TOWERS LLC</x:v>
      </x:c>
      <x:c r="E1237" t="str">
        <x:v>CPW TOWERS LLC</x:v>
      </x:c>
      <x:c r="F1237" t="str">
        <x:v>Active name match</x:v>
      </x:c>
      <x:c r="G1237" t="n">
        <x:v>1</x:v>
      </x:c>
      <x:c r="H1237" t="n">
        <x:v>0</x:v>
      </x:c>
      <x:c r="I1237" t="str">
        <x:v>2494468</x:v>
      </x:c>
      <x:c r="J1237" t="str">
        <x:v>CPW TOWERS LLC</x:v>
      </x:c>
      <x:c r="K1237" s="55" t="n">
        <x:v>36620</x:v>
      </x:c>
      <x:c r="L1237" t="str">
        <x:v>New York</x:v>
      </x:c>
      <x:c r="M1237" t="str">
        <x:v>Delaware</x:v>
      </x:c>
      <x:c r="N1237" t="str">
        <x:v>FOREIGN LIMITED LIABILITY COMPANY</x:v>
      </x:c>
      <x:c r="O1237" t="str">
        <x:v>C/O C T CORPORATION SYSTEM</x:v>
      </x:c>
      <x:c r="P1237" t="str">
        <x:v>28 LIBERTY STREET, NEW YORK, NY, 10005</x:v>
      </x:c>
      <x:c r="Q1237" t="str"/>
      <x:c r="R1237" t="str"/>
      <x:c r="S1237" t="str">
        <x:v>C T CORPORATION SYSTEM</x:v>
      </x:c>
      <x:c r="T1237" t="str">
        <x:v>28 LIBERTY STREET, NEW YORK, NEW YORK, 10005</x:v>
      </x:c>
      <x:c r="U1237" t="str"/>
      <x:c r="V1237" t="str"/>
      <x:c r="W1237" t="str"/>
      <x:c r="X1237" t="str"/>
      <x:c r="Y1237" t="str">
        <x:v>https://data.ny.gov/Economic-Development/Active-Corporations-Beginning-1800/n9v6-gdp6</x:v>
      </x:c>
    </x:row>
    <x:row r="1238">
      <x:c r="A1238" t="str">
        <x:v>DOS-6-007</x:v>
      </x:c>
      <x:c r="B1238" t="n">
        <x:v>6</x:v>
      </x:c>
      <x:c r="C1238" t="str">
        <x:v>131-05 40TH ROAD, FLUSHING, NY, 11354, US</x:v>
      </x:c>
      <x:c r="D1238" t="str">
        <x:v>FLUSHING PROPERTY SKY16 HOLDINGS LLC</x:v>
      </x:c>
      <x:c r="E1238" t="str">
        <x:v>FLUSHING PROPERTY SKY16 HOLDINGS LLC</x:v>
      </x:c>
      <x:c r="F1238" t="str">
        <x:v>Active name match</x:v>
      </x:c>
      <x:c r="G1238" t="n">
        <x:v>1</x:v>
      </x:c>
      <x:c r="H1238" t="n">
        <x:v>0</x:v>
      </x:c>
      <x:c r="I1238" t="str">
        <x:v>4704064</x:v>
      </x:c>
      <x:c r="J1238" t="str">
        <x:v>FLUSHING PROPERTY SKY16 HOLDINGS, LLC</x:v>
      </x:c>
      <x:c r="K1238" s="55" t="n">
        <x:v>42038</x:v>
      </x:c>
      <x:c r="L1238" t="str">
        <x:v>Queens</x:v>
      </x:c>
      <x:c r="M1238" t="str">
        <x:v>New York</x:v>
      </x:c>
      <x:c r="N1238" t="str">
        <x:v>DOMESTIC LIMITED LIABILITY COMPANY</x:v>
      </x:c>
      <x:c r="O1238" t="str">
        <x:v>LUKE K LIANG</x:v>
      </x:c>
      <x:c r="P1238" t="str">
        <x:v>500 METUCHEN ROAD, SOUTH PLAINFIELD, NJ, 07080</x:v>
      </x:c>
      <x:c r="Q1238" t="str"/>
      <x:c r="R1238" t="str"/>
      <x:c r="S1238" t="str">
        <x:v>HENRY LIN</x:v>
      </x:c>
      <x:c r="T1238" t="str">
        <x:v>19 W 34TH STREET STE 912, NEW YORK, NEW YORK, 10001</x:v>
      </x:c>
      <x:c r="U1238" t="str"/>
      <x:c r="V1238" t="str"/>
      <x:c r="W1238" t="str"/>
      <x:c r="X1238" t="str"/>
      <x:c r="Y1238" t="str">
        <x:v>https://data.ny.gov/Economic-Development/Active-Corporations-Beginning-1800/n9v6-gdp6</x:v>
      </x:c>
    </x:row>
    <x:row r="1239">
      <x:c r="A1239" t="str">
        <x:v>DOS-6-007</x:v>
      </x:c>
      <x:c r="B1239" t="n">
        <x:v>6</x:v>
      </x:c>
      <x:c r="C1239" t="str">
        <x:v>131-05 40TH ROAD, FLUSHING, NY, 11354, US</x:v>
      </x:c>
      <x:c r="D1239" t="str">
        <x:v>J2K LLC</x:v>
      </x:c>
      <x:c r="E1239" t="str">
        <x:v>J2K, LLC</x:v>
      </x:c>
      <x:c r="F1239" t="str">
        <x:v>Active name match</x:v>
      </x:c>
      <x:c r="G1239" t="n">
        <x:v>1</x:v>
      </x:c>
      <x:c r="H1239" t="n">
        <x:v>0</x:v>
      </x:c>
      <x:c r="I1239" t="str">
        <x:v>4475958</x:v>
      </x:c>
      <x:c r="J1239" t="str">
        <x:v>J2K, LLC</x:v>
      </x:c>
      <x:c r="K1239" s="55" t="n">
        <x:v>41569</x:v>
      </x:c>
      <x:c r="L1239" t="str">
        <x:v>Suffolk</x:v>
      </x:c>
      <x:c r="M1239" t="str">
        <x:v>New York</x:v>
      </x:c>
      <x:c r="N1239" t="str">
        <x:v>DOMESTIC LIMITED LIABILITY COMPANY</x:v>
      </x:c>
      <x:c r="O1239" t="str">
        <x:v>J2K, LLC</x:v>
      </x:c>
      <x:c r="P1239" t="str">
        <x:v>3505 VETERANS MEMORIAL HIGHWAY, Ste C, RONKONKOMA, NY, 11779</x:v>
      </x:c>
      <x:c r="Q1239" t="str"/>
      <x:c r="R1239" t="str"/>
      <x:c r="S1239" t="str"/>
      <x:c r="T1239" t="str"/>
      <x:c r="U1239" t="str"/>
      <x:c r="V1239" t="str"/>
      <x:c r="W1239" t="str"/>
      <x:c r="X1239" t="str"/>
      <x:c r="Y1239" t="str">
        <x:v>https://data.ny.gov/Economic-Development/Active-Corporations-Beginning-1800/n9v6-gdp6</x:v>
      </x:c>
    </x:row>
    <x:row r="1240">
      <x:c r="A1240" t="str">
        <x:v>DOS-6-007</x:v>
      </x:c>
      <x:c r="B1240" t="n">
        <x:v>6</x:v>
      </x:c>
      <x:c r="C1240" t="str">
        <x:v>131-05 40TH ROAD, FLUSHING, NY, 11354, US</x:v>
      </x:c>
      <x:c r="D1240" t="str">
        <x:v>MJ GROUP HOLDINGS LLC</x:v>
      </x:c>
      <x:c r="E1240" t="str">
        <x:v>MJ GROUP HOLDINGS LLC</x:v>
      </x:c>
      <x:c r="F1240" t="str">
        <x:v>Active name match</x:v>
      </x:c>
      <x:c r="G1240" t="n">
        <x:v>1</x:v>
      </x:c>
      <x:c r="H1240" t="n">
        <x:v>1</x:v>
      </x:c>
      <x:c r="I1240" t="str">
        <x:v>5057320</x:v>
      </x:c>
      <x:c r="J1240" t="str">
        <x:v>MJ GROUP HOLDINGS LLC</x:v>
      </x:c>
      <x:c r="K1240" s="55" t="n">
        <x:v>42727</x:v>
      </x:c>
      <x:c r="L1240" t="str">
        <x:v>New York</x:v>
      </x:c>
      <x:c r="M1240" t="str">
        <x:v>New York</x:v>
      </x:c>
      <x:c r="N1240" t="str">
        <x:v>DOMESTIC LIMITED LIABILITY COMPANY</x:v>
      </x:c>
      <x:c r="O1240" t="str">
        <x:v>MJ GROUP HOLDINGS LLC</x:v>
      </x:c>
      <x:c r="P1240" t="str">
        <x:v>4028 COLLEGE POINT BLVD, UNIT 1209, FLUSHING, NY, 11354</x:v>
      </x:c>
      <x:c r="Q1240" t="str"/>
      <x:c r="R1240" t="str"/>
      <x:c r="S1240" t="str"/>
      <x:c r="T1240" t="str"/>
      <x:c r="U1240" t="str"/>
      <x:c r="V1240" t="str"/>
      <x:c r="W1240" t="str"/>
      <x:c r="X1240" t="str"/>
      <x:c r="Y1240" t="str">
        <x:v>https://data.ny.gov/Economic-Development/Active-Corporations-Beginning-1800/n9v6-gdp6</x:v>
      </x:c>
    </x:row>
    <x:row r="1241">
      <x:c r="A1241" t="str">
        <x:v>DOS-6-007</x:v>
      </x:c>
      <x:c r="B1241" t="n">
        <x:v>6</x:v>
      </x:c>
      <x:c r="C1241" t="str">
        <x:v>131-05 40TH ROAD, FLUSHING, NY, 11354, US</x:v>
      </x:c>
      <x:c r="D1241" t="str">
        <x:v>QIAOSHANG INTERNATIONAL LLC</x:v>
      </x:c>
      <x:c r="E1241" t="str">
        <x:v>QIAOSHANG INTERNATIONAL LLC</x:v>
      </x:c>
      <x:c r="F1241" t="str">
        <x:v>Active name match</x:v>
      </x:c>
      <x:c r="G1241" t="n">
        <x:v>1</x:v>
      </x:c>
      <x:c r="H1241" t="n">
        <x:v>0</x:v>
      </x:c>
      <x:c r="I1241" t="str">
        <x:v>7150820</x:v>
      </x:c>
      <x:c r="J1241" t="str">
        <x:v>QIAOSHANG INTERNATIONAL LLC</x:v>
      </x:c>
      <x:c r="K1241" s="55" t="n">
        <x:v>45203</x:v>
      </x:c>
      <x:c r="L1241" t="str">
        <x:v>New York</x:v>
      </x:c>
      <x:c r="M1241" t="str">
        <x:v>Delaware</x:v>
      </x:c>
      <x:c r="N1241" t="str">
        <x:v>FOREIGN LIMITED LIABILITY COMPANY</x:v>
      </x:c>
      <x:c r="O1241" t="str">
        <x:v>COGENCY GLOBAL INC.</x:v>
      </x:c>
      <x:c r="P1241" t="str">
        <x:v>122 EAST 42ND STREET, 18TH FLOOR, NEW YORK, NY, 10168</x:v>
      </x:c>
      <x:c r="Q1241" t="str"/>
      <x:c r="R1241" t="str"/>
      <x:c r="S1241" t="str"/>
      <x:c r="T1241" t="str"/>
      <x:c r="U1241" t="str"/>
      <x:c r="V1241" t="str"/>
      <x:c r="W1241" t="str"/>
      <x:c r="X1241" t="str"/>
      <x:c r="Y1241" t="str">
        <x:v>https://data.ny.gov/Economic-Development/Active-Corporations-Beginning-1800/n9v6-gdp6</x:v>
      </x:c>
    </x:row>
    <x:row r="1242">
      <x:c r="A1242" t="str">
        <x:v>DOS-6-007</x:v>
      </x:c>
      <x:c r="B1242" t="n">
        <x:v>6</x:v>
      </x:c>
      <x:c r="C1242" t="str">
        <x:v>131-05 40TH ROAD, FLUSHING, NY, 11354, US</x:v>
      </x:c>
      <x:c r="D1242" t="str">
        <x:v>STJ GRAND 2 LLC</x:v>
      </x:c>
      <x:c r="E1242" t="str">
        <x:v>STJ GRAND 2, LLC</x:v>
      </x:c>
      <x:c r="F1242" t="str">
        <x:v>Active name match</x:v>
      </x:c>
      <x:c r="G1242" t="n">
        <x:v>1</x:v>
      </x:c>
      <x:c r="H1242" t="n">
        <x:v>0</x:v>
      </x:c>
      <x:c r="I1242" t="str">
        <x:v>4804148</x:v>
      </x:c>
      <x:c r="J1242" t="str">
        <x:v>STJ GRAND 2, LLC</x:v>
      </x:c>
      <x:c r="K1242" s="55" t="n">
        <x:v>42229</x:v>
      </x:c>
      <x:c r="L1242" t="str">
        <x:v>Queens</x:v>
      </x:c>
      <x:c r="M1242" t="str">
        <x:v>New York</x:v>
      </x:c>
      <x:c r="N1242" t="str">
        <x:v>DOMESTIC LIMITED LIABILITY COMPANY</x:v>
      </x:c>
      <x:c r="O1242" t="str">
        <x:v>STJ GRAND 2, LLC</x:v>
      </x:c>
      <x:c r="P1242" t="str">
        <x:v>164-01 JAMAICA AVENUE, JAMAICA, NY, 11432</x:v>
      </x:c>
      <x:c r="Q1242" t="str"/>
      <x:c r="R1242" t="str"/>
      <x:c r="S1242" t="str"/>
      <x:c r="T1242" t="str"/>
      <x:c r="U1242" t="str"/>
      <x:c r="V1242" t="str"/>
      <x:c r="W1242" t="str"/>
      <x:c r="X1242" t="str"/>
      <x:c r="Y1242" t="str">
        <x:v>https://data.ny.gov/Economic-Development/Active-Corporations-Beginning-1800/n9v6-gdp6</x:v>
      </x:c>
    </x:row>
    <x:row r="1243">
      <x:c r="A1243" t="str">
        <x:v>DOS-6-007</x:v>
      </x:c>
      <x:c r="B1243" t="n">
        <x:v>6</x:v>
      </x:c>
      <x:c r="C1243" t="str">
        <x:v>131-05 40TH ROAD, FLUSHING, NY, 11354, US</x:v>
      </x:c>
      <x:c r="D1243" t="str">
        <x:v>STJ REALTY HOLDINGS LLC</x:v>
      </x:c>
      <x:c r="E1243" t="str">
        <x:v>STJ REALTY HOLDINGS, LLC</x:v>
      </x:c>
      <x:c r="F1243" t="str">
        <x:v>Active name match</x:v>
      </x:c>
      <x:c r="G1243" t="n">
        <x:v>1</x:v>
      </x:c>
      <x:c r="H1243" t="n">
        <x:v>0</x:v>
      </x:c>
      <x:c r="I1243" t="str">
        <x:v>4795874</x:v>
      </x:c>
      <x:c r="J1243" t="str">
        <x:v>STJ REALTY HOLDINGS, LLC</x:v>
      </x:c>
      <x:c r="K1243" s="55" t="n">
        <x:v>42213</x:v>
      </x:c>
      <x:c r="L1243" t="str">
        <x:v>Queens</x:v>
      </x:c>
      <x:c r="M1243" t="str">
        <x:v>New York</x:v>
      </x:c>
      <x:c r="N1243" t="str">
        <x:v>DOMESTIC LIMITED LIABILITY COMPANY</x:v>
      </x:c>
      <x:c r="O1243" t="str">
        <x:v>STJ REALTY HOLDINGS, LLC</x:v>
      </x:c>
      <x:c r="P1243" t="str">
        <x:v>164-01 JAMAICA AVENUE, JAMAICA, NY, 11432</x:v>
      </x:c>
      <x:c r="Q1243" t="str"/>
      <x:c r="R1243" t="str"/>
      <x:c r="S1243" t="str"/>
      <x:c r="T1243" t="str"/>
      <x:c r="U1243" t="str"/>
      <x:c r="V1243" t="str"/>
      <x:c r="W1243" t="str"/>
      <x:c r="X1243" t="str"/>
      <x:c r="Y1243" t="str">
        <x:v>https://data.ny.gov/Economic-Development/Active-Corporations-Beginning-1800/n9v6-gdp6</x:v>
      </x:c>
    </x:row>
    <x:row r="1244">
      <x:c r="A1244" t="str">
        <x:v>DOS-6-008</x:v>
      </x:c>
      <x:c r="B1244" t="n">
        <x:v>6</x:v>
      </x:c>
      <x:c r="C1244" t="str">
        <x:v>45 NORTH STATION PLAZA, SUITE 315, GREAT NECK, NY, 11021, US</x:v>
      </x:c>
      <x:c r="D1244" t="str">
        <x:v>140NY LLC</x:v>
      </x:c>
      <x:c r="E1244" t="str">
        <x:v>140NY LLC</x:v>
      </x:c>
      <x:c r="F1244" t="str">
        <x:v>Address-corroborated active match</x:v>
      </x:c>
      <x:c r="G1244" t="n">
        <x:v>1</x:v>
      </x:c>
      <x:c r="H1244" t="n">
        <x:v>2</x:v>
      </x:c>
      <x:c r="I1244" t="str">
        <x:v>7610786</x:v>
      </x:c>
      <x:c r="J1244" t="str">
        <x:v>140NY LLC</x:v>
      </x:c>
      <x:c r="K1244" s="55" t="n">
        <x:v>45790</x:v>
      </x:c>
      <x:c r="L1244" t="str">
        <x:v>Nassau</x:v>
      </x:c>
      <x:c r="M1244" t="str">
        <x:v>New York</x:v>
      </x:c>
      <x:c r="N1244" t="str">
        <x:v>DOMESTIC LIMITED LIABILITY COMPANY</x:v>
      </x:c>
      <x:c r="O1244" t="str">
        <x:v>140NY LLC</x:v>
      </x:c>
      <x:c r="P1244" t="str">
        <x:v>45 North Station Plaza, Great Neck, NY, 11021</x:v>
      </x:c>
      <x:c r="Q1244" t="str"/>
      <x:c r="R1244" t="str"/>
      <x:c r="S1244" t="str"/>
      <x:c r="T1244" t="str"/>
      <x:c r="U1244" t="str"/>
      <x:c r="V1244" t="str"/>
      <x:c r="W1244" t="str"/>
      <x:c r="X1244" t="str"/>
      <x:c r="Y1244" t="str">
        <x:v>https://data.ny.gov/Economic-Development/Active-Corporations-Beginning-1800/n9v6-gdp6</x:v>
      </x:c>
    </x:row>
    <x:row r="1245">
      <x:c r="A1245" t="str">
        <x:v>DOS-6-008</x:v>
      </x:c>
      <x:c r="B1245" t="n">
        <x:v>6</x:v>
      </x:c>
      <x:c r="C1245" t="str">
        <x:v>45 NORTH STATION PLAZA, SUITE 315, GREAT NECK, NY, 11021, US</x:v>
      </x:c>
      <x:c r="D1245" t="str">
        <x:v>1985J LLC</x:v>
      </x:c>
      <x:c r="E1245" t="str">
        <x:v>1985J LLC</x:v>
      </x:c>
      <x:c r="F1245" t="str">
        <x:v>Address-corroborated active match</x:v>
      </x:c>
      <x:c r="G1245" t="n">
        <x:v>1</x:v>
      </x:c>
      <x:c r="H1245" t="n">
        <x:v>2</x:v>
      </x:c>
      <x:c r="I1245" t="str">
        <x:v>6444145</x:v>
      </x:c>
      <x:c r="J1245" t="str">
        <x:v>1985J LLC</x:v>
      </x:c>
      <x:c r="K1245" s="55" t="n">
        <x:v>44650</x:v>
      </x:c>
      <x:c r="L1245" t="str">
        <x:v>Nassau</x:v>
      </x:c>
      <x:c r="M1245" t="str">
        <x:v>New York</x:v>
      </x:c>
      <x:c r="N1245" t="str">
        <x:v>DOMESTIC LIMITED LIABILITY COMPANY</x:v>
      </x:c>
      <x:c r="O1245" t="str">
        <x:v>THE LIMITED LIABILITY COMPANY</x:v>
      </x:c>
      <x:c r="P1245" t="str">
        <x:v>45 North Station Plaza, Suite 315, Great Neck, NY, 11021</x:v>
      </x:c>
      <x:c r="Q1245" t="str"/>
      <x:c r="R1245" t="str"/>
      <x:c r="S1245" t="str"/>
      <x:c r="T1245" t="str"/>
      <x:c r="U1245" t="str"/>
      <x:c r="V1245" t="str"/>
      <x:c r="W1245" t="str"/>
      <x:c r="X1245" t="str"/>
      <x:c r="Y1245" t="str">
        <x:v>https://data.ny.gov/Economic-Development/Active-Corporations-Beginning-1800/n9v6-gdp6</x:v>
      </x:c>
    </x:row>
    <x:row r="1246">
      <x:c r="A1246" t="str">
        <x:v>DOS-6-008</x:v>
      </x:c>
      <x:c r="B1246" t="n">
        <x:v>6</x:v>
      </x:c>
      <x:c r="C1246" t="str">
        <x:v>45 NORTH STATION PLAZA, SUITE 315, GREAT NECK, NY, 11021, US</x:v>
      </x:c>
      <x:c r="D1246" t="str">
        <x:v>3916NY LLC</x:v>
      </x:c>
      <x:c r="E1246" t="str">
        <x:v>3916NY LLC</x:v>
      </x:c>
      <x:c r="F1246" t="str">
        <x:v>Address-corroborated active match</x:v>
      </x:c>
      <x:c r="G1246" t="n">
        <x:v>1</x:v>
      </x:c>
      <x:c r="H1246" t="n">
        <x:v>2</x:v>
      </x:c>
      <x:c r="I1246" t="str">
        <x:v>7349462</x:v>
      </x:c>
      <x:c r="J1246" t="str">
        <x:v>3916NY LLC</x:v>
      </x:c>
      <x:c r="K1246" s="55" t="n">
        <x:v>45454</x:v>
      </x:c>
      <x:c r="L1246" t="str">
        <x:v>Nassau</x:v>
      </x:c>
      <x:c r="M1246" t="str">
        <x:v>New York</x:v>
      </x:c>
      <x:c r="N1246" t="str">
        <x:v>DOMESTIC LIMITED LIABILITY COMPANY</x:v>
      </x:c>
      <x:c r="O1246" t="str">
        <x:v>THE LIMITED LIABILITY COMPANY</x:v>
      </x:c>
      <x:c r="P1246" t="str">
        <x:v>45 North Station Plaza, Great Neck, NY, 11021</x:v>
      </x:c>
      <x:c r="Q1246" t="str"/>
      <x:c r="R1246" t="str"/>
      <x:c r="S1246" t="str"/>
      <x:c r="T1246" t="str"/>
      <x:c r="U1246" t="str"/>
      <x:c r="V1246" t="str"/>
      <x:c r="W1246" t="str"/>
      <x:c r="X1246" t="str"/>
      <x:c r="Y1246" t="str">
        <x:v>https://data.ny.gov/Economic-Development/Active-Corporations-Beginning-1800/n9v6-gdp6</x:v>
      </x:c>
    </x:row>
    <x:row r="1247">
      <x:c r="A1247" t="str">
        <x:v>DOS-6-008</x:v>
      </x:c>
      <x:c r="B1247" t="n">
        <x:v>6</x:v>
      </x:c>
      <x:c r="C1247" t="str">
        <x:v>45 NORTH STATION PLAZA, SUITE 315, GREAT NECK, NY, 11021, US</x:v>
      </x:c>
      <x:c r="D1247" t="str">
        <x:v>7BE LLC</x:v>
      </x:c>
      <x:c r="E1247" t="str">
        <x:v>7BE LLC</x:v>
      </x:c>
      <x:c r="F1247" t="str">
        <x:v>Address-corroborated active match</x:v>
      </x:c>
      <x:c r="G1247" t="n">
        <x:v>1</x:v>
      </x:c>
      <x:c r="H1247" t="n">
        <x:v>2</x:v>
      </x:c>
      <x:c r="I1247" t="str">
        <x:v>4155560</x:v>
      </x:c>
      <x:c r="J1247" t="str">
        <x:v>7BE LLC</x:v>
      </x:c>
      <x:c r="K1247" s="55" t="n">
        <x:v>40835</x:v>
      </x:c>
      <x:c r="L1247" t="str">
        <x:v>Nassau</x:v>
      </x:c>
      <x:c r="M1247" t="str">
        <x:v>New York</x:v>
      </x:c>
      <x:c r="N1247" t="str">
        <x:v>DOMESTIC LIMITED LIABILITY COMPANY</x:v>
      </x:c>
      <x:c r="O1247" t="str">
        <x:v>7BE LLC</x:v>
      </x:c>
      <x:c r="P1247" t="str">
        <x:v>45 NORTH STATION PLAZA, # 315, GREAT NECK, NY, 11021</x:v>
      </x:c>
      <x:c r="Q1247" t="str"/>
      <x:c r="R1247" t="str"/>
      <x:c r="S1247" t="str"/>
      <x:c r="T1247" t="str"/>
      <x:c r="U1247" t="str"/>
      <x:c r="V1247" t="str"/>
      <x:c r="W1247" t="str"/>
      <x:c r="X1247" t="str"/>
      <x:c r="Y1247" t="str">
        <x:v>https://data.ny.gov/Economic-Development/Active-Corporations-Beginning-1800/n9v6-gdp6</x:v>
      </x:c>
    </x:row>
    <x:row r="1248">
      <x:c r="A1248" t="str">
        <x:v>DOS-6-008</x:v>
      </x:c>
      <x:c r="B1248" t="n">
        <x:v>6</x:v>
      </x:c>
      <x:c r="C1248" t="str">
        <x:v>45 NORTH STATION PLAZA, SUITE 315, GREAT NECK, NY, 11021, US</x:v>
      </x:c>
      <x:c r="D1248" t="str">
        <x:v>MAZAL OF ADAR LLC</x:v>
      </x:c>
      <x:c r="E1248" t="str">
        <x:v>MAZAL OF ADAR LLC</x:v>
      </x:c>
      <x:c r="F1248" t="str">
        <x:v>Address-corroborated active match</x:v>
      </x:c>
      <x:c r="G1248" t="n">
        <x:v>1</x:v>
      </x:c>
      <x:c r="H1248" t="n">
        <x:v>2</x:v>
      </x:c>
      <x:c r="I1248" t="str">
        <x:v>4544117</x:v>
      </x:c>
      <x:c r="J1248" t="str">
        <x:v>MAZAL OF ADAR LLC</x:v>
      </x:c>
      <x:c r="K1248" s="55" t="n">
        <x:v>41711</x:v>
      </x:c>
      <x:c r="L1248" t="str">
        <x:v>Nassau</x:v>
      </x:c>
      <x:c r="M1248" t="str">
        <x:v>New York</x:v>
      </x:c>
      <x:c r="N1248" t="str">
        <x:v>DOMESTIC LIMITED LIABILITY COMPANY</x:v>
      </x:c>
      <x:c r="O1248" t="str">
        <x:v>MAZAL OF ADAR LLC</x:v>
      </x:c>
      <x:c r="P1248" t="str">
        <x:v>45 NORTH STATION PLAZA, SUITE 315, GREAT NECK, NY, 11021</x:v>
      </x:c>
      <x:c r="Q1248" t="str"/>
      <x:c r="R1248" t="str"/>
      <x:c r="S1248" t="str"/>
      <x:c r="T1248" t="str"/>
      <x:c r="U1248" t="str"/>
      <x:c r="V1248" t="str"/>
      <x:c r="W1248" t="str"/>
      <x:c r="X1248" t="str"/>
      <x:c r="Y1248" t="str">
        <x:v>https://data.ny.gov/Economic-Development/Active-Corporations-Beginning-1800/n9v6-gdp6</x:v>
      </x:c>
    </x:row>
    <x:row r="1249">
      <x:c r="A1249" t="str">
        <x:v>DOS-6-008</x:v>
      </x:c>
      <x:c r="B1249" t="n">
        <x:v>6</x:v>
      </x:c>
      <x:c r="C1249" t="str">
        <x:v>45 NORTH STATION PLAZA, SUITE 315, GREAT NECK, NY, 11021, US</x:v>
      </x:c>
      <x:c r="D1249" t="str">
        <x:v>NOSRAT LLC</x:v>
      </x:c>
      <x:c r="E1249" t="str">
        <x:v>NOSRAT LLC</x:v>
      </x:c>
      <x:c r="F1249" t="str">
        <x:v>Active name match</x:v>
      </x:c>
      <x:c r="G1249" t="n">
        <x:v>1</x:v>
      </x:c>
      <x:c r="H1249" t="n">
        <x:v>1</x:v>
      </x:c>
      <x:c r="I1249" t="str">
        <x:v>3970821</x:v>
      </x:c>
      <x:c r="J1249" t="str">
        <x:v>NOSRAT LLC</x:v>
      </x:c>
      <x:c r="K1249" s="55" t="n">
        <x:v>40367</x:v>
      </x:c>
      <x:c r="L1249" t="str">
        <x:v>Nassau</x:v>
      </x:c>
      <x:c r="M1249" t="str">
        <x:v>New York</x:v>
      </x:c>
      <x:c r="N1249" t="str">
        <x:v>DOMESTIC LIMITED LIABILITY COMPANY</x:v>
      </x:c>
      <x:c r="O1249" t="str">
        <x:v>NOSRAT LLC</x:v>
      </x:c>
      <x:c r="P1249" t="str">
        <x:v>45 N STATION PLZ, # 315, GREAT NECK, NY, 11021</x:v>
      </x:c>
      <x:c r="Q1249" t="str"/>
      <x:c r="R1249" t="str"/>
      <x:c r="S1249" t="str"/>
      <x:c r="T1249" t="str"/>
      <x:c r="U1249" t="str"/>
      <x:c r="V1249" t="str"/>
      <x:c r="W1249" t="str"/>
      <x:c r="X1249" t="str"/>
      <x:c r="Y1249" t="str">
        <x:v>https://data.ny.gov/Economic-Development/Active-Corporations-Beginning-1800/n9v6-gdp6</x:v>
      </x:c>
    </x:row>
    <x:row r="1250">
      <x:c r="A1250" t="str">
        <x:v>DOS-6-009</x:v>
      </x:c>
      <x:c r="B1250" t="n">
        <x:v>6</x:v>
      </x:c>
      <x:c r="C1250" t="str">
        <x:v>1221 82ND STREET, BROOKLYN, NY, 11228, US</x:v>
      </x:c>
      <x:c r="D1250" t="str">
        <x:v>26 27TH STREET LLC</x:v>
      </x:c>
      <x:c r="E1250" t="str">
        <x:v>26-27TH STREET LLC</x:v>
      </x:c>
      <x:c r="F1250" t="str">
        <x:v>No active DOS match</x:v>
      </x:c>
      <x:c r="G1250" t="n">
        <x:v>0</x:v>
      </x:c>
      <x:c r="H1250" t="n">
        <x:v>0</x:v>
      </x:c>
      <x:c r="I1250" t="str"/>
      <x:c r="J1250" t="str"/>
      <x:c r="K1250" s="55" t="str"/>
      <x:c r="L1250" t="str"/>
      <x:c r="M1250" t="str"/>
      <x:c r="N1250" t="str"/>
      <x:c r="O1250" t="str"/>
      <x:c r="P1250" t="str"/>
      <x:c r="Q1250" t="str"/>
      <x:c r="R1250" t="str"/>
      <x:c r="S1250" t="str"/>
      <x:c r="T1250" t="str"/>
      <x:c r="U1250" t="str"/>
      <x:c r="V1250" t="str"/>
      <x:c r="W1250" t="str"/>
      <x:c r="X1250" t="str"/>
      <x:c r="Y1250" t="str">
        <x:v>https://data.ny.gov/Economic-Development/Active-Corporations-Beginning-1800/n9v6-gdp6</x:v>
      </x:c>
    </x:row>
    <x:row r="1251">
      <x:c r="A1251" t="str">
        <x:v>DOS-6-009</x:v>
      </x:c>
      <x:c r="B1251" t="n">
        <x:v>6</x:v>
      </x:c>
      <x:c r="C1251" t="str">
        <x:v>1221 82ND STREET, BROOKLYN, NY, 11228, US</x:v>
      </x:c>
      <x:c r="D1251" t="str">
        <x:v>MPPB REALTY LLC</x:v>
      </x:c>
      <x:c r="E1251" t="str">
        <x:v>MPPB REALTY LLC</x:v>
      </x:c>
      <x:c r="F1251" t="str">
        <x:v>Active name match</x:v>
      </x:c>
      <x:c r="G1251" t="n">
        <x:v>1</x:v>
      </x:c>
      <x:c r="H1251" t="n">
        <x:v>0</x:v>
      </x:c>
      <x:c r="I1251" t="str">
        <x:v>3204240</x:v>
      </x:c>
      <x:c r="J1251" t="str">
        <x:v>MPPB REALTY LLC</x:v>
      </x:c>
      <x:c r="K1251" s="55" t="n">
        <x:v>38484</x:v>
      </x:c>
      <x:c r="L1251" t="str">
        <x:v>Kings</x:v>
      </x:c>
      <x:c r="M1251" t="str">
        <x:v>New York</x:v>
      </x:c>
      <x:c r="N1251" t="str">
        <x:v>DOMESTIC LIMITED LIABILITY COMPANY</x:v>
      </x:c>
      <x:c r="O1251" t="str">
        <x:v>MPPB REALTY LLC</x:v>
      </x:c>
      <x:c r="P1251" t="str">
        <x:v>135 13TH STREET, BROOKLYN, NY, 11215</x:v>
      </x:c>
      <x:c r="Q1251" t="str"/>
      <x:c r="R1251" t="str"/>
      <x:c r="S1251" t="str"/>
      <x:c r="T1251" t="str"/>
      <x:c r="U1251" t="str"/>
      <x:c r="V1251" t="str"/>
      <x:c r="W1251" t="str"/>
      <x:c r="X1251" t="str"/>
      <x:c r="Y1251" t="str">
        <x:v>https://data.ny.gov/Economic-Development/Active-Corporations-Beginning-1800/n9v6-gdp6</x:v>
      </x:c>
    </x:row>
    <x:row r="1252">
      <x:c r="A1252" t="str">
        <x:v>DOS-6-009</x:v>
      </x:c>
      <x:c r="B1252" t="n">
        <x:v>6</x:v>
      </x:c>
      <x:c r="C1252" t="str">
        <x:v>1221 82ND STREET, BROOKLYN, NY, 11228, US</x:v>
      </x:c>
      <x:c r="D1252" t="str">
        <x:v>PAB 13TH STREET REALTY LLC</x:v>
      </x:c>
      <x:c r="E1252" t="str">
        <x:v>PAB 13TH STREET REALTY LLC</x:v>
      </x:c>
      <x:c r="F1252" t="str">
        <x:v>Address-corroborated active match</x:v>
      </x:c>
      <x:c r="G1252" t="n">
        <x:v>1</x:v>
      </x:c>
      <x:c r="H1252" t="n">
        <x:v>2</x:v>
      </x:c>
      <x:c r="I1252" t="str">
        <x:v>3556879</x:v>
      </x:c>
      <x:c r="J1252" t="str">
        <x:v>PAB 13TH STREET REALTY LLC</x:v>
      </x:c>
      <x:c r="K1252" s="55" t="n">
        <x:v>39310</x:v>
      </x:c>
      <x:c r="L1252" t="str">
        <x:v>Kings</x:v>
      </x:c>
      <x:c r="M1252" t="str">
        <x:v>New York</x:v>
      </x:c>
      <x:c r="N1252" t="str">
        <x:v>DOMESTIC LIMITED LIABILITY COMPANY</x:v>
      </x:c>
      <x:c r="O1252" t="str">
        <x:v>PAB 13TH STREET REALTY LLC</x:v>
      </x:c>
      <x:c r="P1252" t="str">
        <x:v>1221 82ND STREET, BROOKLYN, NY, 11228</x:v>
      </x:c>
      <x:c r="Q1252" t="str"/>
      <x:c r="R1252" t="str"/>
      <x:c r="S1252" t="str"/>
      <x:c r="T1252" t="str"/>
      <x:c r="U1252" t="str"/>
      <x:c r="V1252" t="str"/>
      <x:c r="W1252" t="str"/>
      <x:c r="X1252" t="str"/>
      <x:c r="Y1252" t="str">
        <x:v>https://data.ny.gov/Economic-Development/Active-Corporations-Beginning-1800/n9v6-gdp6</x:v>
      </x:c>
    </x:row>
    <x:row r="1253">
      <x:c r="A1253" t="str">
        <x:v>DOS-6-009</x:v>
      </x:c>
      <x:c r="B1253" t="n">
        <x:v>6</x:v>
      </x:c>
      <x:c r="C1253" t="str">
        <x:v>1221 82ND STREET, BROOKLYN, NY, 11228, US</x:v>
      </x:c>
      <x:c r="D1253" t="str">
        <x:v>PAB HOLDINGS LLC</x:v>
      </x:c>
      <x:c r="E1253" t="str">
        <x:v>PAB HOLDINGS LLC</x:v>
      </x:c>
      <x:c r="F1253" t="str">
        <x:v>Active name match</x:v>
      </x:c>
      <x:c r="G1253" t="n">
        <x:v>1</x:v>
      </x:c>
      <x:c r="H1253" t="n">
        <x:v>0</x:v>
      </x:c>
      <x:c r="I1253" t="str">
        <x:v>3204234</x:v>
      </x:c>
      <x:c r="J1253" t="str">
        <x:v>PAB HOLDINGS LLC</x:v>
      </x:c>
      <x:c r="K1253" s="55" t="n">
        <x:v>38484</x:v>
      </x:c>
      <x:c r="L1253" t="str">
        <x:v>Kings</x:v>
      </x:c>
      <x:c r="M1253" t="str">
        <x:v>New York</x:v>
      </x:c>
      <x:c r="N1253" t="str">
        <x:v>DOMESTIC LIMITED LIABILITY COMPANY</x:v>
      </x:c>
      <x:c r="O1253" t="str">
        <x:v>PAB HOLDINGS LLC</x:v>
      </x:c>
      <x:c r="P1253" t="str">
        <x:v>135 13TH STREET, BROOKLYN, NY, 11215</x:v>
      </x:c>
      <x:c r="Q1253" t="str"/>
      <x:c r="R1253" t="str"/>
      <x:c r="S1253" t="str"/>
      <x:c r="T1253" t="str"/>
      <x:c r="U1253" t="str"/>
      <x:c r="V1253" t="str"/>
      <x:c r="W1253" t="str"/>
      <x:c r="X1253" t="str"/>
      <x:c r="Y1253" t="str">
        <x:v>https://data.ny.gov/Economic-Development/Active-Corporations-Beginning-1800/n9v6-gdp6</x:v>
      </x:c>
    </x:row>
    <x:row r="1254">
      <x:c r="A1254" t="str">
        <x:v>DOS-6-009</x:v>
      </x:c>
      <x:c r="B1254" t="n">
        <x:v>6</x:v>
      </x:c>
      <x:c r="C1254" t="str">
        <x:v>1221 82ND STREET, BROOKLYN, NY, 11228, US</x:v>
      </x:c>
      <x:c r="D1254" t="str">
        <x:v>PAB LAND HOLDING LLC</x:v>
      </x:c>
      <x:c r="E1254" t="str">
        <x:v>PAB LAND HOLDING LLC</x:v>
      </x:c>
      <x:c r="F1254" t="str">
        <x:v>Active name match</x:v>
      </x:c>
      <x:c r="G1254" t="n">
        <x:v>1</x:v>
      </x:c>
      <x:c r="H1254" t="n">
        <x:v>0</x:v>
      </x:c>
      <x:c r="I1254" t="str">
        <x:v>3203940</x:v>
      </x:c>
      <x:c r="J1254" t="str">
        <x:v>PAB LAND HOLDING LLC</x:v>
      </x:c>
      <x:c r="K1254" s="55" t="n">
        <x:v>38484</x:v>
      </x:c>
      <x:c r="L1254" t="str">
        <x:v>Kings</x:v>
      </x:c>
      <x:c r="M1254" t="str">
        <x:v>New York</x:v>
      </x:c>
      <x:c r="N1254" t="str">
        <x:v>DOMESTIC LIMITED LIABILITY COMPANY</x:v>
      </x:c>
      <x:c r="O1254" t="str">
        <x:v>PAB LAND HOLDING LLC</x:v>
      </x:c>
      <x:c r="P1254" t="str">
        <x:v>135 13TH STREET, BROOKLYN, NY, 11215</x:v>
      </x:c>
      <x:c r="Q1254" t="str"/>
      <x:c r="R1254" t="str"/>
      <x:c r="S1254" t="str"/>
      <x:c r="T1254" t="str"/>
      <x:c r="U1254" t="str"/>
      <x:c r="V1254" t="str"/>
      <x:c r="W1254" t="str"/>
      <x:c r="X1254" t="str"/>
      <x:c r="Y1254" t="str">
        <x:v>https://data.ny.gov/Economic-Development/Active-Corporations-Beginning-1800/n9v6-gdp6</x:v>
      </x:c>
    </x:row>
    <x:row r="1255">
      <x:c r="A1255" t="str">
        <x:v>DOS-6-009</x:v>
      </x:c>
      <x:c r="B1255" t="n">
        <x:v>6</x:v>
      </x:c>
      <x:c r="C1255" t="str">
        <x:v>1221 82ND STREET, BROOKLYN, NY, 11228, US</x:v>
      </x:c>
      <x:c r="D1255" t="str">
        <x:v>SB 35 36 REALTY LLC</x:v>
      </x:c>
      <x:c r="E1255" t="str">
        <x:v>SB 35-36 REALTY LLC</x:v>
      </x:c>
      <x:c r="F1255" t="str">
        <x:v>Active name match</x:v>
      </x:c>
      <x:c r="G1255" t="n">
        <x:v>1</x:v>
      </x:c>
      <x:c r="H1255" t="n">
        <x:v>0</x:v>
      </x:c>
      <x:c r="I1255" t="str">
        <x:v>3362499</x:v>
      </x:c>
      <x:c r="J1255" t="str">
        <x:v>SB 35-36 REALTY LLC</x:v>
      </x:c>
      <x:c r="K1255" s="55" t="n">
        <x:v>38852</x:v>
      </x:c>
      <x:c r="L1255" t="str">
        <x:v>Kings</x:v>
      </x:c>
      <x:c r="M1255" t="str">
        <x:v>New York</x:v>
      </x:c>
      <x:c r="N1255" t="str">
        <x:v>DOMESTIC LIMITED LIABILITY COMPANY</x:v>
      </x:c>
      <x:c r="O1255" t="str">
        <x:v>SB 35-36 REALTY LLC</x:v>
      </x:c>
      <x:c r="P1255" t="str">
        <x:v>135 13TH STREET, BROOKLYN, NY, 11215</x:v>
      </x:c>
      <x:c r="Q1255" t="str"/>
      <x:c r="R1255" t="str"/>
      <x:c r="S1255" t="str"/>
      <x:c r="T1255" t="str"/>
      <x:c r="U1255" t="str"/>
      <x:c r="V1255" t="str"/>
      <x:c r="W1255" t="str"/>
      <x:c r="X1255" t="str"/>
      <x:c r="Y1255" t="str">
        <x:v>https://data.ny.gov/Economic-Development/Active-Corporations-Beginning-1800/n9v6-gdp6</x:v>
      </x:c>
    </x:row>
    <x:row r="1256">
      <x:c r="A1256" t="str">
        <x:v>DOS-6-010</x:v>
      </x:c>
      <x:c r="B1256" t="n">
        <x:v>6</x:v>
      </x:c>
      <x:c r="C1256" t="str">
        <x:v>136-20 38TH AVENUE, 12TH FLOOR, FLUSHING, NY, 11354, US</x:v>
      </x:c>
      <x:c r="D1256" t="str">
        <x:v>2FS SCG GARAGE LLC</x:v>
      </x:c>
      <x:c r="E1256" t="str">
        <x:v>2FS SCG GARAGE LLC</x:v>
      </x:c>
      <x:c r="F1256" t="str">
        <x:v>Active name match</x:v>
      </x:c>
      <x:c r="G1256" t="n">
        <x:v>1</x:v>
      </x:c>
      <x:c r="H1256" t="n">
        <x:v>1</x:v>
      </x:c>
      <x:c r="I1256" t="str">
        <x:v>5566986</x:v>
      </x:c>
      <x:c r="J1256" t="str">
        <x:v>2FS SCG GARAGE LLC</x:v>
      </x:c>
      <x:c r="K1256" s="55" t="n">
        <x:v>43623</x:v>
      </x:c>
      <x:c r="L1256" t="str">
        <x:v>Queens</x:v>
      </x:c>
      <x:c r="M1256" t="str">
        <x:v>Delaware</x:v>
      </x:c>
      <x:c r="N1256" t="str">
        <x:v>FOREIGN LIMITED LIABILITY COMPANY</x:v>
      </x:c>
      <x:c r="O1256" t="str">
        <x:v>2FS SCG GARAGE LLC</x:v>
      </x:c>
      <x:c r="P1256" t="str">
        <x:v>37-12 PRINCE STREET, PH 2A, PH2A, FLUSHING, NY, 11354</x:v>
      </x:c>
      <x:c r="Q1256" t="str"/>
      <x:c r="R1256" t="str"/>
      <x:c r="S1256" t="str"/>
      <x:c r="T1256" t="str"/>
      <x:c r="U1256" t="str"/>
      <x:c r="V1256" t="str"/>
      <x:c r="W1256" t="str"/>
      <x:c r="X1256" t="str"/>
      <x:c r="Y1256" t="str">
        <x:v>https://data.ny.gov/Economic-Development/Active-Corporations-Beginning-1800/n9v6-gdp6</x:v>
      </x:c>
    </x:row>
    <x:row r="1257">
      <x:c r="A1257" t="str">
        <x:v>DOS-6-010</x:v>
      </x:c>
      <x:c r="B1257" t="n">
        <x:v>6</x:v>
      </x:c>
      <x:c r="C1257" t="str">
        <x:v>136-20 38TH AVENUE, 12TH FLOOR, FLUSHING, NY, 11354, US</x:v>
      </x:c>
      <x:c r="D1257" t="str">
        <x:v>2FS SCG RETAIL LLC</x:v>
      </x:c>
      <x:c r="E1257" t="str">
        <x:v>2FS SCG RETAIL LLC</x:v>
      </x:c>
      <x:c r="F1257" t="str">
        <x:v>Active name match</x:v>
      </x:c>
      <x:c r="G1257" t="n">
        <x:v>1</x:v>
      </x:c>
      <x:c r="H1257" t="n">
        <x:v>1</x:v>
      </x:c>
      <x:c r="I1257" t="str">
        <x:v>5566938</x:v>
      </x:c>
      <x:c r="J1257" t="str">
        <x:v>2FS SCG RETAIL LLC</x:v>
      </x:c>
      <x:c r="K1257" s="55" t="n">
        <x:v>43623</x:v>
      </x:c>
      <x:c r="L1257" t="str">
        <x:v>Queens</x:v>
      </x:c>
      <x:c r="M1257" t="str">
        <x:v>Delaware</x:v>
      </x:c>
      <x:c r="N1257" t="str">
        <x:v>FOREIGN LIMITED LIABILITY COMPANY</x:v>
      </x:c>
      <x:c r="O1257" t="str">
        <x:v>2FS SCG RETAIL LLC</x:v>
      </x:c>
      <x:c r="P1257" t="str">
        <x:v>37-12 PRINCE STREET, PH 2A, PH2A, FLUSHING, NY, 11354</x:v>
      </x:c>
      <x:c r="Q1257" t="str"/>
      <x:c r="R1257" t="str"/>
      <x:c r="S1257" t="str"/>
      <x:c r="T1257" t="str"/>
      <x:c r="U1257" t="str"/>
      <x:c r="V1257" t="str"/>
      <x:c r="W1257" t="str"/>
      <x:c r="X1257" t="str"/>
      <x:c r="Y1257" t="str">
        <x:v>https://data.ny.gov/Economic-Development/Active-Corporations-Beginning-1800/n9v6-gdp6</x:v>
      </x:c>
    </x:row>
    <x:row r="1258">
      <x:c r="A1258" t="str">
        <x:v>DOS-6-010</x:v>
      </x:c>
      <x:c r="B1258" t="n">
        <x:v>6</x:v>
      </x:c>
      <x:c r="C1258" t="str">
        <x:v>136-20 38TH AVENUE, 12TH FLOOR, FLUSHING, NY, 11354, US</x:v>
      </x:c>
      <x:c r="D1258" t="str">
        <x:v>3532 CPB LLC</x:v>
      </x:c>
      <x:c r="E1258" t="str">
        <x:v>3532 CPB LLC</x:v>
      </x:c>
      <x:c r="F1258" t="str">
        <x:v>Active name match</x:v>
      </x:c>
      <x:c r="G1258" t="n">
        <x:v>1</x:v>
      </x:c>
      <x:c r="H1258" t="n">
        <x:v>1</x:v>
      </x:c>
      <x:c r="I1258" t="str">
        <x:v>4847092</x:v>
      </x:c>
      <x:c r="J1258" t="str">
        <x:v>3532 CPB LLC</x:v>
      </x:c>
      <x:c r="K1258" s="55" t="n">
        <x:v>42317</x:v>
      </x:c>
      <x:c r="L1258" t="str">
        <x:v>Queens</x:v>
      </x:c>
      <x:c r="M1258" t="str">
        <x:v>New York</x:v>
      </x:c>
      <x:c r="N1258" t="str">
        <x:v>DOMESTIC LIMITED LIABILITY COMPANY</x:v>
      </x:c>
      <x:c r="O1258" t="str">
        <x:v>3532 CPB LLC</x:v>
      </x:c>
      <x:c r="P1258" t="str">
        <x:v>37-12 PRINCE STREET, PH2A, FLUSHING, NY, 11354</x:v>
      </x:c>
      <x:c r="Q1258" t="str"/>
      <x:c r="R1258" t="str"/>
      <x:c r="S1258" t="str"/>
      <x:c r="T1258" t="str"/>
      <x:c r="U1258" t="str"/>
      <x:c r="V1258" t="str"/>
      <x:c r="W1258" t="str"/>
      <x:c r="X1258" t="str"/>
      <x:c r="Y1258" t="str">
        <x:v>https://data.ny.gov/Economic-Development/Active-Corporations-Beginning-1800/n9v6-gdp6</x:v>
      </x:c>
    </x:row>
    <x:row r="1259">
      <x:c r="A1259" t="str">
        <x:v>DOS-6-010</x:v>
      </x:c>
      <x:c r="B1259" t="n">
        <x:v>6</x:v>
      </x:c>
      <x:c r="C1259" t="str">
        <x:v>136-20 38TH AVENUE, 12TH FLOOR, FLUSHING, NY, 11354, US</x:v>
      </x:c>
      <x:c r="D1259" t="str">
        <x:v>39 PRINCE REALTY LLC</x:v>
      </x:c>
      <x:c r="E1259" t="str">
        <x:v>39 PRINCE REALTY, LLC</x:v>
      </x:c>
      <x:c r="F1259" t="str">
        <x:v>Active name match</x:v>
      </x:c>
      <x:c r="G1259" t="n">
        <x:v>1</x:v>
      </x:c>
      <x:c r="H1259" t="n">
        <x:v>1</x:v>
      </x:c>
      <x:c r="I1259" t="str">
        <x:v>2936880</x:v>
      </x:c>
      <x:c r="J1259" t="str">
        <x:v>39 PRINCE REALTY, LLC</x:v>
      </x:c>
      <x:c r="K1259" s="55" t="n">
        <x:v>37832</x:v>
      </x:c>
      <x:c r="L1259" t="str">
        <x:v>Queens</x:v>
      </x:c>
      <x:c r="M1259" t="str">
        <x:v>New York</x:v>
      </x:c>
      <x:c r="N1259" t="str">
        <x:v>DOMESTIC LIMITED LIABILITY COMPANY</x:v>
      </x:c>
      <x:c r="O1259" t="str">
        <x:v>39 PRINCE REALTY, LLC</x:v>
      </x:c>
      <x:c r="P1259" t="str">
        <x:v>37-12 PRINCE STREET, PH2, FLUSHING, NY, 11354</x:v>
      </x:c>
      <x:c r="Q1259" t="str"/>
      <x:c r="R1259" t="str"/>
      <x:c r="S1259" t="str">
        <x:v>EARLE R. TOCKMAN</x:v>
      </x:c>
      <x:c r="T1259" t="str">
        <x:v>136-20 38TH AVENUE, 12TH FLOOR, FLUSHING, NEW YORK, 11354</x:v>
      </x:c>
      <x:c r="U1259" t="str"/>
      <x:c r="V1259" t="str"/>
      <x:c r="W1259" t="str"/>
      <x:c r="X1259" t="str"/>
      <x:c r="Y1259" t="str">
        <x:v>https://data.ny.gov/Economic-Development/Active-Corporations-Beginning-1800/n9v6-gdp6</x:v>
      </x:c>
    </x:row>
    <x:row r="1260">
      <x:c r="A1260" t="str">
        <x:v>DOS-6-010</x:v>
      </x:c>
      <x:c r="B1260" t="n">
        <x:v>6</x:v>
      </x:c>
      <x:c r="C1260" t="str">
        <x:v>136-20 38TH AVENUE, 12TH FLOOR, FLUSHING, NY, 11354, US</x:v>
      </x:c>
      <x:c r="D1260" t="str">
        <x:v>OFS HP LLC</x:v>
      </x:c>
      <x:c r="E1260" t="str">
        <x:v>OFS-HP LLC</x:v>
      </x:c>
      <x:c r="F1260" t="str">
        <x:v>Active name match</x:v>
      </x:c>
      <x:c r="G1260" t="n">
        <x:v>1</x:v>
      </x:c>
      <x:c r="H1260" t="n">
        <x:v>1</x:v>
      </x:c>
      <x:c r="I1260" t="str">
        <x:v>4671931</x:v>
      </x:c>
      <x:c r="J1260" t="str">
        <x:v>OFS-HP LLC</x:v>
      </x:c>
      <x:c r="K1260" s="55" t="n">
        <x:v>41968</x:v>
      </x:c>
      <x:c r="L1260" t="str">
        <x:v>Queens</x:v>
      </x:c>
      <x:c r="M1260" t="str">
        <x:v>New York</x:v>
      </x:c>
      <x:c r="N1260" t="str">
        <x:v>DOMESTIC LIMITED LIABILITY COMPANY</x:v>
      </x:c>
      <x:c r="O1260" t="str">
        <x:v>OFS-HP LLC</x:v>
      </x:c>
      <x:c r="P1260" t="str">
        <x:v>37-12 PRINCE STREET, PH2A, FLUSHING, NY, 11354</x:v>
      </x:c>
      <x:c r="Q1260" t="str"/>
      <x:c r="R1260" t="str"/>
      <x:c r="S1260" t="str"/>
      <x:c r="T1260" t="str"/>
      <x:c r="U1260" t="str"/>
      <x:c r="V1260" t="str"/>
      <x:c r="W1260" t="str"/>
      <x:c r="X1260" t="str"/>
      <x:c r="Y1260" t="str">
        <x:v>https://data.ny.gov/Economic-Development/Active-Corporations-Beginning-1800/n9v6-gdp6</x:v>
      </x:c>
    </x:row>
    <x:row r="1261">
      <x:c r="A1261" t="str">
        <x:v>DOS-6-010</x:v>
      </x:c>
      <x:c r="B1261" t="n">
        <x:v>6</x:v>
      </x:c>
      <x:c r="C1261" t="str">
        <x:v>136-20 38TH AVENUE, 12TH FLOOR, FLUSHING, NY, 11354, US</x:v>
      </x:c>
      <x:c r="D1261" t="str">
        <x:v>THREE FULTON SQUARE LLC</x:v>
      </x:c>
      <x:c r="E1261" t="str">
        <x:v>THREE FULTON SQUARE LLC</x:v>
      </x:c>
      <x:c r="F1261" t="str">
        <x:v>Active name match</x:v>
      </x:c>
      <x:c r="G1261" t="n">
        <x:v>1</x:v>
      </x:c>
      <x:c r="H1261" t="n">
        <x:v>0</x:v>
      </x:c>
      <x:c r="I1261" t="str">
        <x:v>4393569</x:v>
      </x:c>
      <x:c r="J1261" t="str">
        <x:v>THREE FULTON SQUARE LLC</x:v>
      </x:c>
      <x:c r="K1261" s="55" t="n">
        <x:v>41388</x:v>
      </x:c>
      <x:c r="L1261" t="str">
        <x:v>Queens</x:v>
      </x:c>
      <x:c r="M1261" t="str">
        <x:v>New York</x:v>
      </x:c>
      <x:c r="N1261" t="str">
        <x:v>DOMESTIC LIMITED LIABILITY COMPANY</x:v>
      </x:c>
      <x:c r="O1261" t="str">
        <x:v>THREE FULTON SQUARE LLC</x:v>
      </x:c>
      <x:c r="P1261" t="str">
        <x:v>1500 Broadway, Suite 3300, New York, NY, 10009</x:v>
      </x:c>
      <x:c r="Q1261" t="str"/>
      <x:c r="R1261" t="str"/>
      <x:c r="S1261" t="str"/>
      <x:c r="T1261" t="str"/>
      <x:c r="U1261" t="str"/>
      <x:c r="V1261" t="str"/>
      <x:c r="W1261" t="str"/>
      <x:c r="X1261" t="str"/>
      <x:c r="Y1261" t="str">
        <x:v>https://data.ny.gov/Economic-Development/Active-Corporations-Beginning-1800/n9v6-gdp6</x:v>
      </x:c>
    </x:row>
    <x:row r="1262">
      <x:c r="A1262" t="str">
        <x:v>DOS-6-011</x:v>
      </x:c>
      <x:c r="B1262" t="n">
        <x:v>6</x:v>
      </x:c>
      <x:c r="C1262" t="str">
        <x:v>162 SOUTH 8TH STREET, BROOKLYN, NY, 11211, US</x:v>
      </x:c>
      <x:c r="D1262" t="str">
        <x:v>153 DIVISION LLC</x:v>
      </x:c>
      <x:c r="E1262" t="str">
        <x:v>153 DIVISION LLC</x:v>
      </x:c>
      <x:c r="F1262" t="str">
        <x:v>Active name match</x:v>
      </x:c>
      <x:c r="G1262" t="n">
        <x:v>1</x:v>
      </x:c>
      <x:c r="H1262" t="n">
        <x:v>0</x:v>
      </x:c>
      <x:c r="I1262" t="str">
        <x:v>5053693</x:v>
      </x:c>
      <x:c r="J1262" t="str">
        <x:v>153 DIVISION LLC</x:v>
      </x:c>
      <x:c r="K1262" s="55" t="n">
        <x:v>42719</x:v>
      </x:c>
      <x:c r="L1262" t="str">
        <x:v>Kings</x:v>
      </x:c>
      <x:c r="M1262" t="str">
        <x:v>New York</x:v>
      </x:c>
      <x:c r="N1262" t="str">
        <x:v>DOMESTIC LIMITED LIABILITY COMPANY</x:v>
      </x:c>
      <x:c r="O1262" t="str">
        <x:v>153 DIVISION LLC</x:v>
      </x:c>
      <x:c r="P1262" t="str">
        <x:v>250 Skillman Street, #601, BROOKLYN, NY, 11205</x:v>
      </x:c>
      <x:c r="Q1262" t="str"/>
      <x:c r="R1262" t="str"/>
      <x:c r="S1262" t="str"/>
      <x:c r="T1262" t="str"/>
      <x:c r="U1262" t="str"/>
      <x:c r="V1262" t="str"/>
      <x:c r="W1262" t="str"/>
      <x:c r="X1262" t="str"/>
      <x:c r="Y1262" t="str">
        <x:v>https://data.ny.gov/Economic-Development/Active-Corporations-Beginning-1800/n9v6-gdp6</x:v>
      </x:c>
    </x:row>
    <x:row r="1263">
      <x:c r="A1263" t="str">
        <x:v>DOS-6-011</x:v>
      </x:c>
      <x:c r="B1263" t="n">
        <x:v>6</x:v>
      </x:c>
      <x:c r="C1263" t="str">
        <x:v>162 SOUTH 8TH STREET, BROOKLYN, NY, 11211, US</x:v>
      </x:c>
      <x:c r="D1263" t="str">
        <x:v>EMPIRE ESTATES HOLDING LLC</x:v>
      </x:c>
      <x:c r="E1263" t="str">
        <x:v>EMPIRE ESTATES HOLDING, LLC</x:v>
      </x:c>
      <x:c r="F1263" t="str">
        <x:v>Address-corroborated active match</x:v>
      </x:c>
      <x:c r="G1263" t="n">
        <x:v>1</x:v>
      </x:c>
      <x:c r="H1263" t="n">
        <x:v>2</x:v>
      </x:c>
      <x:c r="I1263" t="str">
        <x:v>4705799</x:v>
      </x:c>
      <x:c r="J1263" t="str">
        <x:v>EMPIRE ESTATES HOLDING, LLC</x:v>
      </x:c>
      <x:c r="K1263" s="55" t="n">
        <x:v>42040</x:v>
      </x:c>
      <x:c r="L1263" t="str">
        <x:v>Kings</x:v>
      </x:c>
      <x:c r="M1263" t="str">
        <x:v>New York</x:v>
      </x:c>
      <x:c r="N1263" t="str">
        <x:v>DOMESTIC LIMITED LIABILITY COMPANY</x:v>
      </x:c>
      <x:c r="O1263" t="str">
        <x:v>EMPIRE ESTATES HOLDING, LLC</x:v>
      </x:c>
      <x:c r="P1263" t="str">
        <x:v>162 SOUTH 8TH STREET, BROOKLYN, NY, 11211</x:v>
      </x:c>
      <x:c r="Q1263" t="str"/>
      <x:c r="R1263" t="str"/>
      <x:c r="S1263" t="str"/>
      <x:c r="T1263" t="str"/>
      <x:c r="U1263" t="str"/>
      <x:c r="V1263" t="str"/>
      <x:c r="W1263" t="str"/>
      <x:c r="X1263" t="str"/>
      <x:c r="Y1263" t="str">
        <x:v>https://data.ny.gov/Economic-Development/Active-Corporations-Beginning-1800/n9v6-gdp6</x:v>
      </x:c>
    </x:row>
    <x:row r="1264">
      <x:c r="A1264" t="str">
        <x:v>DOS-6-011</x:v>
      </x:c>
      <x:c r="B1264" t="n">
        <x:v>6</x:v>
      </x:c>
      <x:c r="C1264" t="str">
        <x:v>162 SOUTH 8TH STREET, BROOKLYN, NY, 11211, US</x:v>
      </x:c>
      <x:c r="D1264" t="str">
        <x:v>HERKIMER I ESTATES LLC</x:v>
      </x:c>
      <x:c r="E1264" t="str">
        <x:v>HERKIMER I ESTATES LLC</x:v>
      </x:c>
      <x:c r="F1264" t="str">
        <x:v>Address-corroborated active match</x:v>
      </x:c>
      <x:c r="G1264" t="n">
        <x:v>1</x:v>
      </x:c>
      <x:c r="H1264" t="n">
        <x:v>2</x:v>
      </x:c>
      <x:c r="I1264" t="str">
        <x:v>4995612</x:v>
      </x:c>
      <x:c r="J1264" t="str">
        <x:v>HERKIMER I ESTATES LLC</x:v>
      </x:c>
      <x:c r="K1264" s="55" t="n">
        <x:v>42600</x:v>
      </x:c>
      <x:c r="L1264" t="str">
        <x:v>Kings</x:v>
      </x:c>
      <x:c r="M1264" t="str">
        <x:v>New York</x:v>
      </x:c>
      <x:c r="N1264" t="str">
        <x:v>DOMESTIC LIMITED LIABILITY COMPANY</x:v>
      </x:c>
      <x:c r="O1264" t="str">
        <x:v>HERKIMER I ESTATES LLC</x:v>
      </x:c>
      <x:c r="P1264" t="str">
        <x:v>162 SOUTH 8TH STREET, BROOKLYN, NY, 11211</x:v>
      </x:c>
      <x:c r="Q1264" t="str"/>
      <x:c r="R1264" t="str"/>
      <x:c r="S1264" t="str"/>
      <x:c r="T1264" t="str"/>
      <x:c r="U1264" t="str"/>
      <x:c r="V1264" t="str"/>
      <x:c r="W1264" t="str"/>
      <x:c r="X1264" t="str"/>
      <x:c r="Y1264" t="str">
        <x:v>https://data.ny.gov/Economic-Development/Active-Corporations-Beginning-1800/n9v6-gdp6</x:v>
      </x:c>
    </x:row>
    <x:row r="1265">
      <x:c r="A1265" t="str">
        <x:v>DOS-6-011</x:v>
      </x:c>
      <x:c r="B1265" t="n">
        <x:v>6</x:v>
      </x:c>
      <x:c r="C1265" t="str">
        <x:v>162 SOUTH 8TH STREET, BROOKLYN, NY, 11211, US</x:v>
      </x:c>
      <x:c r="D1265" t="str">
        <x:v>HERKIMER II ESTATES LLC</x:v>
      </x:c>
      <x:c r="E1265" t="str">
        <x:v>HERKIMER II ESTATES LLC</x:v>
      </x:c>
      <x:c r="F1265" t="str">
        <x:v>Address-corroborated active match</x:v>
      </x:c>
      <x:c r="G1265" t="n">
        <x:v>1</x:v>
      </x:c>
      <x:c r="H1265" t="n">
        <x:v>2</x:v>
      </x:c>
      <x:c r="I1265" t="str">
        <x:v>4995627</x:v>
      </x:c>
      <x:c r="J1265" t="str">
        <x:v>HERKIMER II ESTATES LLC</x:v>
      </x:c>
      <x:c r="K1265" s="55" t="n">
        <x:v>42600</x:v>
      </x:c>
      <x:c r="L1265" t="str">
        <x:v>Kings</x:v>
      </x:c>
      <x:c r="M1265" t="str">
        <x:v>New York</x:v>
      </x:c>
      <x:c r="N1265" t="str">
        <x:v>DOMESTIC LIMITED LIABILITY COMPANY</x:v>
      </x:c>
      <x:c r="O1265" t="str">
        <x:v>HERKIMER II ESTATES LLC</x:v>
      </x:c>
      <x:c r="P1265" t="str">
        <x:v>162 SOUTH 8TH STREET, BROOKLYN, NY, 11211</x:v>
      </x:c>
      <x:c r="Q1265" t="str"/>
      <x:c r="R1265" t="str"/>
      <x:c r="S1265" t="str"/>
      <x:c r="T1265" t="str"/>
      <x:c r="U1265" t="str"/>
      <x:c r="V1265" t="str"/>
      <x:c r="W1265" t="str"/>
      <x:c r="X1265" t="str"/>
      <x:c r="Y1265" t="str">
        <x:v>https://data.ny.gov/Economic-Development/Active-Corporations-Beginning-1800/n9v6-gdp6</x:v>
      </x:c>
    </x:row>
    <x:row r="1266">
      <x:c r="A1266" t="str">
        <x:v>DOS-6-011</x:v>
      </x:c>
      <x:c r="B1266" t="n">
        <x:v>6</x:v>
      </x:c>
      <x:c r="C1266" t="str">
        <x:v>162 SOUTH 8TH STREET, BROOKLYN, NY, 11211, US</x:v>
      </x:c>
      <x:c r="D1266" t="str">
        <x:v>MADISON PARK ESTATES LLC</x:v>
      </x:c>
      <x:c r="E1266" t="str">
        <x:v>MADISON PARK ESTATES LLC</x:v>
      </x:c>
      <x:c r="F1266" t="str">
        <x:v>Address-corroborated active match</x:v>
      </x:c>
      <x:c r="G1266" t="n">
        <x:v>1</x:v>
      </x:c>
      <x:c r="H1266" t="n">
        <x:v>2</x:v>
      </x:c>
      <x:c r="I1266" t="str">
        <x:v>4995635</x:v>
      </x:c>
      <x:c r="J1266" t="str">
        <x:v>MADISON PARK ESTATES LLC</x:v>
      </x:c>
      <x:c r="K1266" s="55" t="n">
        <x:v>42600</x:v>
      </x:c>
      <x:c r="L1266" t="str">
        <x:v>Kings</x:v>
      </x:c>
      <x:c r="M1266" t="str">
        <x:v>New York</x:v>
      </x:c>
      <x:c r="N1266" t="str">
        <x:v>DOMESTIC LIMITED LIABILITY COMPANY</x:v>
      </x:c>
      <x:c r="O1266" t="str">
        <x:v>MADISON PARK ESTATES LLC</x:v>
      </x:c>
      <x:c r="P1266" t="str">
        <x:v>162 SOUTH 8TH STREET, BROOKLYN, NY, 11211</x:v>
      </x:c>
      <x:c r="Q1266" t="str"/>
      <x:c r="R1266" t="str"/>
      <x:c r="S1266" t="str"/>
      <x:c r="T1266" t="str"/>
      <x:c r="U1266" t="str"/>
      <x:c r="V1266" t="str"/>
      <x:c r="W1266" t="str"/>
      <x:c r="X1266" t="str"/>
      <x:c r="Y1266" t="str">
        <x:v>https://data.ny.gov/Economic-Development/Active-Corporations-Beginning-1800/n9v6-gdp6</x:v>
      </x:c>
    </x:row>
    <x:row r="1267">
      <x:c r="A1267" t="str">
        <x:v>DOS-6-011</x:v>
      </x:c>
      <x:c r="B1267" t="n">
        <x:v>6</x:v>
      </x:c>
      <x:c r="C1267" t="str">
        <x:v>162 SOUTH 8TH STREET, BROOKLYN, NY, 11211, US</x:v>
      </x:c>
      <x:c r="D1267" t="str">
        <x:v>PULASKI PARK ESTATES LLC</x:v>
      </x:c>
      <x:c r="E1267" t="str">
        <x:v>PULASKI PARK ESTATES LLC</x:v>
      </x:c>
      <x:c r="F1267" t="str">
        <x:v>Address-corroborated active match</x:v>
      </x:c>
      <x:c r="G1267" t="n">
        <x:v>1</x:v>
      </x:c>
      <x:c r="H1267" t="n">
        <x:v>2</x:v>
      </x:c>
      <x:c r="I1267" t="str">
        <x:v>5430499</x:v>
      </x:c>
      <x:c r="J1267" t="str">
        <x:v>PULASKI PARK ESTATES LLC</x:v>
      </x:c>
      <x:c r="K1267" s="55" t="n">
        <x:v>43396</x:v>
      </x:c>
      <x:c r="L1267" t="str">
        <x:v>Kings</x:v>
      </x:c>
      <x:c r="M1267" t="str">
        <x:v>New York</x:v>
      </x:c>
      <x:c r="N1267" t="str">
        <x:v>DOMESTIC LIMITED LIABILITY COMPANY</x:v>
      </x:c>
      <x:c r="O1267" t="str">
        <x:v>PULASKI PARK ESTATES LLC</x:v>
      </x:c>
      <x:c r="P1267" t="str">
        <x:v>162 SOUTH 8TH STREET, BROOKLYN, NY, 11211</x:v>
      </x:c>
      <x:c r="Q1267" t="str"/>
      <x:c r="R1267" t="str"/>
      <x:c r="S1267" t="str"/>
      <x:c r="T1267" t="str"/>
      <x:c r="U1267" t="str"/>
      <x:c r="V1267" t="str"/>
      <x:c r="W1267" t="str"/>
      <x:c r="X1267" t="str"/>
      <x:c r="Y1267" t="str">
        <x:v>https://data.ny.gov/Economic-Development/Active-Corporations-Beginning-1800/n9v6-gdp6</x:v>
      </x:c>
    </x:row>
    <x:row r="1268">
      <x:c r="A1268" t="str">
        <x:v>DOS-6-012</x:v>
      </x:c>
      <x:c r="B1268" t="n">
        <x:v>6</x:v>
      </x:c>
      <x:c r="C1268" t="str">
        <x:v>PO BOX 3545, NEW HYDE PARK, NY, 11040, US</x:v>
      </x:c>
      <x:c r="D1268" t="str">
        <x:v>15TH ASSOCIATES LLC</x:v>
      </x:c>
      <x:c r="E1268" t="str">
        <x:v>15TH ASSOCIATES LLC</x:v>
      </x:c>
      <x:c r="F1268" t="str">
        <x:v>Active name match</x:v>
      </x:c>
      <x:c r="G1268" t="n">
        <x:v>1</x:v>
      </x:c>
      <x:c r="H1268" t="n">
        <x:v>1</x:v>
      </x:c>
      <x:c r="I1268" t="str">
        <x:v>2092216</x:v>
      </x:c>
      <x:c r="J1268" t="str">
        <x:v>15TH ASSOCIATES LLC</x:v>
      </x:c>
      <x:c r="K1268" s="55" t="n">
        <x:v>35411</x:v>
      </x:c>
      <x:c r="L1268" t="str">
        <x:v>Nassau</x:v>
      </x:c>
      <x:c r="M1268" t="str">
        <x:v>New York</x:v>
      </x:c>
      <x:c r="N1268" t="str">
        <x:v>DOMESTIC LIMITED LIABILITY COMPANY</x:v>
      </x:c>
      <x:c r="O1268" t="str">
        <x:v>15TH ASSOCIATES LLC</x:v>
      </x:c>
      <x:c r="P1268" t="str">
        <x:v>P.O. BOX 3545, NEW HYDE PARK, NY, 11040</x:v>
      </x:c>
      <x:c r="Q1268" t="str"/>
      <x:c r="R1268" t="str"/>
      <x:c r="S1268" t="str"/>
      <x:c r="T1268" t="str"/>
      <x:c r="U1268" t="str"/>
      <x:c r="V1268" t="str"/>
      <x:c r="W1268" t="str"/>
      <x:c r="X1268" t="str"/>
      <x:c r="Y1268" t="str">
        <x:v>https://data.ny.gov/Economic-Development/Active-Corporations-Beginning-1800/n9v6-gdp6</x:v>
      </x:c>
    </x:row>
    <x:row r="1269">
      <x:c r="A1269" t="str">
        <x:v>DOS-6-012</x:v>
      </x:c>
      <x:c r="B1269" t="n">
        <x:v>6</x:v>
      </x:c>
      <x:c r="C1269" t="str">
        <x:v>PO BOX 3545, NEW HYDE PARK, NY, 11040, US</x:v>
      </x:c>
      <x:c r="D1269" t="str">
        <x:v>BRUNO ILIBASSI LLC</x:v>
      </x:c>
      <x:c r="E1269" t="str">
        <x:v>BRUNO ILIBASSI LLC</x:v>
      </x:c>
      <x:c r="F1269" t="str">
        <x:v>Active name match</x:v>
      </x:c>
      <x:c r="G1269" t="n">
        <x:v>1</x:v>
      </x:c>
      <x:c r="H1269" t="n">
        <x:v>1</x:v>
      </x:c>
      <x:c r="I1269" t="str">
        <x:v>1963998</x:v>
      </x:c>
      <x:c r="J1269" t="str">
        <x:v>BRUNO ILIBASSI, LLC</x:v>
      </x:c>
      <x:c r="K1269" s="55" t="n">
        <x:v>34984</x:v>
      </x:c>
      <x:c r="L1269" t="str">
        <x:v>Nassau</x:v>
      </x:c>
      <x:c r="M1269" t="str">
        <x:v>New York</x:v>
      </x:c>
      <x:c r="N1269" t="str">
        <x:v>DOMESTIC LIMITED LIABILITY COMPANY</x:v>
      </x:c>
      <x:c r="O1269" t="str">
        <x:v>BRUNO ILIBASSI, LLC</x:v>
      </x:c>
      <x:c r="P1269" t="str">
        <x:v>P.O. BOX 3557, NEW HYDE PARK, NY, 11040</x:v>
      </x:c>
      <x:c r="Q1269" t="str"/>
      <x:c r="R1269" t="str"/>
      <x:c r="S1269" t="str"/>
      <x:c r="T1269" t="str"/>
      <x:c r="U1269" t="str"/>
      <x:c r="V1269" t="str"/>
      <x:c r="W1269" t="str"/>
      <x:c r="X1269" t="str"/>
      <x:c r="Y1269" t="str">
        <x:v>https://data.ny.gov/Economic-Development/Active-Corporations-Beginning-1800/n9v6-gdp6</x:v>
      </x:c>
    </x:row>
    <x:row r="1270">
      <x:c r="A1270" t="str">
        <x:v>DOS-6-012</x:v>
      </x:c>
      <x:c r="B1270" t="n">
        <x:v>6</x:v>
      </x:c>
      <x:c r="C1270" t="str">
        <x:v>PO BOX 3545, NEW HYDE PARK, NY, 11040, US</x:v>
      </x:c>
      <x:c r="D1270" t="str">
        <x:v>FONTANA REALTY LLC</x:v>
      </x:c>
      <x:c r="E1270" t="str">
        <x:v>FONTANA REALTY LLC</x:v>
      </x:c>
      <x:c r="F1270" t="str">
        <x:v>Active name match</x:v>
      </x:c>
      <x:c r="G1270" t="n">
        <x:v>1</x:v>
      </x:c>
      <x:c r="H1270" t="n">
        <x:v>1</x:v>
      </x:c>
      <x:c r="I1270" t="str">
        <x:v>2324368</x:v>
      </x:c>
      <x:c r="J1270" t="str">
        <x:v>FONTANA REALTY LLC</x:v>
      </x:c>
      <x:c r="K1270" s="55" t="n">
        <x:v>36140</x:v>
      </x:c>
      <x:c r="L1270" t="str">
        <x:v>Nassau</x:v>
      </x:c>
      <x:c r="M1270" t="str">
        <x:v>New York</x:v>
      </x:c>
      <x:c r="N1270" t="str">
        <x:v>DOMESTIC LIMITED LIABILITY COMPANY</x:v>
      </x:c>
      <x:c r="O1270" t="str">
        <x:v>FONTANA REALTY LLC</x:v>
      </x:c>
      <x:c r="P1270" t="str">
        <x:v>P.O. BOX 3545, NEW HYDE PARK, NY, 11040</x:v>
      </x:c>
      <x:c r="Q1270" t="str"/>
      <x:c r="R1270" t="str"/>
      <x:c r="S1270" t="str"/>
      <x:c r="T1270" t="str"/>
      <x:c r="U1270" t="str"/>
      <x:c r="V1270" t="str"/>
      <x:c r="W1270" t="str"/>
      <x:c r="X1270" t="str"/>
      <x:c r="Y1270" t="str">
        <x:v>https://data.ny.gov/Economic-Development/Active-Corporations-Beginning-1800/n9v6-gdp6</x:v>
      </x:c>
    </x:row>
    <x:row r="1271">
      <x:c r="A1271" t="str">
        <x:v>DOS-6-012</x:v>
      </x:c>
      <x:c r="B1271" t="n">
        <x:v>6</x:v>
      </x:c>
      <x:c r="C1271" t="str">
        <x:v>PO BOX 3545, NEW HYDE PARK, NY, 11040, US</x:v>
      </x:c>
      <x:c r="D1271" t="str">
        <x:v>NETHERWORLD GROUP LLC</x:v>
      </x:c>
      <x:c r="E1271" t="str">
        <x:v>NETHERWORLD GROUP LLC</x:v>
      </x:c>
      <x:c r="F1271" t="str">
        <x:v>No active DOS match</x:v>
      </x:c>
      <x:c r="G1271" t="n">
        <x:v>0</x:v>
      </x:c>
      <x:c r="H1271" t="n">
        <x:v>0</x:v>
      </x:c>
      <x:c r="I1271" t="str"/>
      <x:c r="J1271" t="str"/>
      <x:c r="K1271" s="55" t="str"/>
      <x:c r="L1271" t="str"/>
      <x:c r="M1271" t="str"/>
      <x:c r="N1271" t="str"/>
      <x:c r="O1271" t="str"/>
      <x:c r="P1271" t="str"/>
      <x:c r="Q1271" t="str"/>
      <x:c r="R1271" t="str"/>
      <x:c r="S1271" t="str"/>
      <x:c r="T1271" t="str"/>
      <x:c r="U1271" t="str"/>
      <x:c r="V1271" t="str"/>
      <x:c r="W1271" t="str"/>
      <x:c r="X1271" t="str"/>
      <x:c r="Y1271" t="str">
        <x:v>https://data.ny.gov/Economic-Development/Active-Corporations-Beginning-1800/n9v6-gdp6</x:v>
      </x:c>
    </x:row>
    <x:row r="1272">
      <x:c r="A1272" t="str">
        <x:v>DOS-6-012</x:v>
      </x:c>
      <x:c r="B1272" t="n">
        <x:v>6</x:v>
      </x:c>
      <x:c r="C1272" t="str">
        <x:v>PO BOX 3545, NEW HYDE PARK, NY, 11040, US</x:v>
      </x:c>
      <x:c r="D1272" t="str">
        <x:v>RAKOBE GROUP LLC</x:v>
      </x:c>
      <x:c r="E1272" t="str">
        <x:v>RAKOBE GROUP LLC</x:v>
      </x:c>
      <x:c r="F1272" t="str">
        <x:v>Active name match</x:v>
      </x:c>
      <x:c r="G1272" t="n">
        <x:v>1</x:v>
      </x:c>
      <x:c r="H1272" t="n">
        <x:v>1</x:v>
      </x:c>
      <x:c r="I1272" t="str">
        <x:v>3993604</x:v>
      </x:c>
      <x:c r="J1272" t="str">
        <x:v>RAKOBE GROUP LLC</x:v>
      </x:c>
      <x:c r="K1272" s="55" t="n">
        <x:v>40430</x:v>
      </x:c>
      <x:c r="L1272" t="str">
        <x:v>Nassau</x:v>
      </x:c>
      <x:c r="M1272" t="str">
        <x:v>New York</x:v>
      </x:c>
      <x:c r="N1272" t="str">
        <x:v>DOMESTIC LIMITED LIABILITY COMPANY</x:v>
      </x:c>
      <x:c r="O1272" t="str">
        <x:v>RAKOBE GROUP LLC</x:v>
      </x:c>
      <x:c r="P1272" t="str">
        <x:v>PO BOX 3557, NEW HYDE PARK, NY, 11040</x:v>
      </x:c>
      <x:c r="Q1272" t="str"/>
      <x:c r="R1272" t="str"/>
      <x:c r="S1272" t="str"/>
      <x:c r="T1272" t="str"/>
      <x:c r="U1272" t="str"/>
      <x:c r="V1272" t="str"/>
      <x:c r="W1272" t="str"/>
      <x:c r="X1272" t="str"/>
      <x:c r="Y1272" t="str">
        <x:v>https://data.ny.gov/Economic-Development/Active-Corporations-Beginning-1800/n9v6-gdp6</x:v>
      </x:c>
    </x:row>
    <x:row r="1273">
      <x:c r="A1273" t="str">
        <x:v>DOS-6-012</x:v>
      </x:c>
      <x:c r="B1273" t="n">
        <x:v>6</x:v>
      </x:c>
      <x:c r="C1273" t="str">
        <x:v>PO BOX 3545, NEW HYDE PARK, NY, 11040, US</x:v>
      </x:c>
      <x:c r="D1273" t="str">
        <x:v>TOM SULLIVAN LLC</x:v>
      </x:c>
      <x:c r="E1273" t="str">
        <x:v>TOM SULLIVAN LLC</x:v>
      </x:c>
      <x:c r="F1273" t="str">
        <x:v>Active name match</x:v>
      </x:c>
      <x:c r="G1273" t="n">
        <x:v>1</x:v>
      </x:c>
      <x:c r="H1273" t="n">
        <x:v>1</x:v>
      </x:c>
      <x:c r="I1273" t="str">
        <x:v>2082081</x:v>
      </x:c>
      <x:c r="J1273" t="str">
        <x:v>TOM SULLIVAN LLC</x:v>
      </x:c>
      <x:c r="K1273" s="55" t="n">
        <x:v>35375</x:v>
      </x:c>
      <x:c r="L1273" t="str">
        <x:v>Nassau</x:v>
      </x:c>
      <x:c r="M1273" t="str">
        <x:v>New York</x:v>
      </x:c>
      <x:c r="N1273" t="str">
        <x:v>DOMESTIC LIMITED LIABILITY COMPANY</x:v>
      </x:c>
      <x:c r="O1273" t="str">
        <x:v>TOM SULLIVAN LLC</x:v>
      </x:c>
      <x:c r="P1273" t="str">
        <x:v>PO BOX 3557, NEW HYDE PARK, NY, 11040</x:v>
      </x:c>
      <x:c r="Q1273" t="str"/>
      <x:c r="R1273" t="str"/>
      <x:c r="S1273" t="str"/>
      <x:c r="T1273" t="str"/>
      <x:c r="U1273" t="str"/>
      <x:c r="V1273" t="str"/>
      <x:c r="W1273" t="str"/>
      <x:c r="X1273" t="str"/>
      <x:c r="Y1273" t="str">
        <x:v>https://data.ny.gov/Economic-Development/Active-Corporations-Beginning-1800/n9v6-gdp6</x:v>
      </x:c>
    </x:row>
    <x:row r="1274">
      <x:c r="A1274" t="str">
        <x:v>DOS-6-013</x:v>
      </x:c>
      <x:c r="B1274" t="n">
        <x:v>6</x:v>
      </x:c>
      <x:c r="C1274" t="str">
        <x:v>40-14 72ND STREET, WOODSIDE, NY, 11377, US</x:v>
      </x:c>
      <x:c r="D1274" t="str">
        <x:v>ALBION GROVE LLC</x:v>
      </x:c>
      <x:c r="E1274" t="str">
        <x:v>ALBION GROVE LLC</x:v>
      </x:c>
      <x:c r="F1274" t="str">
        <x:v>Active name match</x:v>
      </x:c>
      <x:c r="G1274" t="n">
        <x:v>1</x:v>
      </x:c>
      <x:c r="H1274" t="n">
        <x:v>0</x:v>
      </x:c>
      <x:c r="I1274" t="str">
        <x:v>4850961</x:v>
      </x:c>
      <x:c r="J1274" t="str">
        <x:v>ALBION GROVE, LLC</x:v>
      </x:c>
      <x:c r="K1274" s="55" t="n">
        <x:v>42325</x:v>
      </x:c>
      <x:c r="L1274" t="str">
        <x:v>Queens</x:v>
      </x:c>
      <x:c r="M1274" t="str">
        <x:v>New York</x:v>
      </x:c>
      <x:c r="N1274" t="str">
        <x:v>DOMESTIC LIMITED LIABILITY COMPANY</x:v>
      </x:c>
      <x:c r="O1274" t="str">
        <x:v>HARRY OTTERMAN</x:v>
      </x:c>
      <x:c r="P1274" t="str">
        <x:v>P.O. BOX 720247, JACKSON HEIGHTS, NY, 11372</x:v>
      </x:c>
      <x:c r="Q1274" t="str"/>
      <x:c r="R1274" t="str"/>
      <x:c r="S1274" t="str"/>
      <x:c r="T1274" t="str"/>
      <x:c r="U1274" t="str"/>
      <x:c r="V1274" t="str"/>
      <x:c r="W1274" t="str"/>
      <x:c r="X1274" t="str"/>
      <x:c r="Y1274" t="str">
        <x:v>https://data.ny.gov/Economic-Development/Active-Corporations-Beginning-1800/n9v6-gdp6</x:v>
      </x:c>
    </x:row>
    <x:row r="1275">
      <x:c r="A1275" t="str">
        <x:v>DOS-6-013</x:v>
      </x:c>
      <x:c r="B1275" t="n">
        <x:v>6</x:v>
      </x:c>
      <x:c r="C1275" t="str">
        <x:v>40-14 72ND STREET, WOODSIDE, NY, 11377, US</x:v>
      </x:c>
      <x:c r="D1275" t="str">
        <x:v>BH VILLAGE LLC</x:v>
      </x:c>
      <x:c r="E1275" t="str">
        <x:v>BH VILLAGE LLC</x:v>
      </x:c>
      <x:c r="F1275" t="str">
        <x:v>No active DOS match</x:v>
      </x:c>
      <x:c r="G1275" t="n">
        <x:v>0</x:v>
      </x:c>
      <x:c r="H1275" t="n">
        <x:v>0</x:v>
      </x:c>
      <x:c r="I1275" t="str"/>
      <x:c r="J1275" t="str"/>
      <x:c r="K1275" s="55" t="str"/>
      <x:c r="L1275" t="str"/>
      <x:c r="M1275" t="str"/>
      <x:c r="N1275" t="str"/>
      <x:c r="O1275" t="str"/>
      <x:c r="P1275" t="str"/>
      <x:c r="Q1275" t="str"/>
      <x:c r="R1275" t="str"/>
      <x:c r="S1275" t="str"/>
      <x:c r="T1275" t="str"/>
      <x:c r="U1275" t="str"/>
      <x:c r="V1275" t="str"/>
      <x:c r="W1275" t="str"/>
      <x:c r="X1275" t="str"/>
      <x:c r="Y1275" t="str">
        <x:v>https://data.ny.gov/Economic-Development/Active-Corporations-Beginning-1800/n9v6-gdp6</x:v>
      </x:c>
    </x:row>
    <x:row r="1276">
      <x:c r="A1276" t="str">
        <x:v>DOS-6-013</x:v>
      </x:c>
      <x:c r="B1276" t="n">
        <x:v>6</x:v>
      </x:c>
      <x:c r="C1276" t="str">
        <x:v>40-14 72ND STREET, WOODSIDE, NY, 11377, US</x:v>
      </x:c>
      <x:c r="D1276" t="str">
        <x:v>GROVE HEIGHTS LLC</x:v>
      </x:c>
      <x:c r="E1276" t="str">
        <x:v>GROVE HEIGHTS LLC</x:v>
      </x:c>
      <x:c r="F1276" t="str">
        <x:v>Address-corroborated active match</x:v>
      </x:c>
      <x:c r="G1276" t="n">
        <x:v>1</x:v>
      </x:c>
      <x:c r="H1276" t="n">
        <x:v>2</x:v>
      </x:c>
      <x:c r="I1276" t="str">
        <x:v>3898607</x:v>
      </x:c>
      <x:c r="J1276" t="str">
        <x:v>GROVE HEIGHTS, LLC</x:v>
      </x:c>
      <x:c r="K1276" s="55" t="n">
        <x:v>40190</x:v>
      </x:c>
      <x:c r="L1276" t="str">
        <x:v>Queens</x:v>
      </x:c>
      <x:c r="M1276" t="str">
        <x:v>New York</x:v>
      </x:c>
      <x:c r="N1276" t="str">
        <x:v>DOMESTIC LIMITED LIABILITY COMPANY</x:v>
      </x:c>
      <x:c r="O1276" t="str">
        <x:v>GROVE HEIGHTS, LLC</x:v>
      </x:c>
      <x:c r="P1276" t="str">
        <x:v>40-14 72ND STREET, WOODSIDE, NY, 11377</x:v>
      </x:c>
      <x:c r="Q1276" t="str"/>
      <x:c r="R1276" t="str"/>
      <x:c r="S1276" t="str"/>
      <x:c r="T1276" t="str"/>
      <x:c r="U1276" t="str"/>
      <x:c r="V1276" t="str"/>
      <x:c r="W1276" t="str"/>
      <x:c r="X1276" t="str"/>
      <x:c r="Y1276" t="str">
        <x:v>https://data.ny.gov/Economic-Development/Active-Corporations-Beginning-1800/n9v6-gdp6</x:v>
      </x:c>
    </x:row>
    <x:row r="1277">
      <x:c r="A1277" t="str">
        <x:v>DOS-6-013</x:v>
      </x:c>
      <x:c r="B1277" t="n">
        <x:v>6</x:v>
      </x:c>
      <x:c r="C1277" t="str">
        <x:v>40-14 72ND STREET, WOODSIDE, NY, 11377, US</x:v>
      </x:c>
      <x:c r="D1277" t="str">
        <x:v>JACKSON SENATE LLC</x:v>
      </x:c>
      <x:c r="E1277" t="str">
        <x:v>JACKSON SENATE, LLC</x:v>
      </x:c>
      <x:c r="F1277" t="str">
        <x:v>Active name match</x:v>
      </x:c>
      <x:c r="G1277" t="n">
        <x:v>1</x:v>
      </x:c>
      <x:c r="H1277" t="n">
        <x:v>0</x:v>
      </x:c>
      <x:c r="I1277" t="str">
        <x:v>2646168</x:v>
      </x:c>
      <x:c r="J1277" t="str">
        <x:v>JACKSON SENATE, LLC</x:v>
      </x:c>
      <x:c r="K1277" s="55" t="n">
        <x:v>37046</x:v>
      </x:c>
      <x:c r="L1277" t="str">
        <x:v>Queens</x:v>
      </x:c>
      <x:c r="M1277" t="str">
        <x:v>New York</x:v>
      </x:c>
      <x:c r="N1277" t="str">
        <x:v>DOMESTIC LIMITED LIABILITY COMPANY</x:v>
      </x:c>
      <x:c r="O1277" t="str">
        <x:v>C/O MR. HARRY OTTERMAN</x:v>
      </x:c>
      <x:c r="P1277" t="str">
        <x:v>P O BOX 720247, JACKSON HEIGHTS, NY, 11372</x:v>
      </x:c>
      <x:c r="Q1277" t="str"/>
      <x:c r="R1277" t="str"/>
      <x:c r="S1277" t="str"/>
      <x:c r="T1277" t="str"/>
      <x:c r="U1277" t="str"/>
      <x:c r="V1277" t="str"/>
      <x:c r="W1277" t="str"/>
      <x:c r="X1277" t="str"/>
      <x:c r="Y1277" t="str">
        <x:v>https://data.ny.gov/Economic-Development/Active-Corporations-Beginning-1800/n9v6-gdp6</x:v>
      </x:c>
    </x:row>
    <x:row r="1278">
      <x:c r="A1278" t="str">
        <x:v>DOS-6-013</x:v>
      </x:c>
      <x:c r="B1278" t="n">
        <x:v>6</x:v>
      </x:c>
      <x:c r="C1278" t="str">
        <x:v>40-14 72ND STREET, WOODSIDE, NY, 11377, US</x:v>
      </x:c>
      <x:c r="D1278" t="str">
        <x:v>SKILLMAN GROVE LLC</x:v>
      </x:c>
      <x:c r="E1278" t="str">
        <x:v>SKILLMAN GROVE, LLC</x:v>
      </x:c>
      <x:c r="F1278" t="str">
        <x:v>Address-corroborated active match</x:v>
      </x:c>
      <x:c r="G1278" t="n">
        <x:v>1</x:v>
      </x:c>
      <x:c r="H1278" t="n">
        <x:v>2</x:v>
      </x:c>
      <x:c r="I1278" t="str">
        <x:v>5270342</x:v>
      </x:c>
      <x:c r="J1278" t="str">
        <x:v>SKILLMAN GROVE, LLC</x:v>
      </x:c>
      <x:c r="K1278" s="55" t="n">
        <x:v>43119</x:v>
      </x:c>
      <x:c r="L1278" t="str">
        <x:v>Queens</x:v>
      </x:c>
      <x:c r="M1278" t="str">
        <x:v>New York</x:v>
      </x:c>
      <x:c r="N1278" t="str">
        <x:v>DOMESTIC LIMITED LIABILITY COMPANY</x:v>
      </x:c>
      <x:c r="O1278" t="str">
        <x:v>C/O HARRY OTTERMAN</x:v>
      </x:c>
      <x:c r="P1278" t="str">
        <x:v>40-14 72ND STREET, WOODSIDE, NY, 11377</x:v>
      </x:c>
      <x:c r="Q1278" t="str"/>
      <x:c r="R1278" t="str"/>
      <x:c r="S1278" t="str"/>
      <x:c r="T1278" t="str"/>
      <x:c r="U1278" t="str"/>
      <x:c r="V1278" t="str"/>
      <x:c r="W1278" t="str"/>
      <x:c r="X1278" t="str"/>
      <x:c r="Y1278" t="str">
        <x:v>https://data.ny.gov/Economic-Development/Active-Corporations-Beginning-1800/n9v6-gdp6</x:v>
      </x:c>
    </x:row>
    <x:row r="1279">
      <x:c r="A1279" t="str">
        <x:v>DOS-6-013</x:v>
      </x:c>
      <x:c r="B1279" t="n">
        <x:v>6</x:v>
      </x:c>
      <x:c r="C1279" t="str">
        <x:v>40-14 72ND STREET, WOODSIDE, NY, 11377, US</x:v>
      </x:c>
      <x:c r="D1279" t="str">
        <x:v>SUN JACK HOLDINGS LLC</x:v>
      </x:c>
      <x:c r="E1279" t="str">
        <x:v>SUN-JACK HOLDINGS LLC</x:v>
      </x:c>
      <x:c r="F1279" t="str">
        <x:v>Active name match</x:v>
      </x:c>
      <x:c r="G1279" t="n">
        <x:v>1</x:v>
      </x:c>
      <x:c r="H1279" t="n">
        <x:v>1</x:v>
      </x:c>
      <x:c r="I1279" t="str">
        <x:v>3558648</x:v>
      </x:c>
      <x:c r="J1279" t="str">
        <x:v>SUN-JACK HOLDINGS LLC</x:v>
      </x:c>
      <x:c r="K1279" s="55" t="n">
        <x:v>39315</x:v>
      </x:c>
      <x:c r="L1279" t="str">
        <x:v>Queens</x:v>
      </x:c>
      <x:c r="M1279" t="str">
        <x:v>New York</x:v>
      </x:c>
      <x:c r="N1279" t="str">
        <x:v>DOMESTIC LIMITED LIABILITY COMPANY</x:v>
      </x:c>
      <x:c r="O1279" t="str">
        <x:v>DBH ASSOCIATES LLC</x:v>
      </x:c>
      <x:c r="P1279" t="str">
        <x:v>POST OFFICE BOX 720247, JACKSON HEIGHTS, NY, 11377</x:v>
      </x:c>
      <x:c r="Q1279" t="str"/>
      <x:c r="R1279" t="str"/>
      <x:c r="S1279" t="str"/>
      <x:c r="T1279" t="str"/>
      <x:c r="U1279" t="str"/>
      <x:c r="V1279" t="str"/>
      <x:c r="W1279" t="str"/>
      <x:c r="X1279" t="str"/>
      <x:c r="Y1279" t="str">
        <x:v>https://data.ny.gov/Economic-Development/Active-Corporations-Beginning-1800/n9v6-gdp6</x:v>
      </x:c>
    </x:row>
    <x:row r="1280">
      <x:c r="A1280" t="str">
        <x:v>DOS-6-014</x:v>
      </x:c>
      <x:c r="B1280" t="n">
        <x:v>6</x:v>
      </x:c>
      <x:c r="C1280" t="str">
        <x:v>4309 13TH AVENUE, BROOKLYN, NY, 11219, US</x:v>
      </x:c>
      <x:c r="D1280" t="str">
        <x:v>161 HAVEMEYER HOLDINGS LLC</x:v>
      </x:c>
      <x:c r="E1280" t="str">
        <x:v>161 HAVEMEYER HOLDINGS LLC</x:v>
      </x:c>
      <x:c r="F1280" t="str">
        <x:v>Active name match</x:v>
      </x:c>
      <x:c r="G1280" t="n">
        <x:v>1</x:v>
      </x:c>
      <x:c r="H1280" t="n">
        <x:v>1</x:v>
      </x:c>
      <x:c r="I1280" t="str">
        <x:v>4813793</x:v>
      </x:c>
      <x:c r="J1280" t="str">
        <x:v>161 HAVEMEYER HOLDINGS, LLC</x:v>
      </x:c>
      <x:c r="K1280" s="55" t="n">
        <x:v>42248</x:v>
      </x:c>
      <x:c r="L1280" t="str">
        <x:v>Kings</x:v>
      </x:c>
      <x:c r="M1280" t="str">
        <x:v>New York</x:v>
      </x:c>
      <x:c r="N1280" t="str">
        <x:v>DOMESTIC LIMITED LIABILITY COMPANY</x:v>
      </x:c>
      <x:c r="O1280" t="str">
        <x:v>161 HAVEMEYER HOLDINGS, LLC</x:v>
      </x:c>
      <x:c r="P1280" t="str">
        <x:v>4309 13TH AVENUE SUITE 200, BROOKLYN, NY, 11219</x:v>
      </x:c>
      <x:c r="Q1280" t="str"/>
      <x:c r="R1280" t="str"/>
      <x:c r="S1280" t="str"/>
      <x:c r="T1280" t="str"/>
      <x:c r="U1280" t="str"/>
      <x:c r="V1280" t="str"/>
      <x:c r="W1280" t="str"/>
      <x:c r="X1280" t="str"/>
      <x:c r="Y1280" t="str">
        <x:v>https://data.ny.gov/Economic-Development/Active-Corporations-Beginning-1800/n9v6-gdp6</x:v>
      </x:c>
    </x:row>
    <x:row r="1281">
      <x:c r="A1281" t="str">
        <x:v>DOS-6-014</x:v>
      </x:c>
      <x:c r="B1281" t="n">
        <x:v>6</x:v>
      </x:c>
      <x:c r="C1281" t="str">
        <x:v>4309 13TH AVENUE, BROOKLYN, NY, 11219, US</x:v>
      </x:c>
      <x:c r="D1281" t="str">
        <x:v>4307 11 13TH AVENUE REALTY LLC</x:v>
      </x:c>
      <x:c r="E1281" t="str">
        <x:v>4307-11 13TH AVENUE REALTY, LLC</x:v>
      </x:c>
      <x:c r="F1281" t="str">
        <x:v>Active name match</x:v>
      </x:c>
      <x:c r="G1281" t="n">
        <x:v>1</x:v>
      </x:c>
      <x:c r="H1281" t="n">
        <x:v>1</x:v>
      </x:c>
      <x:c r="I1281" t="str">
        <x:v>7319984</x:v>
      </x:c>
      <x:c r="J1281" t="str">
        <x:v>4307-11 13TH AVENUE REALTY LLC</x:v>
      </x:c>
      <x:c r="K1281" s="55" t="n">
        <x:v>45415</x:v>
      </x:c>
      <x:c r="L1281" t="str">
        <x:v>Kings</x:v>
      </x:c>
      <x:c r="M1281" t="str">
        <x:v>New York</x:v>
      </x:c>
      <x:c r="N1281" t="str">
        <x:v>DOMESTIC LIMITED LIABILITY COMPANY</x:v>
      </x:c>
      <x:c r="O1281" t="str">
        <x:v>4307-11 13TH AVENUE REALTY LLC</x:v>
      </x:c>
      <x:c r="P1281" t="str">
        <x:v>4301 13TH AVE, BROOKLYN, NY, 11219</x:v>
      </x:c>
      <x:c r="Q1281" t="str"/>
      <x:c r="R1281" t="str"/>
      <x:c r="S1281" t="str"/>
      <x:c r="T1281" t="str"/>
      <x:c r="U1281" t="str"/>
      <x:c r="V1281" t="str"/>
      <x:c r="W1281" t="str"/>
      <x:c r="X1281" t="str"/>
      <x:c r="Y1281" t="str">
        <x:v>https://data.ny.gov/Economic-Development/Active-Corporations-Beginning-1800/n9v6-gdp6</x:v>
      </x:c>
    </x:row>
    <x:row r="1282">
      <x:c r="A1282" t="str">
        <x:v>DOS-6-014</x:v>
      </x:c>
      <x:c r="B1282" t="n">
        <x:v>6</x:v>
      </x:c>
      <x:c r="C1282" t="str">
        <x:v>4309 13TH AVENUE, BROOKLYN, NY, 11219, US</x:v>
      </x:c>
      <x:c r="D1282" t="str">
        <x:v>BEECH 114 HOLDINGS LLC</x:v>
      </x:c>
      <x:c r="E1282" t="str">
        <x:v>BEECH 114 HOLDINGS LLC</x:v>
      </x:c>
      <x:c r="F1282" t="str">
        <x:v>Active name match</x:v>
      </x:c>
      <x:c r="G1282" t="n">
        <x:v>1</x:v>
      </x:c>
      <x:c r="H1282" t="n">
        <x:v>0</x:v>
      </x:c>
      <x:c r="I1282" t="str">
        <x:v>6461611</x:v>
      </x:c>
      <x:c r="J1282" t="str">
        <x:v>BEECH 114 HOLDINGS LLC</x:v>
      </x:c>
      <x:c r="K1282" s="55" t="n">
        <x:v>44670</x:v>
      </x:c>
      <x:c r="L1282" t="str">
        <x:v>Kings</x:v>
      </x:c>
      <x:c r="M1282" t="str">
        <x:v>New York</x:v>
      </x:c>
      <x:c r="N1282" t="str">
        <x:v>DOMESTIC LIMITED LIABILITY COMPANY</x:v>
      </x:c>
      <x:c r="O1282" t="str">
        <x:v>CHANIE SPITZER</x:v>
      </x:c>
      <x:c r="P1282" t="str">
        <x:v>199 Lee Ave #341, Brooklyn, NY, 11211</x:v>
      </x:c>
      <x:c r="Q1282" t="str"/>
      <x:c r="R1282" t="str"/>
      <x:c r="S1282" t="str"/>
      <x:c r="T1282" t="str"/>
      <x:c r="U1282" t="str"/>
      <x:c r="V1282" t="str"/>
      <x:c r="W1282" t="str"/>
      <x:c r="X1282" t="str"/>
      <x:c r="Y1282" t="str">
        <x:v>https://data.ny.gov/Economic-Development/Active-Corporations-Beginning-1800/n9v6-gdp6</x:v>
      </x:c>
    </x:row>
    <x:row r="1283">
      <x:c r="A1283" t="str">
        <x:v>DOS-6-014</x:v>
      </x:c>
      <x:c r="B1283" t="n">
        <x:v>6</x:v>
      </x:c>
      <x:c r="C1283" t="str">
        <x:v>4309 13TH AVENUE, BROOKLYN, NY, 11219, US</x:v>
      </x:c>
      <x:c r="D1283" t="str">
        <x:v>BROOKLYN YARDS DEVELOPMENT LLC</x:v>
      </x:c>
      <x:c r="E1283" t="str">
        <x:v>BROOKLYN YARDS DEVELOPMENT LLC</x:v>
      </x:c>
      <x:c r="F1283" t="str">
        <x:v>Active name match</x:v>
      </x:c>
      <x:c r="G1283" t="n">
        <x:v>1</x:v>
      </x:c>
      <x:c r="H1283" t="n">
        <x:v>1</x:v>
      </x:c>
      <x:c r="I1283" t="str">
        <x:v>4747191</x:v>
      </x:c>
      <x:c r="J1283" t="str">
        <x:v>BROOKLYN YARDS DEVELOPMENT, LLC</x:v>
      </x:c>
      <x:c r="K1283" s="55" t="n">
        <x:v>42117</x:v>
      </x:c>
      <x:c r="L1283" t="str">
        <x:v>Kings</x:v>
      </x:c>
      <x:c r="M1283" t="str">
        <x:v>New York</x:v>
      </x:c>
      <x:c r="N1283" t="str">
        <x:v>DOMESTIC LIMITED LIABILITY COMPANY</x:v>
      </x:c>
      <x:c r="O1283" t="str">
        <x:v>BROOKLYN YARDS DEVELOPMENT, LLC</x:v>
      </x:c>
      <x:c r="P1283" t="str">
        <x:v>4309 13TH AVENUE, SUITE 200, BROOKLYN, NY, 11219</x:v>
      </x:c>
      <x:c r="Q1283" t="str"/>
      <x:c r="R1283" t="str"/>
      <x:c r="S1283" t="str"/>
      <x:c r="T1283" t="str"/>
      <x:c r="U1283" t="str"/>
      <x:c r="V1283" t="str"/>
      <x:c r="W1283" t="str"/>
      <x:c r="X1283" t="str"/>
      <x:c r="Y1283" t="str">
        <x:v>https://data.ny.gov/Economic-Development/Active-Corporations-Beginning-1800/n9v6-gdp6</x:v>
      </x:c>
    </x:row>
    <x:row r="1284">
      <x:c r="A1284" t="str">
        <x:v>DOS-6-014</x:v>
      </x:c>
      <x:c r="B1284" t="n">
        <x:v>6</x:v>
      </x:c>
      <x:c r="C1284" t="str">
        <x:v>4309 13TH AVENUE, BROOKLYN, NY, 11219, US</x:v>
      </x:c>
      <x:c r="D1284" t="str">
        <x:v>SJ NOSTRAND LLC</x:v>
      </x:c>
      <x:c r="E1284" t="str">
        <x:v>SJ NOSTRAND LLC</x:v>
      </x:c>
      <x:c r="F1284" t="str">
        <x:v>Active name match</x:v>
      </x:c>
      <x:c r="G1284" t="n">
        <x:v>1</x:v>
      </x:c>
      <x:c r="H1284" t="n">
        <x:v>0</x:v>
      </x:c>
      <x:c r="I1284" t="str">
        <x:v>4393518</x:v>
      </x:c>
      <x:c r="J1284" t="str">
        <x:v>SJ NOSTRAND LLC</x:v>
      </x:c>
      <x:c r="K1284" s="55" t="n">
        <x:v>41388</x:v>
      </x:c>
      <x:c r="L1284" t="str">
        <x:v>Kings</x:v>
      </x:c>
      <x:c r="M1284" t="str">
        <x:v>New York</x:v>
      </x:c>
      <x:c r="N1284" t="str">
        <x:v>DOMESTIC LIMITED LIABILITY COMPANY</x:v>
      </x:c>
      <x:c r="O1284" t="str">
        <x:v>SJ NOSTRAND LLC</x:v>
      </x:c>
      <x:c r="P1284" t="str">
        <x:v>1800 Lanes Mill Road, Brick, NJ, 08724</x:v>
      </x:c>
      <x:c r="Q1284" t="str"/>
      <x:c r="R1284" t="str"/>
      <x:c r="S1284" t="str"/>
      <x:c r="T1284" t="str"/>
      <x:c r="U1284" t="str"/>
      <x:c r="V1284" t="str"/>
      <x:c r="W1284" t="str"/>
      <x:c r="X1284" t="str"/>
      <x:c r="Y1284" t="str">
        <x:v>https://data.ny.gov/Economic-Development/Active-Corporations-Beginning-1800/n9v6-gdp6</x:v>
      </x:c>
    </x:row>
    <x:row r="1285">
      <x:c r="A1285" t="str">
        <x:v>DOS-6-014</x:v>
      </x:c>
      <x:c r="B1285" t="n">
        <x:v>6</x:v>
      </x:c>
      <x:c r="C1285" t="str">
        <x:v>4309 13TH AVENUE, BROOKLYN, NY, 11219, US</x:v>
      </x:c>
      <x:c r="D1285" t="str">
        <x:v>SUTTER HOLDINGS LLC</x:v>
      </x:c>
      <x:c r="E1285" t="str">
        <x:v>SUTTER HOLDINGS LLC</x:v>
      </x:c>
      <x:c r="F1285" t="str">
        <x:v>Active name match</x:v>
      </x:c>
      <x:c r="G1285" t="n">
        <x:v>1</x:v>
      </x:c>
      <x:c r="H1285" t="n">
        <x:v>0</x:v>
      </x:c>
      <x:c r="I1285" t="str">
        <x:v>4350528</x:v>
      </x:c>
      <x:c r="J1285" t="str">
        <x:v>SUTTER HOLDINGS LLC</x:v>
      </x:c>
      <x:c r="K1285" s="55" t="n">
        <x:v>41298</x:v>
      </x:c>
      <x:c r="L1285" t="str">
        <x:v>Kings</x:v>
      </x:c>
      <x:c r="M1285" t="str">
        <x:v>New York</x:v>
      </x:c>
      <x:c r="N1285" t="str">
        <x:v>DOMESTIC LIMITED LIABILITY COMPANY</x:v>
      </x:c>
      <x:c r="O1285" t="str">
        <x:v>SUTTER HOLDINGS LLC</x:v>
      </x:c>
      <x:c r="P1285" t="str">
        <x:v>1800 LANES MILL RD., BRICK, NJ, 08724</x:v>
      </x:c>
      <x:c r="Q1285" t="str"/>
      <x:c r="R1285" t="str"/>
      <x:c r="S1285" t="str"/>
      <x:c r="T1285" t="str"/>
      <x:c r="U1285" t="str"/>
      <x:c r="V1285" t="str"/>
      <x:c r="W1285" t="str"/>
      <x:c r="X1285" t="str"/>
      <x:c r="Y1285" t="str">
        <x:v>https://data.ny.gov/Economic-Development/Active-Corporations-Beginning-1800/n9v6-gdp6</x:v>
      </x:c>
    </x:row>
    <x:row r="1286">
      <x:c r="A1286" t="str">
        <x:v>DOS-6-015</x:v>
      </x:c>
      <x:c r="B1286" t="n">
        <x:v>6</x:v>
      </x:c>
      <x:c r="C1286" t="str">
        <x:v>512 SEVENTH AVENUE - 16TH FLOOR, NEW YORK, NY, 10018, US | 512 SEVENTH AVENUE, 16TH FLOOR, NEW YORK, NY, 10018, US</x:v>
      </x:c>
      <x:c r="D1286" t="str">
        <x:v>110 EAST 64TH OWNER LLC</x:v>
      </x:c>
      <x:c r="E1286" t="str">
        <x:v>110 EAST 64TH OWNER LLC</x:v>
      </x:c>
      <x:c r="F1286" t="str">
        <x:v>Active name match</x:v>
      </x:c>
      <x:c r="G1286" t="n">
        <x:v>1</x:v>
      </x:c>
      <x:c r="H1286" t="n">
        <x:v>1</x:v>
      </x:c>
      <x:c r="I1286" t="str">
        <x:v>5257218</x:v>
      </x:c>
      <x:c r="J1286" t="str">
        <x:v>110 EAST 64TH OWNER LLC</x:v>
      </x:c>
      <x:c r="K1286" s="55" t="n">
        <x:v>43097</x:v>
      </x:c>
      <x:c r="L1286" t="str">
        <x:v>New York</x:v>
      </x:c>
      <x:c r="M1286" t="str">
        <x:v>Delaware</x:v>
      </x:c>
      <x:c r="N1286" t="str">
        <x:v>FOREIGN LIMITED LIABILITY COMPANY</x:v>
      </x:c>
      <x:c r="O1286" t="str">
        <x:v>MEYER CHETRIT</x:v>
      </x:c>
      <x:c r="P1286" t="str">
        <x:v>C/O THE CHETRIT GROUP LLC, 512 SEVENTH AVENUE, 16TH FLOOR, NEW YORK, NY, 10018</x:v>
      </x:c>
      <x:c r="Q1286" t="str"/>
      <x:c r="R1286" t="str"/>
      <x:c r="S1286" t="str"/>
      <x:c r="T1286" t="str"/>
      <x:c r="U1286" t="str"/>
      <x:c r="V1286" t="str"/>
      <x:c r="W1286" t="str"/>
      <x:c r="X1286" t="str"/>
      <x:c r="Y1286" t="str">
        <x:v>https://data.ny.gov/Economic-Development/Active-Corporations-Beginning-1800/n9v6-gdp6</x:v>
      </x:c>
    </x:row>
    <x:row r="1287">
      <x:c r="A1287" t="str">
        <x:v>DOS-6-015</x:v>
      </x:c>
      <x:c r="B1287" t="n">
        <x:v>6</x:v>
      </x:c>
      <x:c r="C1287" t="str">
        <x:v>512 SEVENTH AVENUE - 16TH FLOOR, NEW YORK, NY, 10018, US | 512 SEVENTH AVENUE, 16TH FLOOR, NEW YORK, NY, 10018, US</x:v>
      </x:c>
      <x:c r="D1287" t="str">
        <x:v>88TH AVENUE OWNER LLC</x:v>
      </x:c>
      <x:c r="E1287" t="str">
        <x:v>88TH AVENUE OWNER LLC</x:v>
      </x:c>
      <x:c r="F1287" t="str">
        <x:v>Active name match</x:v>
      </x:c>
      <x:c r="G1287" t="n">
        <x:v>1</x:v>
      </x:c>
      <x:c r="H1287" t="n">
        <x:v>1</x:v>
      </x:c>
      <x:c r="I1287" t="str">
        <x:v>4834611</x:v>
      </x:c>
      <x:c r="J1287" t="str">
        <x:v>88TH AVENUE OWNER LLC</x:v>
      </x:c>
      <x:c r="K1287" s="55" t="n">
        <x:v>42292</x:v>
      </x:c>
      <x:c r="L1287" t="str">
        <x:v>New York</x:v>
      </x:c>
      <x:c r="M1287" t="str">
        <x:v>Delaware</x:v>
      </x:c>
      <x:c r="N1287" t="str">
        <x:v>FOREIGN LIMITED LIABILITY COMPANY</x:v>
      </x:c>
      <x:c r="O1287" t="str">
        <x:v>MEYER CHETRIT</x:v>
      </x:c>
      <x:c r="P1287" t="str">
        <x:v>C/O THE CHETRIT GROUP LLC, 512 SEVENTH AVENUE, 15TH FLOOR, NEW YORK, NY, 10018</x:v>
      </x:c>
      <x:c r="Q1287" t="str"/>
      <x:c r="R1287" t="str"/>
      <x:c r="S1287" t="str"/>
      <x:c r="T1287" t="str"/>
      <x:c r="U1287" t="str"/>
      <x:c r="V1287" t="str"/>
      <x:c r="W1287" t="str"/>
      <x:c r="X1287" t="str"/>
      <x:c r="Y1287" t="str">
        <x:v>https://data.ny.gov/Economic-Development/Active-Corporations-Beginning-1800/n9v6-gdp6</x:v>
      </x:c>
    </x:row>
    <x:row r="1288">
      <x:c r="A1288" t="str">
        <x:v>DOS-6-015</x:v>
      </x:c>
      <x:c r="B1288" t="n">
        <x:v>6</x:v>
      </x:c>
      <x:c r="C1288" t="str">
        <x:v>512 SEVENTH AVENUE - 16TH FLOOR, NEW YORK, NY, 10018, US | 512 SEVENTH AVENUE, 16TH FLOOR, NEW YORK, NY, 10018, US</x:v>
      </x:c>
      <x:c r="D1288" t="str">
        <x:v>89TH AVENUE OWNER LLC</x:v>
      </x:c>
      <x:c r="E1288" t="str">
        <x:v>89TH AVENUE OWNER LLC</x:v>
      </x:c>
      <x:c r="F1288" t="str">
        <x:v>Active name match</x:v>
      </x:c>
      <x:c r="G1288" t="n">
        <x:v>1</x:v>
      </x:c>
      <x:c r="H1288" t="n">
        <x:v>1</x:v>
      </x:c>
      <x:c r="I1288" t="str">
        <x:v>6017577</x:v>
      </x:c>
      <x:c r="J1288" t="str">
        <x:v>89TH AVENUE OWNER LLC</x:v>
      </x:c>
      <x:c r="K1288" s="55" t="n">
        <x:v>44336</x:v>
      </x:c>
      <x:c r="L1288" t="str">
        <x:v>New York</x:v>
      </x:c>
      <x:c r="M1288" t="str">
        <x:v>Delaware</x:v>
      </x:c>
      <x:c r="N1288" t="str">
        <x:v>FOREIGN LIMITED LIABILITY COMPANY</x:v>
      </x:c>
      <x:c r="O1288" t="str">
        <x:v>MR. MEYER CHETRIT</x:v>
      </x:c>
      <x:c r="P1288" t="str">
        <x:v>THE CHETRIT GROUP LLC, 512 SEVENTH AVE, 16TH FL, NEW YORK, NY, 10018</x:v>
      </x:c>
      <x:c r="Q1288" t="str"/>
      <x:c r="R1288" t="str"/>
      <x:c r="S1288" t="str"/>
      <x:c r="T1288" t="str"/>
      <x:c r="U1288" t="str"/>
      <x:c r="V1288" t="str"/>
      <x:c r="W1288" t="str"/>
      <x:c r="X1288" t="str"/>
      <x:c r="Y1288" t="str">
        <x:v>https://data.ny.gov/Economic-Development/Active-Corporations-Beginning-1800/n9v6-gdp6</x:v>
      </x:c>
    </x:row>
    <x:row r="1289">
      <x:c r="A1289" t="str">
        <x:v>DOS-6-015</x:v>
      </x:c>
      <x:c r="B1289" t="n">
        <x:v>6</x:v>
      </x:c>
      <x:c r="C1289" t="str">
        <x:v>512 SEVENTH AVENUE - 16TH FLOOR, NEW YORK, NY, 10018, US | 512 SEVENTH AVENUE, 16TH FLOOR, NEW YORK, NY, 10018, US</x:v>
      </x:c>
      <x:c r="D1289" t="str">
        <x:v>AINSLIE VENTURE LLC</x:v>
      </x:c>
      <x:c r="E1289" t="str">
        <x:v>AINSLIE VENTURE LLC</x:v>
      </x:c>
      <x:c r="F1289" t="str">
        <x:v>Address-corroborated active match</x:v>
      </x:c>
      <x:c r="G1289" t="n">
        <x:v>1</x:v>
      </x:c>
      <x:c r="H1289" t="n">
        <x:v>2</x:v>
      </x:c>
      <x:c r="I1289" t="str">
        <x:v>4992776</x:v>
      </x:c>
      <x:c r="J1289" t="str">
        <x:v>AINSLIE VENTURE LLC</x:v>
      </x:c>
      <x:c r="K1289" s="55" t="n">
        <x:v>42594</x:v>
      </x:c>
      <x:c r="L1289" t="str">
        <x:v>New York</x:v>
      </x:c>
      <x:c r="M1289" t="str">
        <x:v>Delaware</x:v>
      </x:c>
      <x:c r="N1289" t="str">
        <x:v>FOREIGN LIMITED LIABILITY COMPANY</x:v>
      </x:c>
      <x:c r="O1289" t="str">
        <x:v>GAVRIEL GOLDBERGER</x:v>
      </x:c>
      <x:c r="P1289" t="str">
        <x:v>512 SEVENTH AVENUE 16TH FLOOR, NEW YORK, NY, 10018</x:v>
      </x:c>
      <x:c r="Q1289" t="str"/>
      <x:c r="R1289" t="str"/>
      <x:c r="S1289" t="str"/>
      <x:c r="T1289" t="str"/>
      <x:c r="U1289" t="str"/>
      <x:c r="V1289" t="str"/>
      <x:c r="W1289" t="str"/>
      <x:c r="X1289" t="str"/>
      <x:c r="Y1289" t="str">
        <x:v>https://data.ny.gov/Economic-Development/Active-Corporations-Beginning-1800/n9v6-gdp6</x:v>
      </x:c>
    </x:row>
    <x:row r="1290">
      <x:c r="A1290" t="str">
        <x:v>DOS-6-015</x:v>
      </x:c>
      <x:c r="B1290" t="n">
        <x:v>6</x:v>
      </x:c>
      <x:c r="C1290" t="str">
        <x:v>512 SEVENTH AVENUE - 16TH FLOOR, NEW YORK, NY, 10018, US | 512 SEVENTH AVENUE, 16TH FLOOR, NEW YORK, NY, 10018, US</x:v>
      </x:c>
      <x:c r="D1290" t="str">
        <x:v>CF PWV LLC</x:v>
      </x:c>
      <x:c r="E1290" t="str">
        <x:v>CF PWV LLC</x:v>
      </x:c>
      <x:c r="F1290" t="str">
        <x:v>Active name match</x:v>
      </x:c>
      <x:c r="G1290" t="n">
        <x:v>1</x:v>
      </x:c>
      <x:c r="H1290" t="n">
        <x:v>1</x:v>
      </x:c>
      <x:c r="I1290" t="str">
        <x:v>6399455</x:v>
      </x:c>
      <x:c r="J1290" t="str">
        <x:v>CF PWV LLC</x:v>
      </x:c>
      <x:c r="K1290" s="55" t="n">
        <x:v>44600</x:v>
      </x:c>
      <x:c r="L1290" t="str">
        <x:v>New York</x:v>
      </x:c>
      <x:c r="M1290" t="str">
        <x:v>Delaware</x:v>
      </x:c>
      <x:c r="N1290" t="str">
        <x:v>FOREIGN LIMITED LIABILITY COMPANY</x:v>
      </x:c>
      <x:c r="O1290" t="str">
        <x:v>MR. MEYER CHETRIT</x:v>
      </x:c>
      <x:c r="P1290" t="str">
        <x:v>THE CHETRIT GROUP LLC, 512 SEVENTH AVENUE, 16TH FLOOR, NEW YORK, NY, 10018</x:v>
      </x:c>
      <x:c r="Q1290" t="str"/>
      <x:c r="R1290" t="str"/>
      <x:c r="S1290" t="str"/>
      <x:c r="T1290" t="str"/>
      <x:c r="U1290" t="str"/>
      <x:c r="V1290" t="str"/>
      <x:c r="W1290" t="str"/>
      <x:c r="X1290" t="str"/>
      <x:c r="Y1290" t="str">
        <x:v>https://data.ny.gov/Economic-Development/Active-Corporations-Beginning-1800/n9v6-gdp6</x:v>
      </x:c>
    </x:row>
    <x:row r="1291">
      <x:c r="A1291" t="str">
        <x:v>DOS-6-015</x:v>
      </x:c>
      <x:c r="B1291" t="n">
        <x:v>6</x:v>
      </x:c>
      <x:c r="C1291" t="str">
        <x:v>512 SEVENTH AVENUE - 16TH FLOOR, NEW YORK, NY, 10018, US | 512 SEVENTH AVENUE, 16TH FLOOR, NEW YORK, NY, 10018, US</x:v>
      </x:c>
      <x:c r="D1291" t="str">
        <x:v>MASPETH 5718 LLC</x:v>
      </x:c>
      <x:c r="E1291" t="str">
        <x:v>MASPETH 5718 LLC</x:v>
      </x:c>
      <x:c r="F1291" t="str">
        <x:v>Active name match</x:v>
      </x:c>
      <x:c r="G1291" t="n">
        <x:v>1</x:v>
      </x:c>
      <x:c r="H1291" t="n">
        <x:v>1</x:v>
      </x:c>
      <x:c r="I1291" t="str">
        <x:v>3020302</x:v>
      </x:c>
      <x:c r="J1291" t="str">
        <x:v>MASPETH 5718 LLC</x:v>
      </x:c>
      <x:c r="K1291" s="55" t="n">
        <x:v>38048</x:v>
      </x:c>
      <x:c r="L1291" t="str">
        <x:v>New York</x:v>
      </x:c>
      <x:c r="M1291" t="str">
        <x:v>Delaware</x:v>
      </x:c>
      <x:c r="N1291" t="str">
        <x:v>FOREIGN LIMITED LIABILITY COMPANY</x:v>
      </x:c>
      <x:c r="O1291" t="str">
        <x:v>MASPETH 5718 LLC</x:v>
      </x:c>
      <x:c r="P1291" t="str">
        <x:v>512 7TH AVENUE, 15TH FLOOR, NEW YORK, NY, 10018</x:v>
      </x:c>
      <x:c r="Q1291" t="str"/>
      <x:c r="R1291" t="str"/>
      <x:c r="S1291" t="str"/>
      <x:c r="T1291" t="str"/>
      <x:c r="U1291" t="str"/>
      <x:c r="V1291" t="str"/>
      <x:c r="W1291" t="str"/>
      <x:c r="X1291" t="str"/>
      <x:c r="Y1291" t="str">
        <x:v>https://data.ny.gov/Economic-Development/Active-Corporations-Beginning-1800/n9v6-gdp6</x:v>
      </x:c>
    </x:row>
    <x:row r="1292">
      <x:c r="A1292" t="str">
        <x:v>DOS-6-016</x:v>
      </x:c>
      <x:c r="B1292" t="n">
        <x:v>6</x:v>
      </x:c>
      <x:c r="C1292" t="str">
        <x:v>11 BRIARWOOD LANE, SUFFERN, NY, 10901, US</x:v>
      </x:c>
      <x:c r="D1292" t="str">
        <x:v>164 PROPERTY GROUP LLC</x:v>
      </x:c>
      <x:c r="E1292" t="str">
        <x:v>164 PROPERTY GROUP LLC</x:v>
      </x:c>
      <x:c r="F1292" t="str">
        <x:v>Address-corroborated active match</x:v>
      </x:c>
      <x:c r="G1292" t="n">
        <x:v>1</x:v>
      </x:c>
      <x:c r="H1292" t="n">
        <x:v>2</x:v>
      </x:c>
      <x:c r="I1292" t="str">
        <x:v>5560321</x:v>
      </x:c>
      <x:c r="J1292" t="str">
        <x:v>164 PROPERTY GROUP LLC</x:v>
      </x:c>
      <x:c r="K1292" s="55" t="n">
        <x:v>43613</x:v>
      </x:c>
      <x:c r="L1292" t="str">
        <x:v>Rockland</x:v>
      </x:c>
      <x:c r="M1292" t="str">
        <x:v>New York</x:v>
      </x:c>
      <x:c r="N1292" t="str">
        <x:v>DOMESTIC LIMITED LIABILITY COMPANY</x:v>
      </x:c>
      <x:c r="O1292" t="str">
        <x:v>164 PROPERTY GROUP LLC</x:v>
      </x:c>
      <x:c r="P1292" t="str">
        <x:v>11 BRIARWOOD LANE, SUFFERN, NY, 10901</x:v>
      </x:c>
      <x:c r="Q1292" t="str"/>
      <x:c r="R1292" t="str"/>
      <x:c r="S1292" t="str"/>
      <x:c r="T1292" t="str"/>
      <x:c r="U1292" t="str"/>
      <x:c r="V1292" t="str"/>
      <x:c r="W1292" t="str"/>
      <x:c r="X1292" t="str"/>
      <x:c r="Y1292" t="str">
        <x:v>https://data.ny.gov/Economic-Development/Active-Corporations-Beginning-1800/n9v6-gdp6</x:v>
      </x:c>
    </x:row>
    <x:row r="1293">
      <x:c r="A1293" t="str">
        <x:v>DOS-6-016</x:v>
      </x:c>
      <x:c r="B1293" t="n">
        <x:v>6</x:v>
      </x:c>
      <x:c r="C1293" t="str">
        <x:v>11 BRIARWOOD LANE, SUFFERN, NY, 10901, US</x:v>
      </x:c>
      <x:c r="D1293" t="str">
        <x:v>BRIARWOOD PROPERTIES GROUP LLC</x:v>
      </x:c>
      <x:c r="E1293" t="str">
        <x:v>BRIARWOOD PROPERTIES GROUP LLC</x:v>
      </x:c>
      <x:c r="F1293" t="str">
        <x:v>Address-corroborated active match</x:v>
      </x:c>
      <x:c r="G1293" t="n">
        <x:v>1</x:v>
      </x:c>
      <x:c r="H1293" t="n">
        <x:v>2</x:v>
      </x:c>
      <x:c r="I1293" t="str">
        <x:v>4569019</x:v>
      </x:c>
      <x:c r="J1293" t="str">
        <x:v>BRIARWOOD PROPERTIES GROUP LLC</x:v>
      </x:c>
      <x:c r="K1293" s="55" t="n">
        <x:v>41758</x:v>
      </x:c>
      <x:c r="L1293" t="str">
        <x:v>Rockland</x:v>
      </x:c>
      <x:c r="M1293" t="str">
        <x:v>New York</x:v>
      </x:c>
      <x:c r="N1293" t="str">
        <x:v>DOMESTIC LIMITED LIABILITY COMPANY</x:v>
      </x:c>
      <x:c r="O1293" t="str">
        <x:v>BRIARWOOD PROPERTIES GROUP LLC</x:v>
      </x:c>
      <x:c r="P1293" t="str">
        <x:v>11 BRIARWOOD LANE, SUFFERN, NY, 10901</x:v>
      </x:c>
      <x:c r="Q1293" t="str"/>
      <x:c r="R1293" t="str"/>
      <x:c r="S1293" t="str"/>
      <x:c r="T1293" t="str"/>
      <x:c r="U1293" t="str"/>
      <x:c r="V1293" t="str"/>
      <x:c r="W1293" t="str"/>
      <x:c r="X1293" t="str"/>
      <x:c r="Y1293" t="str">
        <x:v>https://data.ny.gov/Economic-Development/Active-Corporations-Beginning-1800/n9v6-gdp6</x:v>
      </x:c>
    </x:row>
    <x:row r="1294">
      <x:c r="A1294" t="str">
        <x:v>DOS-6-016</x:v>
      </x:c>
      <x:c r="B1294" t="n">
        <x:v>6</x:v>
      </x:c>
      <x:c r="C1294" t="str">
        <x:v>11 BRIARWOOD LANE, SUFFERN, NY, 10901, US</x:v>
      </x:c>
      <x:c r="D1294" t="str">
        <x:v>BROOKE PROPERTY GROUP LLC</x:v>
      </x:c>
      <x:c r="E1294" t="str">
        <x:v>BROOKE PROPERTY GROUP LLC</x:v>
      </x:c>
      <x:c r="F1294" t="str">
        <x:v>Address-corroborated active match</x:v>
      </x:c>
      <x:c r="G1294" t="n">
        <x:v>1</x:v>
      </x:c>
      <x:c r="H1294" t="n">
        <x:v>2</x:v>
      </x:c>
      <x:c r="I1294" t="str">
        <x:v>5565779</x:v>
      </x:c>
      <x:c r="J1294" t="str">
        <x:v>BROOKE PROPERTY GROUP LLC</x:v>
      </x:c>
      <x:c r="K1294" s="55" t="n">
        <x:v>43622</x:v>
      </x:c>
      <x:c r="L1294" t="str">
        <x:v>Rockland</x:v>
      </x:c>
      <x:c r="M1294" t="str">
        <x:v>New York</x:v>
      </x:c>
      <x:c r="N1294" t="str">
        <x:v>DOMESTIC LIMITED LIABILITY COMPANY</x:v>
      </x:c>
      <x:c r="O1294" t="str">
        <x:v>BROOKE PROPERTY GROUP LLC</x:v>
      </x:c>
      <x:c r="P1294" t="str">
        <x:v>11 BRIARWOOD LANE, SUFFERN, NY, 10901</x:v>
      </x:c>
      <x:c r="Q1294" t="str"/>
      <x:c r="R1294" t="str"/>
      <x:c r="S1294" t="str"/>
      <x:c r="T1294" t="str"/>
      <x:c r="U1294" t="str"/>
      <x:c r="V1294" t="str"/>
      <x:c r="W1294" t="str"/>
      <x:c r="X1294" t="str"/>
      <x:c r="Y1294" t="str">
        <x:v>https://data.ny.gov/Economic-Development/Active-Corporations-Beginning-1800/n9v6-gdp6</x:v>
      </x:c>
    </x:row>
    <x:row r="1295">
      <x:c r="A1295" t="str">
        <x:v>DOS-6-016</x:v>
      </x:c>
      <x:c r="B1295" t="n">
        <x:v>6</x:v>
      </x:c>
      <x:c r="C1295" t="str">
        <x:v>11 BRIARWOOD LANE, SUFFERN, NY, 10901, US</x:v>
      </x:c>
      <x:c r="D1295" t="str">
        <x:v>CENTURION PROPERTY GROUP LLC</x:v>
      </x:c>
      <x:c r="E1295" t="str">
        <x:v>CENTURION PROPERTY GROUP LLC</x:v>
      </x:c>
      <x:c r="F1295" t="str">
        <x:v>Address-corroborated active match</x:v>
      </x:c>
      <x:c r="G1295" t="n">
        <x:v>1</x:v>
      </x:c>
      <x:c r="H1295" t="n">
        <x:v>2</x:v>
      </x:c>
      <x:c r="I1295" t="str">
        <x:v>7091270</x:v>
      </x:c>
      <x:c r="J1295" t="str">
        <x:v>CENTURION PROPERTY GROUP LLC</x:v>
      </x:c>
      <x:c r="K1295" s="55" t="n">
        <x:v>45196</x:v>
      </x:c>
      <x:c r="L1295" t="str">
        <x:v>Rockland</x:v>
      </x:c>
      <x:c r="M1295" t="str">
        <x:v>New York</x:v>
      </x:c>
      <x:c r="N1295" t="str">
        <x:v>DOMESTIC LIMITED LIABILITY COMPANY</x:v>
      </x:c>
      <x:c r="O1295" t="str">
        <x:v>Centurion Property Group LLC</x:v>
      </x:c>
      <x:c r="P1295" t="str">
        <x:v>11 Briarwood Lane, Suffern, NY, 10901</x:v>
      </x:c>
      <x:c r="Q1295" t="str"/>
      <x:c r="R1295" t="str"/>
      <x:c r="S1295" t="str"/>
      <x:c r="T1295" t="str"/>
      <x:c r="U1295" t="str"/>
      <x:c r="V1295" t="str"/>
      <x:c r="W1295" t="str"/>
      <x:c r="X1295" t="str"/>
      <x:c r="Y1295" t="str">
        <x:v>https://data.ny.gov/Economic-Development/Active-Corporations-Beginning-1800/n9v6-gdp6</x:v>
      </x:c>
    </x:row>
    <x:row r="1296">
      <x:c r="A1296" t="str">
        <x:v>DOS-6-016</x:v>
      </x:c>
      <x:c r="B1296" t="n">
        <x:v>6</x:v>
      </x:c>
      <x:c r="C1296" t="str">
        <x:v>11 BRIARWOOD LANE, SUFFERN, NY, 10901, US</x:v>
      </x:c>
      <x:c r="D1296" t="str">
        <x:v>GERARD PROPERTY GROUP LLC</x:v>
      </x:c>
      <x:c r="E1296" t="str">
        <x:v>GERARD PROPERTY GROUP LLC</x:v>
      </x:c>
      <x:c r="F1296" t="str">
        <x:v>Address-corroborated active match</x:v>
      </x:c>
      <x:c r="G1296" t="n">
        <x:v>1</x:v>
      </x:c>
      <x:c r="H1296" t="n">
        <x:v>2</x:v>
      </x:c>
      <x:c r="I1296" t="str">
        <x:v>5560308</x:v>
      </x:c>
      <x:c r="J1296" t="str">
        <x:v>GERARD PROPERTY GROUP LLC</x:v>
      </x:c>
      <x:c r="K1296" s="55" t="n">
        <x:v>43613</x:v>
      </x:c>
      <x:c r="L1296" t="str">
        <x:v>Rockland</x:v>
      </x:c>
      <x:c r="M1296" t="str">
        <x:v>New York</x:v>
      </x:c>
      <x:c r="N1296" t="str">
        <x:v>DOMESTIC LIMITED LIABILITY COMPANY</x:v>
      </x:c>
      <x:c r="O1296" t="str">
        <x:v>GERARD PROPERTY GROUP LLC</x:v>
      </x:c>
      <x:c r="P1296" t="str">
        <x:v>11 BRIARWOOD LANE, SUFFERN, NY, 10901</x:v>
      </x:c>
      <x:c r="Q1296" t="str"/>
      <x:c r="R1296" t="str"/>
      <x:c r="S1296" t="str"/>
      <x:c r="T1296" t="str"/>
      <x:c r="U1296" t="str"/>
      <x:c r="V1296" t="str"/>
      <x:c r="W1296" t="str"/>
      <x:c r="X1296" t="str"/>
      <x:c r="Y1296" t="str">
        <x:v>https://data.ny.gov/Economic-Development/Active-Corporations-Beginning-1800/n9v6-gdp6</x:v>
      </x:c>
    </x:row>
    <x:row r="1297">
      <x:c r="A1297" t="str">
        <x:v>DOS-6-016</x:v>
      </x:c>
      <x:c r="B1297" t="n">
        <x:v>6</x:v>
      </x:c>
      <x:c r="C1297" t="str">
        <x:v>11 BRIARWOOD LANE, SUFFERN, NY, 10901, US</x:v>
      </x:c>
      <x:c r="D1297" t="str">
        <x:v>THE RAND PROPERTIES GROUP LLC</x:v>
      </x:c>
      <x:c r="E1297" t="str">
        <x:v>THE RAND PROPERTIES GROUP LLC</x:v>
      </x:c>
      <x:c r="F1297" t="str">
        <x:v>Address-corroborated active match</x:v>
      </x:c>
      <x:c r="G1297" t="n">
        <x:v>1</x:v>
      </x:c>
      <x:c r="H1297" t="n">
        <x:v>2</x:v>
      </x:c>
      <x:c r="I1297" t="str">
        <x:v>4510935</x:v>
      </x:c>
      <x:c r="J1297" t="str">
        <x:v>THE RAND PROPERTIES GROUP LLC</x:v>
      </x:c>
      <x:c r="K1297" s="55" t="n">
        <x:v>41648</x:v>
      </x:c>
      <x:c r="L1297" t="str">
        <x:v>Rockland</x:v>
      </x:c>
      <x:c r="M1297" t="str">
        <x:v>New York</x:v>
      </x:c>
      <x:c r="N1297" t="str">
        <x:v>DOMESTIC LIMITED LIABILITY COMPANY</x:v>
      </x:c>
      <x:c r="O1297" t="str">
        <x:v>THE RAND PROPERTIES GROUP LLC</x:v>
      </x:c>
      <x:c r="P1297" t="str">
        <x:v>11 BRIARWOOD LANE, SUFFERN, NY, 10901</x:v>
      </x:c>
      <x:c r="Q1297" t="str"/>
      <x:c r="R1297" t="str"/>
      <x:c r="S1297" t="str"/>
      <x:c r="T1297" t="str"/>
      <x:c r="U1297" t="str"/>
      <x:c r="V1297" t="str"/>
      <x:c r="W1297" t="str"/>
      <x:c r="X1297" t="str"/>
      <x:c r="Y1297" t="str">
        <x:v>https://data.ny.gov/Economic-Development/Active-Corporations-Beginning-1800/n9v6-gdp6</x:v>
      </x:c>
    </x:row>
    <x:row r="1298">
      <x:c r="A1298" t="str">
        <x:v>DOS-6-017</x:v>
      </x:c>
      <x:c r="B1298" t="n">
        <x:v>6</x:v>
      </x:c>
      <x:c r="C1298" t="str">
        <x:v>197 COLUMBIA STREET, BROOKLYN, NY, 11231, US</x:v>
      </x:c>
      <x:c r="D1298" t="str">
        <x:v>446 SENATOR REALTY LLC</x:v>
      </x:c>
      <x:c r="E1298" t="str">
        <x:v>446 SENATOR REALTY, LLC</x:v>
      </x:c>
      <x:c r="F1298" t="str">
        <x:v>Active name match</x:v>
      </x:c>
      <x:c r="G1298" t="n">
        <x:v>1</x:v>
      </x:c>
      <x:c r="H1298" t="n">
        <x:v>0</x:v>
      </x:c>
      <x:c r="I1298" t="str">
        <x:v>5040666</x:v>
      </x:c>
      <x:c r="J1298" t="str">
        <x:v>446 SENATOR REALTY, LLC</x:v>
      </x:c>
      <x:c r="K1298" s="55" t="n">
        <x:v>42692</x:v>
      </x:c>
      <x:c r="L1298" t="str">
        <x:v>Kings</x:v>
      </x:c>
      <x:c r="M1298" t="str">
        <x:v>New York</x:v>
      </x:c>
      <x:c r="N1298" t="str">
        <x:v>DOMESTIC LIMITED LIABILITY COMPANY</x:v>
      </x:c>
      <x:c r="O1298" t="str">
        <x:v>446 SENATOR REALTY, LLC</x:v>
      </x:c>
      <x:c r="P1298" t="str">
        <x:v>758 4th avenue, BROOKLYN, NY, 11232</x:v>
      </x:c>
      <x:c r="Q1298" t="str"/>
      <x:c r="R1298" t="str"/>
      <x:c r="S1298" t="str"/>
      <x:c r="T1298" t="str"/>
      <x:c r="U1298" t="str"/>
      <x:c r="V1298" t="str"/>
      <x:c r="W1298" t="str"/>
      <x:c r="X1298" t="str"/>
      <x:c r="Y1298" t="str">
        <x:v>https://data.ny.gov/Economic-Development/Active-Corporations-Beginning-1800/n9v6-gdp6</x:v>
      </x:c>
    </x:row>
    <x:row r="1299">
      <x:c r="A1299" t="str">
        <x:v>DOS-6-017</x:v>
      </x:c>
      <x:c r="B1299" t="n">
        <x:v>6</x:v>
      </x:c>
      <x:c r="C1299" t="str">
        <x:v>197 COLUMBIA STREET, BROOKLYN, NY, 11231, US</x:v>
      </x:c>
      <x:c r="D1299" t="str">
        <x:v>750 4TH AVENUE LLC</x:v>
      </x:c>
      <x:c r="E1299" t="str">
        <x:v>750 4TH AVENUE LLC</x:v>
      </x:c>
      <x:c r="F1299" t="str">
        <x:v>Active name match</x:v>
      </x:c>
      <x:c r="G1299" t="n">
        <x:v>1</x:v>
      </x:c>
      <x:c r="H1299" t="n">
        <x:v>0</x:v>
      </x:c>
      <x:c r="I1299" t="str">
        <x:v>5495722</x:v>
      </x:c>
      <x:c r="J1299" t="str">
        <x:v>750 4TH AVENUE LLC</x:v>
      </x:c>
      <x:c r="K1299" s="55" t="n">
        <x:v>43511</x:v>
      </x:c>
      <x:c r="L1299" t="str">
        <x:v>Kings</x:v>
      </x:c>
      <x:c r="M1299" t="str">
        <x:v>New York</x:v>
      </x:c>
      <x:c r="N1299" t="str">
        <x:v>DOMESTIC LIMITED LIABILITY COMPANY</x:v>
      </x:c>
      <x:c r="O1299" t="str">
        <x:v>750 4TH AVENUE LLC</x:v>
      </x:c>
      <x:c r="P1299" t="str">
        <x:v>758 4th avenue 2nd fl, BROOKLYN, NY, 11232</x:v>
      </x:c>
      <x:c r="Q1299" t="str"/>
      <x:c r="R1299" t="str"/>
      <x:c r="S1299" t="str"/>
      <x:c r="T1299" t="str"/>
      <x:c r="U1299" t="str"/>
      <x:c r="V1299" t="str"/>
      <x:c r="W1299" t="str"/>
      <x:c r="X1299" t="str"/>
      <x:c r="Y1299" t="str">
        <x:v>https://data.ny.gov/Economic-Development/Active-Corporations-Beginning-1800/n9v6-gdp6</x:v>
      </x:c>
    </x:row>
    <x:row r="1300">
      <x:c r="A1300" t="str">
        <x:v>DOS-6-017</x:v>
      </x:c>
      <x:c r="B1300" t="n">
        <x:v>6</x:v>
      </x:c>
      <x:c r="C1300" t="str">
        <x:v>197 COLUMBIA STREET, BROOKLYN, NY, 11231, US</x:v>
      </x:c>
      <x:c r="D1300" t="str">
        <x:v>BAY SET 1869 REALTY CO LLC</x:v>
      </x:c>
      <x:c r="E1300" t="str">
        <x:v>BAY-SET 1869 REALTY CO. LLC</x:v>
      </x:c>
      <x:c r="F1300" t="str">
        <x:v>Active name match</x:v>
      </x:c>
      <x:c r="G1300" t="n">
        <x:v>1</x:v>
      </x:c>
      <x:c r="H1300" t="n">
        <x:v>0</x:v>
      </x:c>
      <x:c r="I1300" t="str">
        <x:v>4942726</x:v>
      </x:c>
      <x:c r="J1300" t="str">
        <x:v>BAY-SET 1869 REALTY CO. LLC</x:v>
      </x:c>
      <x:c r="K1300" s="55" t="n">
        <x:v>42496</x:v>
      </x:c>
      <x:c r="L1300" t="str">
        <x:v>Kings</x:v>
      </x:c>
      <x:c r="M1300" t="str">
        <x:v>New York</x:v>
      </x:c>
      <x:c r="N1300" t="str">
        <x:v>DOMESTIC LIMITED LIABILITY COMPANY</x:v>
      </x:c>
      <x:c r="O1300" t="str">
        <x:v>BAY-SET 1869 REALTY CO. LLC</x:v>
      </x:c>
      <x:c r="P1300" t="str">
        <x:v>758 4th avenue 2nd fl, BROOKLYN, NY, 11232</x:v>
      </x:c>
      <x:c r="Q1300" t="str"/>
      <x:c r="R1300" t="str"/>
      <x:c r="S1300" t="str"/>
      <x:c r="T1300" t="str"/>
      <x:c r="U1300" t="str"/>
      <x:c r="V1300" t="str"/>
      <x:c r="W1300" t="str"/>
      <x:c r="X1300" t="str"/>
      <x:c r="Y1300" t="str">
        <x:v>https://data.ny.gov/Economic-Development/Active-Corporations-Beginning-1800/n9v6-gdp6</x:v>
      </x:c>
    </x:row>
    <x:row r="1301">
      <x:c r="A1301" t="str">
        <x:v>DOS-6-017</x:v>
      </x:c>
      <x:c r="B1301" t="n">
        <x:v>6</x:v>
      </x:c>
      <x:c r="C1301" t="str">
        <x:v>197 COLUMBIA STREET, BROOKLYN, NY, 11231, US</x:v>
      </x:c>
      <x:c r="D1301" t="str">
        <x:v>BAY SET REALTY CO LLC</x:v>
      </x:c>
      <x:c r="E1301" t="str">
        <x:v>BAY-SET REALTY CO., LLC</x:v>
      </x:c>
      <x:c r="F1301" t="str">
        <x:v>Active name match</x:v>
      </x:c>
      <x:c r="G1301" t="n">
        <x:v>1</x:v>
      </x:c>
      <x:c r="H1301" t="n">
        <x:v>0</x:v>
      </x:c>
      <x:c r="I1301" t="str">
        <x:v>4141583</x:v>
      </x:c>
      <x:c r="J1301" t="str">
        <x:v>BAY-SET REALTY CO., LLC</x:v>
      </x:c>
      <x:c r="K1301" s="55" t="n">
        <x:v>40800</x:v>
      </x:c>
      <x:c r="L1301" t="str">
        <x:v>Kings</x:v>
      </x:c>
      <x:c r="M1301" t="str">
        <x:v>New York</x:v>
      </x:c>
      <x:c r="N1301" t="str">
        <x:v>DOMESTIC LIMITED LIABILITY COMPANY</x:v>
      </x:c>
      <x:c r="O1301" t="str">
        <x:v>BAY-SET REALTY CO., LLC</x:v>
      </x:c>
      <x:c r="P1301" t="str">
        <x:v>758 4th avenue 2nd fl, BROOKLYN, NY, 11232</x:v>
      </x:c>
      <x:c r="Q1301" t="str"/>
      <x:c r="R1301" t="str"/>
      <x:c r="S1301" t="str"/>
      <x:c r="T1301" t="str">
        <x:v>NEW YORK</x:v>
      </x:c>
      <x:c r="U1301" t="str"/>
      <x:c r="V1301" t="str"/>
      <x:c r="W1301" t="str"/>
      <x:c r="X1301" t="str"/>
      <x:c r="Y1301" t="str">
        <x:v>https://data.ny.gov/Economic-Development/Active-Corporations-Beginning-1800/n9v6-gdp6</x:v>
      </x:c>
    </x:row>
    <x:row r="1302">
      <x:c r="A1302" t="str">
        <x:v>DOS-6-017</x:v>
      </x:c>
      <x:c r="B1302" t="n">
        <x:v>6</x:v>
      </x:c>
      <x:c r="C1302" t="str">
        <x:v>197 COLUMBIA STREET, BROOKLYN, NY, 11231, US</x:v>
      </x:c>
      <x:c r="D1302" t="str">
        <x:v>HL INVESTOR GROUP LLC</x:v>
      </x:c>
      <x:c r="E1302" t="str">
        <x:v>HL INVESTOR GROUP LLC</x:v>
      </x:c>
      <x:c r="F1302" t="str">
        <x:v>Active name match</x:v>
      </x:c>
      <x:c r="G1302" t="n">
        <x:v>1</x:v>
      </x:c>
      <x:c r="H1302" t="n">
        <x:v>0</x:v>
      </x:c>
      <x:c r="I1302" t="str">
        <x:v>5441983</x:v>
      </x:c>
      <x:c r="J1302" t="str">
        <x:v>HL INVESTOR GROUP LLC</x:v>
      </x:c>
      <x:c r="K1302" s="55" t="n">
        <x:v>43417</x:v>
      </x:c>
      <x:c r="L1302" t="str">
        <x:v>Kings</x:v>
      </x:c>
      <x:c r="M1302" t="str">
        <x:v>New York</x:v>
      </x:c>
      <x:c r="N1302" t="str">
        <x:v>DOMESTIC LIMITED LIABILITY COMPANY</x:v>
      </x:c>
      <x:c r="O1302" t="str">
        <x:v>HL INVESTOR GROUP LLC</x:v>
      </x:c>
      <x:c r="P1302" t="str">
        <x:v>758 4TH AVENUE 2nd fl, BROOKLYN, NY, 11232</x:v>
      </x:c>
      <x:c r="Q1302" t="str"/>
      <x:c r="R1302" t="str"/>
      <x:c r="S1302" t="str"/>
      <x:c r="T1302" t="str">
        <x:v>NEW YORK</x:v>
      </x:c>
      <x:c r="U1302" t="str"/>
      <x:c r="V1302" t="str"/>
      <x:c r="W1302" t="str"/>
      <x:c r="X1302" t="str"/>
      <x:c r="Y1302" t="str">
        <x:v>https://data.ny.gov/Economic-Development/Active-Corporations-Beginning-1800/n9v6-gdp6</x:v>
      </x:c>
    </x:row>
    <x:row r="1303">
      <x:c r="A1303" t="str">
        <x:v>DOS-6-017</x:v>
      </x:c>
      <x:c r="B1303" t="n">
        <x:v>6</x:v>
      </x:c>
      <x:c r="C1303" t="str">
        <x:v>197 COLUMBIA STREET, BROOKLYN, NY, 11231, US</x:v>
      </x:c>
      <x:c r="D1303" t="str">
        <x:v>M H L LLC</x:v>
      </x:c>
      <x:c r="E1303" t="str">
        <x:v>M.H.L. LLC</x:v>
      </x:c>
      <x:c r="F1303" t="str">
        <x:v>Active name match</x:v>
      </x:c>
      <x:c r="G1303" t="n">
        <x:v>1</x:v>
      </x:c>
      <x:c r="H1303" t="n">
        <x:v>0</x:v>
      </x:c>
      <x:c r="I1303" t="str">
        <x:v>2733166</x:v>
      </x:c>
      <x:c r="J1303" t="str">
        <x:v>M.H.L. LLC</x:v>
      </x:c>
      <x:c r="K1303" s="55" t="n">
        <x:v>37307</x:v>
      </x:c>
      <x:c r="L1303" t="str">
        <x:v>Kings</x:v>
      </x:c>
      <x:c r="M1303" t="str">
        <x:v>New York</x:v>
      </x:c>
      <x:c r="N1303" t="str">
        <x:v>DOMESTIC LIMITED LIABILITY COMPANY</x:v>
      </x:c>
      <x:c r="O1303" t="str">
        <x:v>M.H.L. LLC</x:v>
      </x:c>
      <x:c r="P1303" t="str">
        <x:v>758 4th ave 2nd fl, BROOKLYN, NY, 11232</x:v>
      </x:c>
      <x:c r="Q1303" t="str"/>
      <x:c r="R1303" t="str"/>
      <x:c r="S1303" t="str"/>
      <x:c r="T1303" t="str"/>
      <x:c r="U1303" t="str"/>
      <x:c r="V1303" t="str"/>
      <x:c r="W1303" t="str"/>
      <x:c r="X1303" t="str"/>
      <x:c r="Y1303" t="str">
        <x:v>https://data.ny.gov/Economic-Development/Active-Corporations-Beginning-1800/n9v6-gdp6</x:v>
      </x:c>
    </x:row>
    <x:row r="1304">
      <x:c r="A1304" t="str">
        <x:v>DOS-6-018</x:v>
      </x:c>
      <x:c r="B1304" t="n">
        <x:v>6</x:v>
      </x:c>
      <x:c r="C1304" t="str">
        <x:v>199 LEE AVENUE, SUITE 471, BROOKLYN, NY, 11211, US</x:v>
      </x:c>
      <x:c r="D1304" t="str">
        <x:v>101 MOORE LLC</x:v>
      </x:c>
      <x:c r="E1304" t="str">
        <x:v>101 MOORE LLC</x:v>
      </x:c>
      <x:c r="F1304" t="str">
        <x:v>Active name match</x:v>
      </x:c>
      <x:c r="G1304" t="n">
        <x:v>1</x:v>
      </x:c>
      <x:c r="H1304" t="n">
        <x:v>1</x:v>
      </x:c>
      <x:c r="I1304" t="str">
        <x:v>7680236</x:v>
      </x:c>
      <x:c r="J1304" t="str">
        <x:v>101 MOORE LLC</x:v>
      </x:c>
      <x:c r="K1304" s="55" t="n">
        <x:v>45876</x:v>
      </x:c>
      <x:c r="L1304" t="str">
        <x:v>Kings</x:v>
      </x:c>
      <x:c r="M1304" t="str">
        <x:v>New York</x:v>
      </x:c>
      <x:c r="N1304" t="str">
        <x:v>DOMESTIC LIMITED LIABILITY COMPANY</x:v>
      </x:c>
      <x:c r="O1304" t="str">
        <x:v>101 MOORE LLC</x:v>
      </x:c>
      <x:c r="P1304" t="str">
        <x:v>199 lee ave ste 471, BROOKLYN, NY, 11211</x:v>
      </x:c>
      <x:c r="Q1304" t="str"/>
      <x:c r="R1304" t="str"/>
      <x:c r="S1304" t="str"/>
      <x:c r="T1304" t="str"/>
      <x:c r="U1304" t="str"/>
      <x:c r="V1304" t="str"/>
      <x:c r="W1304" t="str"/>
      <x:c r="X1304" t="str"/>
      <x:c r="Y1304" t="str">
        <x:v>https://data.ny.gov/Economic-Development/Active-Corporations-Beginning-1800/n9v6-gdp6</x:v>
      </x:c>
    </x:row>
    <x:row r="1305">
      <x:c r="A1305" t="str">
        <x:v>DOS-6-018</x:v>
      </x:c>
      <x:c r="B1305" t="n">
        <x:v>6</x:v>
      </x:c>
      <x:c r="C1305" t="str">
        <x:v>199 LEE AVENUE, SUITE 471, BROOKLYN, NY, 11211, US</x:v>
      </x:c>
      <x:c r="D1305" t="str">
        <x:v>1282 DECATUR LLC</x:v>
      </x:c>
      <x:c r="E1305" t="str">
        <x:v>1282 DECATUR LLC</x:v>
      </x:c>
      <x:c r="F1305" t="str">
        <x:v>Address-corroborated active match</x:v>
      </x:c>
      <x:c r="G1305" t="n">
        <x:v>1</x:v>
      </x:c>
      <x:c r="H1305" t="n">
        <x:v>2</x:v>
      </x:c>
      <x:c r="I1305" t="str">
        <x:v>4458329</x:v>
      </x:c>
      <x:c r="J1305" t="str">
        <x:v>1282 DECATUR LLC</x:v>
      </x:c>
      <x:c r="K1305" s="55" t="n">
        <x:v>41529</x:v>
      </x:c>
      <x:c r="L1305" t="str">
        <x:v>Kings</x:v>
      </x:c>
      <x:c r="M1305" t="str">
        <x:v>New York</x:v>
      </x:c>
      <x:c r="N1305" t="str">
        <x:v>DOMESTIC LIMITED LIABILITY COMPANY</x:v>
      </x:c>
      <x:c r="O1305" t="str">
        <x:v>1282 DECATUR LLC</x:v>
      </x:c>
      <x:c r="P1305" t="str">
        <x:v>199 LEE AVENUE, #962, BROOKLYN, NY, 11211</x:v>
      </x:c>
      <x:c r="Q1305" t="str"/>
      <x:c r="R1305" t="str"/>
      <x:c r="S1305" t="str"/>
      <x:c r="T1305" t="str"/>
      <x:c r="U1305" t="str"/>
      <x:c r="V1305" t="str"/>
      <x:c r="W1305" t="str"/>
      <x:c r="X1305" t="str"/>
      <x:c r="Y1305" t="str">
        <x:v>https://data.ny.gov/Economic-Development/Active-Corporations-Beginning-1800/n9v6-gdp6</x:v>
      </x:c>
    </x:row>
    <x:row r="1306">
      <x:c r="A1306" t="str">
        <x:v>DOS-6-018</x:v>
      </x:c>
      <x:c r="B1306" t="n">
        <x:v>6</x:v>
      </x:c>
      <x:c r="C1306" t="str">
        <x:v>199 LEE AVENUE, SUITE 471, BROOKLYN, NY, 11211, US</x:v>
      </x:c>
      <x:c r="D1306" t="str">
        <x:v>1873 MENAHAN LLC</x:v>
      </x:c>
      <x:c r="E1306" t="str">
        <x:v>1873 MENAHAN LLC</x:v>
      </x:c>
      <x:c r="F1306" t="str">
        <x:v>Active name match</x:v>
      </x:c>
      <x:c r="G1306" t="n">
        <x:v>1</x:v>
      </x:c>
      <x:c r="H1306" t="n">
        <x:v>1</x:v>
      </x:c>
      <x:c r="I1306" t="str">
        <x:v>4476125</x:v>
      </x:c>
      <x:c r="J1306" t="str">
        <x:v>1873 MENAHAN LLC</x:v>
      </x:c>
      <x:c r="K1306" s="55" t="n">
        <x:v>41569</x:v>
      </x:c>
      <x:c r="L1306" t="str">
        <x:v>Albany</x:v>
      </x:c>
      <x:c r="M1306" t="str">
        <x:v>New York</x:v>
      </x:c>
      <x:c r="N1306" t="str">
        <x:v>DOMESTIC LIMITED LIABILITY COMPANY</x:v>
      </x:c>
      <x:c r="O1306" t="str">
        <x:v>1873 MENAHAN LLC</x:v>
      </x:c>
      <x:c r="P1306" t="str">
        <x:v>199 LEE AVENUE # 962, BROOKLYN, NY, 11211</x:v>
      </x:c>
      <x:c r="Q1306" t="str"/>
      <x:c r="R1306" t="str"/>
      <x:c r="S1306" t="str"/>
      <x:c r="T1306" t="str"/>
      <x:c r="U1306" t="str"/>
      <x:c r="V1306" t="str"/>
      <x:c r="W1306" t="str"/>
      <x:c r="X1306" t="str"/>
      <x:c r="Y1306" t="str">
        <x:v>https://data.ny.gov/Economic-Development/Active-Corporations-Beginning-1800/n9v6-gdp6</x:v>
      </x:c>
    </x:row>
    <x:row r="1307">
      <x:c r="A1307" t="str">
        <x:v>DOS-6-018</x:v>
      </x:c>
      <x:c r="B1307" t="n">
        <x:v>6</x:v>
      </x:c>
      <x:c r="C1307" t="str">
        <x:v>199 LEE AVENUE, SUITE 471, BROOKLYN, NY, 11211, US</x:v>
      </x:c>
      <x:c r="D1307" t="str">
        <x:v>227 STANHOPE REALTY LLC</x:v>
      </x:c>
      <x:c r="E1307" t="str">
        <x:v>227 STANHOPE REALTY LLC</x:v>
      </x:c>
      <x:c r="F1307" t="str">
        <x:v>Active name match</x:v>
      </x:c>
      <x:c r="G1307" t="n">
        <x:v>1</x:v>
      </x:c>
      <x:c r="H1307" t="n">
        <x:v>1</x:v>
      </x:c>
      <x:c r="I1307" t="str">
        <x:v>3767774</x:v>
      </x:c>
      <x:c r="J1307" t="str">
        <x:v>227 STANHOPE REALTY LLC</x:v>
      </x:c>
      <x:c r="K1307" s="55" t="n">
        <x:v>39840</x:v>
      </x:c>
      <x:c r="L1307" t="str">
        <x:v>Kings</x:v>
      </x:c>
      <x:c r="M1307" t="str">
        <x:v>New York</x:v>
      </x:c>
      <x:c r="N1307" t="str">
        <x:v>DOMESTIC LIMITED LIABILITY COMPANY</x:v>
      </x:c>
      <x:c r="O1307" t="str">
        <x:v>227 STANHOPE REALTY LLC</x:v>
      </x:c>
      <x:c r="P1307" t="str">
        <x:v>199 LEE AVE #471, BROOKLYN, NY, 11211</x:v>
      </x:c>
      <x:c r="Q1307" t="str"/>
      <x:c r="R1307" t="str"/>
      <x:c r="S1307" t="str"/>
      <x:c r="T1307" t="str"/>
      <x:c r="U1307" t="str"/>
      <x:c r="V1307" t="str"/>
      <x:c r="W1307" t="str"/>
      <x:c r="X1307" t="str"/>
      <x:c r="Y1307" t="str">
        <x:v>https://data.ny.gov/Economic-Development/Active-Corporations-Beginning-1800/n9v6-gdp6</x:v>
      </x:c>
    </x:row>
    <x:row r="1308">
      <x:c r="A1308" t="str">
        <x:v>DOS-6-018</x:v>
      </x:c>
      <x:c r="B1308" t="n">
        <x:v>6</x:v>
      </x:c>
      <x:c r="C1308" t="str">
        <x:v>199 LEE AVENUE, SUITE 471, BROOKLYN, NY, 11211, US</x:v>
      </x:c>
      <x:c r="D1308" t="str">
        <x:v>ONE FIVE FIVE LLC</x:v>
      </x:c>
      <x:c r="E1308" t="str">
        <x:v>ONE FIVE FIVE LLC</x:v>
      </x:c>
      <x:c r="F1308" t="str">
        <x:v>Address-corroborated active match</x:v>
      </x:c>
      <x:c r="G1308" t="n">
        <x:v>1</x:v>
      </x:c>
      <x:c r="H1308" t="n">
        <x:v>2</x:v>
      </x:c>
      <x:c r="I1308" t="str">
        <x:v>7074656</x:v>
      </x:c>
      <x:c r="J1308" t="str">
        <x:v>ONE FIVE FIVE LLC</x:v>
      </x:c>
      <x:c r="K1308" s="55" t="n">
        <x:v>45177</x:v>
      </x:c>
      <x:c r="L1308" t="str">
        <x:v>Rockland</x:v>
      </x:c>
      <x:c r="M1308" t="str">
        <x:v>New York</x:v>
      </x:c>
      <x:c r="N1308" t="str">
        <x:v>DOMESTIC LIMITED LIABILITY COMPANY</x:v>
      </x:c>
      <x:c r="O1308" t="str">
        <x:v>Mendel Berkowitz</x:v>
      </x:c>
      <x:c r="P1308" t="str">
        <x:v>199 Lee Avenue, Suite 471, Brooklyn, NY, 11211</x:v>
      </x:c>
      <x:c r="Q1308" t="str"/>
      <x:c r="R1308" t="str"/>
      <x:c r="S1308" t="str"/>
      <x:c r="T1308" t="str"/>
      <x:c r="U1308" t="str"/>
      <x:c r="V1308" t="str"/>
      <x:c r="W1308" t="str"/>
      <x:c r="X1308" t="str"/>
      <x:c r="Y1308" t="str">
        <x:v>https://data.ny.gov/Economic-Development/Active-Corporations-Beginning-1800/n9v6-gdp6</x:v>
      </x:c>
    </x:row>
    <x:row r="1309">
      <x:c r="A1309" t="str">
        <x:v>DOS-6-018</x:v>
      </x:c>
      <x:c r="B1309" t="n">
        <x:v>6</x:v>
      </x:c>
      <x:c r="C1309" t="str">
        <x:v>199 LEE AVENUE, SUITE 471, BROOKLYN, NY, 11211, US</x:v>
      </x:c>
      <x:c r="D1309" t="str">
        <x:v>SIXTY SEVEN FOURTH LLC</x:v>
      </x:c>
      <x:c r="E1309" t="str">
        <x:v>SIXTY SEVEN FOURTH LLC</x:v>
      </x:c>
      <x:c r="F1309" t="str">
        <x:v>Active name match</x:v>
      </x:c>
      <x:c r="G1309" t="n">
        <x:v>1</x:v>
      </x:c>
      <x:c r="H1309" t="n">
        <x:v>1</x:v>
      </x:c>
      <x:c r="I1309" t="str">
        <x:v>7603205</x:v>
      </x:c>
      <x:c r="J1309" t="str">
        <x:v>SIXTY SEVEN FOURTH LLC</x:v>
      </x:c>
      <x:c r="K1309" s="55" t="n">
        <x:v>45782</x:v>
      </x:c>
      <x:c r="L1309" t="str">
        <x:v>Kings</x:v>
      </x:c>
      <x:c r="M1309" t="str">
        <x:v>New York</x:v>
      </x:c>
      <x:c r="N1309" t="str">
        <x:v>DOMESTIC LIMITED LIABILITY COMPANY</x:v>
      </x:c>
      <x:c r="O1309" t="str">
        <x:v>SIXTY SEVEN FOURTH LLC</x:v>
      </x:c>
      <x:c r="P1309" t="str">
        <x:v>199 lee ave ste 471, BROOKLYN, NY, 11211</x:v>
      </x:c>
      <x:c r="Q1309" t="str"/>
      <x:c r="R1309" t="str"/>
      <x:c r="S1309" t="str"/>
      <x:c r="T1309" t="str"/>
      <x:c r="U1309" t="str"/>
      <x:c r="V1309" t="str"/>
      <x:c r="W1309" t="str"/>
      <x:c r="X1309" t="str"/>
      <x:c r="Y1309" t="str">
        <x:v>https://data.ny.gov/Economic-Development/Active-Corporations-Beginning-1800/n9v6-gdp6</x:v>
      </x:c>
    </x:row>
    <x:row r="1310">
      <x:c r="A1310" t="str">
        <x:v>DOS-6-019</x:v>
      </x:c>
      <x:c r="B1310" t="n">
        <x:v>6</x:v>
      </x:c>
      <x:c r="C1310" t="str">
        <x:v>199 LEE AVENUE, SUITE #487, BROOKLYN, NY, 11211, US | 199 LEE AVENUE, SUITE 487, BROOKLYN, NY, 11211, US</x:v>
      </x:c>
      <x:c r="D1310" t="str">
        <x:v>114 AUTUMN LLC</x:v>
      </x:c>
      <x:c r="E1310" t="str">
        <x:v>114 AUTUMN LLC</x:v>
      </x:c>
      <x:c r="F1310" t="str">
        <x:v>Active name match</x:v>
      </x:c>
      <x:c r="G1310" t="n">
        <x:v>1</x:v>
      </x:c>
      <x:c r="H1310" t="n">
        <x:v>1</x:v>
      </x:c>
      <x:c r="I1310" t="str">
        <x:v>4894971</x:v>
      </x:c>
      <x:c r="J1310" t="str">
        <x:v>114 AUTUMN LLC</x:v>
      </x:c>
      <x:c r="K1310" s="55" t="n">
        <x:v>42411</x:v>
      </x:c>
      <x:c r="L1310" t="str">
        <x:v>Kings</x:v>
      </x:c>
      <x:c r="M1310" t="str">
        <x:v>New York</x:v>
      </x:c>
      <x:c r="N1310" t="str">
        <x:v>DOMESTIC LIMITED LIABILITY COMPANY</x:v>
      </x:c>
      <x:c r="O1310" t="str">
        <x:v>114 AUTUMN LLC</x:v>
      </x:c>
      <x:c r="P1310" t="str">
        <x:v>199 LE AVE STE 487, BROOKLYN, NY, 11211</x:v>
      </x:c>
      <x:c r="Q1310" t="str"/>
      <x:c r="R1310" t="str"/>
      <x:c r="S1310" t="str"/>
      <x:c r="T1310" t="str"/>
      <x:c r="U1310" t="str"/>
      <x:c r="V1310" t="str"/>
      <x:c r="W1310" t="str"/>
      <x:c r="X1310" t="str"/>
      <x:c r="Y1310" t="str">
        <x:v>https://data.ny.gov/Economic-Development/Active-Corporations-Beginning-1800/n9v6-gdp6</x:v>
      </x:c>
    </x:row>
    <x:row r="1311">
      <x:c r="A1311" t="str">
        <x:v>DOS-6-019</x:v>
      </x:c>
      <x:c r="B1311" t="n">
        <x:v>6</x:v>
      </x:c>
      <x:c r="C1311" t="str">
        <x:v>199 LEE AVENUE, SUITE #487, BROOKLYN, NY, 11211, US | 199 LEE AVENUE, SUITE 487, BROOKLYN, NY, 11211, US</x:v>
      </x:c>
      <x:c r="D1311" t="str">
        <x:v>268 LINWOOD LLC</x:v>
      </x:c>
      <x:c r="E1311" t="str">
        <x:v>268 LINWOOD LLC</x:v>
      </x:c>
      <x:c r="F1311" t="str">
        <x:v>Active name match</x:v>
      </x:c>
      <x:c r="G1311" t="n">
        <x:v>1</x:v>
      </x:c>
      <x:c r="H1311" t="n">
        <x:v>1</x:v>
      </x:c>
      <x:c r="I1311" t="str">
        <x:v>5676085</x:v>
      </x:c>
      <x:c r="J1311" t="str">
        <x:v>268 LINWOOD LLC</x:v>
      </x:c>
      <x:c r="K1311" s="55" t="n">
        <x:v>43822</x:v>
      </x:c>
      <x:c r="L1311" t="str">
        <x:v>Kings</x:v>
      </x:c>
      <x:c r="M1311" t="str">
        <x:v>New York</x:v>
      </x:c>
      <x:c r="N1311" t="str">
        <x:v>DOMESTIC LIMITED LIABILITY COMPANY</x:v>
      </x:c>
      <x:c r="O1311" t="str">
        <x:v>268 LINWOOD LLC</x:v>
      </x:c>
      <x:c r="P1311" t="str">
        <x:v>199 LEE AVE STE 487, BROOKLYN, NY, 11211</x:v>
      </x:c>
      <x:c r="Q1311" t="str"/>
      <x:c r="R1311" t="str"/>
      <x:c r="S1311" t="str"/>
      <x:c r="T1311" t="str"/>
      <x:c r="U1311" t="str"/>
      <x:c r="V1311" t="str"/>
      <x:c r="W1311" t="str"/>
      <x:c r="X1311" t="str"/>
      <x:c r="Y1311" t="str">
        <x:v>https://data.ny.gov/Economic-Development/Active-Corporations-Beginning-1800/n9v6-gdp6</x:v>
      </x:c>
    </x:row>
    <x:row r="1312">
      <x:c r="A1312" t="str">
        <x:v>DOS-6-019</x:v>
      </x:c>
      <x:c r="B1312" t="n">
        <x:v>6</x:v>
      </x:c>
      <x:c r="C1312" t="str">
        <x:v>199 LEE AVENUE, SUITE #487, BROOKLYN, NY, 11211, US | 199 LEE AVENUE, SUITE 487, BROOKLYN, NY, 11211, US</x:v>
      </x:c>
      <x:c r="D1312" t="str">
        <x:v>2683 ATLANTIC LLC</x:v>
      </x:c>
      <x:c r="E1312" t="str">
        <x:v>2683 ATLANTIC LLC</x:v>
      </x:c>
      <x:c r="F1312" t="str">
        <x:v>Active name match</x:v>
      </x:c>
      <x:c r="G1312" t="n">
        <x:v>1</x:v>
      </x:c>
      <x:c r="H1312" t="n">
        <x:v>1</x:v>
      </x:c>
      <x:c r="I1312" t="str">
        <x:v>7601552</x:v>
      </x:c>
      <x:c r="J1312" t="str">
        <x:v>2683 ATLANTIC LLC</x:v>
      </x:c>
      <x:c r="K1312" s="55" t="n">
        <x:v>45779</x:v>
      </x:c>
      <x:c r="L1312" t="str">
        <x:v>Kings</x:v>
      </x:c>
      <x:c r="M1312" t="str">
        <x:v>New York</x:v>
      </x:c>
      <x:c r="N1312" t="str">
        <x:v>DOMESTIC LIMITED LIABILITY COMPANY</x:v>
      </x:c>
      <x:c r="O1312" t="str">
        <x:v>2683 ATLANTIC LLC</x:v>
      </x:c>
      <x:c r="P1312" t="str">
        <x:v>199 lee ave, ste 487, BROOKLYN, NY, 11211</x:v>
      </x:c>
      <x:c r="Q1312" t="str"/>
      <x:c r="R1312" t="str"/>
      <x:c r="S1312" t="str"/>
      <x:c r="T1312" t="str"/>
      <x:c r="U1312" t="str"/>
      <x:c r="V1312" t="str"/>
      <x:c r="W1312" t="str"/>
      <x:c r="X1312" t="str"/>
      <x:c r="Y1312" t="str">
        <x:v>https://data.ny.gov/Economic-Development/Active-Corporations-Beginning-1800/n9v6-gdp6</x:v>
      </x:c>
    </x:row>
    <x:row r="1313">
      <x:c r="A1313" t="str">
        <x:v>DOS-6-019</x:v>
      </x:c>
      <x:c r="B1313" t="n">
        <x:v>6</x:v>
      </x:c>
      <x:c r="C1313" t="str">
        <x:v>199 LEE AVENUE, SUITE #487, BROOKLYN, NY, 11211, US | 199 LEE AVENUE, SUITE 487, BROOKLYN, NY, 11211, US</x:v>
      </x:c>
      <x:c r="D1313" t="str">
        <x:v>2741 FULTON LLC</x:v>
      </x:c>
      <x:c r="E1313" t="str">
        <x:v>2741 FULTON LLC</x:v>
      </x:c>
      <x:c r="F1313" t="str">
        <x:v>Active name match</x:v>
      </x:c>
      <x:c r="G1313" t="n">
        <x:v>1</x:v>
      </x:c>
      <x:c r="H1313" t="n">
        <x:v>1</x:v>
      </x:c>
      <x:c r="I1313" t="str">
        <x:v>5224044</x:v>
      </x:c>
      <x:c r="J1313" t="str">
        <x:v>2741 FULTON LLC</x:v>
      </x:c>
      <x:c r="K1313" s="55" t="n">
        <x:v>43033</x:v>
      </x:c>
      <x:c r="L1313" t="str">
        <x:v>Kings</x:v>
      </x:c>
      <x:c r="M1313" t="str">
        <x:v>New York</x:v>
      </x:c>
      <x:c r="N1313" t="str">
        <x:v>DOMESTIC LIMITED LIABILITY COMPANY</x:v>
      </x:c>
      <x:c r="O1313" t="str">
        <x:v>2741 FULTON LLC</x:v>
      </x:c>
      <x:c r="P1313" t="str">
        <x:v>199 LEE AVE STE 487, BROOKLYN, NY, 11211</x:v>
      </x:c>
      <x:c r="Q1313" t="str"/>
      <x:c r="R1313" t="str"/>
      <x:c r="S1313" t="str"/>
      <x:c r="T1313" t="str"/>
      <x:c r="U1313" t="str"/>
      <x:c r="V1313" t="str"/>
      <x:c r="W1313" t="str"/>
      <x:c r="X1313" t="str"/>
      <x:c r="Y1313" t="str">
        <x:v>https://data.ny.gov/Economic-Development/Active-Corporations-Beginning-1800/n9v6-gdp6</x:v>
      </x:c>
    </x:row>
    <x:row r="1314">
      <x:c r="A1314" t="str">
        <x:v>DOS-6-019</x:v>
      </x:c>
      <x:c r="B1314" t="n">
        <x:v>6</x:v>
      </x:c>
      <x:c r="C1314" t="str">
        <x:v>199 LEE AVENUE, SUITE #487, BROOKLYN, NY, 11211, US | 199 LEE AVENUE, SUITE 487, BROOKLYN, NY, 11211, US</x:v>
      </x:c>
      <x:c r="D1314" t="str">
        <x:v>3233 FULTON LLC</x:v>
      </x:c>
      <x:c r="E1314" t="str">
        <x:v>3233 FULTON LLC</x:v>
      </x:c>
      <x:c r="F1314" t="str">
        <x:v>Active name match</x:v>
      </x:c>
      <x:c r="G1314" t="n">
        <x:v>1</x:v>
      </x:c>
      <x:c r="H1314" t="n">
        <x:v>1</x:v>
      </x:c>
      <x:c r="I1314" t="str">
        <x:v>5186223</x:v>
      </x:c>
      <x:c r="J1314" t="str">
        <x:v>3233 FULTON LLC</x:v>
      </x:c>
      <x:c r="K1314" s="55" t="n">
        <x:v>42961</x:v>
      </x:c>
      <x:c r="L1314" t="str">
        <x:v>Kings</x:v>
      </x:c>
      <x:c r="M1314" t="str">
        <x:v>New York</x:v>
      </x:c>
      <x:c r="N1314" t="str">
        <x:v>DOMESTIC LIMITED LIABILITY COMPANY</x:v>
      </x:c>
      <x:c r="O1314" t="str">
        <x:v>3233 FULTON LLC</x:v>
      </x:c>
      <x:c r="P1314" t="str">
        <x:v>199 LEE AVE, STE 487, BROOKLYN, NY, 11211</x:v>
      </x:c>
      <x:c r="Q1314" t="str"/>
      <x:c r="R1314" t="str"/>
      <x:c r="S1314" t="str"/>
      <x:c r="T1314" t="str"/>
      <x:c r="U1314" t="str"/>
      <x:c r="V1314" t="str"/>
      <x:c r="W1314" t="str"/>
      <x:c r="X1314" t="str"/>
      <x:c r="Y1314" t="str">
        <x:v>https://data.ny.gov/Economic-Development/Active-Corporations-Beginning-1800/n9v6-gdp6</x:v>
      </x:c>
    </x:row>
    <x:row r="1315">
      <x:c r="A1315" t="str">
        <x:v>DOS-6-019</x:v>
      </x:c>
      <x:c r="B1315" t="n">
        <x:v>6</x:v>
      </x:c>
      <x:c r="C1315" t="str">
        <x:v>199 LEE AVENUE, SUITE #487, BROOKLYN, NY, 11211, US | 199 LEE AVENUE, SUITE 487, BROOKLYN, NY, 11211, US</x:v>
      </x:c>
      <x:c r="D1315" t="str">
        <x:v>8608 10 LLC</x:v>
      </x:c>
      <x:c r="E1315" t="str">
        <x:v>8608 10 LLC</x:v>
      </x:c>
      <x:c r="F1315" t="str">
        <x:v>Active name match</x:v>
      </x:c>
      <x:c r="G1315" t="n">
        <x:v>1</x:v>
      </x:c>
      <x:c r="H1315" t="n">
        <x:v>1</x:v>
      </x:c>
      <x:c r="I1315" t="str">
        <x:v>5462339</x:v>
      </x:c>
      <x:c r="J1315" t="str">
        <x:v>8608 10 LLC</x:v>
      </x:c>
      <x:c r="K1315" s="55" t="n">
        <x:v>43454</x:v>
      </x:c>
      <x:c r="L1315" t="str">
        <x:v>Kings</x:v>
      </x:c>
      <x:c r="M1315" t="str">
        <x:v>New York</x:v>
      </x:c>
      <x:c r="N1315" t="str">
        <x:v>DOMESTIC LIMITED LIABILITY COMPANY</x:v>
      </x:c>
      <x:c r="O1315" t="str">
        <x:v>8608 10 LLC</x:v>
      </x:c>
      <x:c r="P1315" t="str">
        <x:v>199 LEE AVE STE 487, BROOKLYN, NY, 11211</x:v>
      </x:c>
      <x:c r="Q1315" t="str"/>
      <x:c r="R1315" t="str"/>
      <x:c r="S1315" t="str"/>
      <x:c r="T1315" t="str"/>
      <x:c r="U1315" t="str"/>
      <x:c r="V1315" t="str"/>
      <x:c r="W1315" t="str"/>
      <x:c r="X1315" t="str"/>
      <x:c r="Y1315" t="str">
        <x:v>https://data.ny.gov/Economic-Development/Active-Corporations-Beginning-1800/n9v6-gdp6</x:v>
      </x:c>
    </x:row>
    <x:row r="1316">
      <x:c r="A1316" t="str">
        <x:v>DOS-6-020</x:v>
      </x:c>
      <x:c r="B1316" t="n">
        <x:v>6</x:v>
      </x:c>
      <x:c r="C1316" t="str">
        <x:v>225 JERICHO TURNPIKE, FLORAL PARK, NY, 11001, US</x:v>
      </x:c>
      <x:c r="D1316" t="str">
        <x:v>1 WEST POND ASSETS LLC</x:v>
      </x:c>
      <x:c r="E1316" t="str">
        <x:v>1 WEST POND ASSETS LLC</x:v>
      </x:c>
      <x:c r="F1316" t="str">
        <x:v>Active name match</x:v>
      </x:c>
      <x:c r="G1316" t="n">
        <x:v>1</x:v>
      </x:c>
      <x:c r="H1316" t="n">
        <x:v>1</x:v>
      </x:c>
      <x:c r="I1316" t="str">
        <x:v>4792078</x:v>
      </x:c>
      <x:c r="J1316" t="str">
        <x:v>1 WEST POND ASSETS LLC</x:v>
      </x:c>
      <x:c r="K1316" s="55" t="n">
        <x:v>42205</x:v>
      </x:c>
      <x:c r="L1316" t="str">
        <x:v>Nassau</x:v>
      </x:c>
      <x:c r="M1316" t="str">
        <x:v>New York</x:v>
      </x:c>
      <x:c r="N1316" t="str">
        <x:v>DOMESTIC LIMITED LIABILITY COMPANY</x:v>
      </x:c>
      <x:c r="O1316" t="str">
        <x:v>1 WEST POND ASSETS LLC</x:v>
      </x:c>
      <x:c r="P1316" t="str">
        <x:v>206 JERICHO TURNPIKE, FLORAL PARK, NY, 11001</x:v>
      </x:c>
      <x:c r="Q1316" t="str"/>
      <x:c r="R1316" t="str"/>
      <x:c r="S1316" t="str"/>
      <x:c r="T1316" t="str"/>
      <x:c r="U1316" t="str"/>
      <x:c r="V1316" t="str"/>
      <x:c r="W1316" t="str"/>
      <x:c r="X1316" t="str"/>
      <x:c r="Y1316" t="str">
        <x:v>https://data.ny.gov/Economic-Development/Active-Corporations-Beginning-1800/n9v6-gdp6</x:v>
      </x:c>
    </x:row>
    <x:row r="1317">
      <x:c r="A1317" t="str">
        <x:v>DOS-6-020</x:v>
      </x:c>
      <x:c r="B1317" t="n">
        <x:v>6</x:v>
      </x:c>
      <x:c r="C1317" t="str">
        <x:v>225 JERICHO TURNPIKE, FLORAL PARK, NY, 11001, US</x:v>
      </x:c>
      <x:c r="D1317" t="str">
        <x:v>BAYSIDE NY GROUP LLC</x:v>
      </x:c>
      <x:c r="E1317" t="str">
        <x:v>BAYSIDE NY GROUP LLC</x:v>
      </x:c>
      <x:c r="F1317" t="str">
        <x:v>Address-corroborated active match</x:v>
      </x:c>
      <x:c r="G1317" t="n">
        <x:v>1</x:v>
      </x:c>
      <x:c r="H1317" t="n">
        <x:v>2</x:v>
      </x:c>
      <x:c r="I1317" t="str">
        <x:v>5584707</x:v>
      </x:c>
      <x:c r="J1317" t="str">
        <x:v>BAYSIDE NY GROUP LLC</x:v>
      </x:c>
      <x:c r="K1317" s="55" t="n">
        <x:v>43656</x:v>
      </x:c>
      <x:c r="L1317" t="str">
        <x:v>Nassau</x:v>
      </x:c>
      <x:c r="M1317" t="str">
        <x:v>New York</x:v>
      </x:c>
      <x:c r="N1317" t="str">
        <x:v>DOMESTIC LIMITED LIABILITY COMPANY</x:v>
      </x:c>
      <x:c r="O1317" t="str">
        <x:v>BAYSIDE NY GROUP LLC</x:v>
      </x:c>
      <x:c r="P1317" t="str">
        <x:v>225 JERICHO TURNPIKE, 2 ND FLOOR, FLORAL PARK, NY, 11001</x:v>
      </x:c>
      <x:c r="Q1317" t="str"/>
      <x:c r="R1317" t="str"/>
      <x:c r="S1317" t="str"/>
      <x:c r="T1317" t="str"/>
      <x:c r="U1317" t="str"/>
      <x:c r="V1317" t="str"/>
      <x:c r="W1317" t="str"/>
      <x:c r="X1317" t="str"/>
      <x:c r="Y1317" t="str">
        <x:v>https://data.ny.gov/Economic-Development/Active-Corporations-Beginning-1800/n9v6-gdp6</x:v>
      </x:c>
    </x:row>
    <x:row r="1318">
      <x:c r="A1318" t="str">
        <x:v>DOS-6-020</x:v>
      </x:c>
      <x:c r="B1318" t="n">
        <x:v>6</x:v>
      </x:c>
      <x:c r="C1318" t="str">
        <x:v>225 JERICHO TURNPIKE, FLORAL PARK, NY, 11001, US</x:v>
      </x:c>
      <x:c r="D1318" t="str">
        <x:v>HILL PLAZA ENTERPRISE NY LLC</x:v>
      </x:c>
      <x:c r="E1318" t="str">
        <x:v>HILL PLAZA ENTERPRISE NY LLC</x:v>
      </x:c>
      <x:c r="F1318" t="str">
        <x:v>Active name match</x:v>
      </x:c>
      <x:c r="G1318" t="n">
        <x:v>1</x:v>
      </x:c>
      <x:c r="H1318" t="n">
        <x:v>1</x:v>
      </x:c>
      <x:c r="I1318" t="str">
        <x:v>5467274</x:v>
      </x:c>
      <x:c r="J1318" t="str">
        <x:v>HILL PLAZA ENTERPRISE NY LLC</x:v>
      </x:c>
      <x:c r="K1318" s="55" t="n">
        <x:v>43467</x:v>
      </x:c>
      <x:c r="L1318" t="str">
        <x:v>Nassau</x:v>
      </x:c>
      <x:c r="M1318" t="str">
        <x:v>New York</x:v>
      </x:c>
      <x:c r="N1318" t="str">
        <x:v>DOMESTIC LIMITED LIABILITY COMPANY</x:v>
      </x:c>
      <x:c r="O1318" t="str">
        <x:v>HILL PLAZA ENTERPRISE NY LLC</x:v>
      </x:c>
      <x:c r="P1318" t="str">
        <x:v>249-72 JERICHO TURNPIKE, FLORAL PARK, NY, 11001</x:v>
      </x:c>
      <x:c r="Q1318" t="str"/>
      <x:c r="R1318" t="str"/>
      <x:c r="S1318" t="str"/>
      <x:c r="T1318" t="str"/>
      <x:c r="U1318" t="str"/>
      <x:c r="V1318" t="str"/>
      <x:c r="W1318" t="str"/>
      <x:c r="X1318" t="str"/>
      <x:c r="Y1318" t="str">
        <x:v>https://data.ny.gov/Economic-Development/Active-Corporations-Beginning-1800/n9v6-gdp6</x:v>
      </x:c>
    </x:row>
    <x:row r="1319">
      <x:c r="A1319" t="str">
        <x:v>DOS-6-020</x:v>
      </x:c>
      <x:c r="B1319" t="n">
        <x:v>6</x:v>
      </x:c>
      <x:c r="C1319" t="str">
        <x:v>225 JERICHO TURNPIKE, FLORAL PARK, NY, 11001, US</x:v>
      </x:c>
      <x:c r="D1319" t="str">
        <x:v>KINGSBRIDGE UNITED LLC</x:v>
      </x:c>
      <x:c r="E1319" t="str">
        <x:v>KINGSBRIDGE UNITED LLC</x:v>
      </x:c>
      <x:c r="F1319" t="str">
        <x:v>No active DOS match</x:v>
      </x:c>
      <x:c r="G1319" t="n">
        <x:v>0</x:v>
      </x:c>
      <x:c r="H1319" t="n">
        <x:v>0</x:v>
      </x:c>
      <x:c r="I1319" t="str"/>
      <x:c r="J1319" t="str"/>
      <x:c r="K1319" s="55" t="str"/>
      <x:c r="L1319" t="str"/>
      <x:c r="M1319" t="str"/>
      <x:c r="N1319" t="str"/>
      <x:c r="O1319" t="str"/>
      <x:c r="P1319" t="str"/>
      <x:c r="Q1319" t="str"/>
      <x:c r="R1319" t="str"/>
      <x:c r="S1319" t="str"/>
      <x:c r="T1319" t="str"/>
      <x:c r="U1319" t="str"/>
      <x:c r="V1319" t="str"/>
      <x:c r="W1319" t="str"/>
      <x:c r="X1319" t="str"/>
      <x:c r="Y1319" t="str">
        <x:v>https://data.ny.gov/Economic-Development/Active-Corporations-Beginning-1800/n9v6-gdp6</x:v>
      </x:c>
    </x:row>
    <x:row r="1320">
      <x:c r="A1320" t="str">
        <x:v>DOS-6-020</x:v>
      </x:c>
      <x:c r="B1320" t="n">
        <x:v>6</x:v>
      </x:c>
      <x:c r="C1320" t="str">
        <x:v>225 JERICHO TURNPIKE, FLORAL PARK, NY, 11001, US</x:v>
      </x:c>
      <x:c r="D1320" t="str">
        <x:v>UNITED BROADWAY LLC</x:v>
      </x:c>
      <x:c r="E1320" t="str">
        <x:v>UNITED BROADWAY, LLC</x:v>
      </x:c>
      <x:c r="F1320" t="str">
        <x:v>Active name match</x:v>
      </x:c>
      <x:c r="G1320" t="n">
        <x:v>1</x:v>
      </x:c>
      <x:c r="H1320" t="n">
        <x:v>0</x:v>
      </x:c>
      <x:c r="I1320" t="str">
        <x:v>4717455</x:v>
      </x:c>
      <x:c r="J1320" t="str">
        <x:v>UNITED BROADWAY, LLC</x:v>
      </x:c>
      <x:c r="K1320" s="55" t="n">
        <x:v>42062</x:v>
      </x:c>
      <x:c r="L1320" t="str">
        <x:v>Columbia</x:v>
      </x:c>
      <x:c r="M1320" t="str">
        <x:v>New York</x:v>
      </x:c>
      <x:c r="N1320" t="str">
        <x:v>DOMESTIC LIMITED LIABILITY COMPANY</x:v>
      </x:c>
      <x:c r="O1320" t="str">
        <x:v>PAYKIN, RICHLAND &amp; FALKOWSKI, PC</x:v>
      </x:c>
      <x:c r="P1320" t="str">
        <x:v>350 FIFTH AVE, 59TH FLOOR, NEW YORK, NY, 10118</x:v>
      </x:c>
      <x:c r="Q1320" t="str"/>
      <x:c r="R1320" t="str"/>
      <x:c r="S1320" t="str"/>
      <x:c r="T1320" t="str"/>
      <x:c r="U1320" t="str"/>
      <x:c r="V1320" t="str"/>
      <x:c r="W1320" t="str"/>
      <x:c r="X1320" t="str"/>
      <x:c r="Y1320" t="str">
        <x:v>https://data.ny.gov/Economic-Development/Active-Corporations-Beginning-1800/n9v6-gdp6</x:v>
      </x:c>
    </x:row>
    <x:row r="1321">
      <x:c r="A1321" t="str">
        <x:v>DOS-6-020</x:v>
      </x:c>
      <x:c r="B1321" t="n">
        <x:v>6</x:v>
      </x:c>
      <x:c r="C1321" t="str">
        <x:v>225 JERICHO TURNPIKE, FLORAL PARK, NY, 11001, US</x:v>
      </x:c>
      <x:c r="D1321" t="str">
        <x:v>UNITED PLAZA OF BRONX LLC</x:v>
      </x:c>
      <x:c r="E1321" t="str">
        <x:v>UNITED PLAZA OF BRONX LLC</x:v>
      </x:c>
      <x:c r="F1321" t="str">
        <x:v>Address-corroborated active match</x:v>
      </x:c>
      <x:c r="G1321" t="n">
        <x:v>1</x:v>
      </x:c>
      <x:c r="H1321" t="n">
        <x:v>2</x:v>
      </x:c>
      <x:c r="I1321" t="str">
        <x:v>5264249</x:v>
      </x:c>
      <x:c r="J1321" t="str">
        <x:v>UNITED PLAZA OF BRONX LLC</x:v>
      </x:c>
      <x:c r="K1321" s="55" t="n">
        <x:v>43110</x:v>
      </x:c>
      <x:c r="L1321" t="str">
        <x:v>Nassau</x:v>
      </x:c>
      <x:c r="M1321" t="str">
        <x:v>New York</x:v>
      </x:c>
      <x:c r="N1321" t="str">
        <x:v>DOMESTIC LIMITED LIABILITY COMPANY</x:v>
      </x:c>
      <x:c r="O1321" t="str">
        <x:v>UNITED PLAZA OF BRONX LLC</x:v>
      </x:c>
      <x:c r="P1321" t="str">
        <x:v>225 JERICHO TURNPIKE, 2ND FLOOR, FLORAL PARK, NY, 11001</x:v>
      </x:c>
      <x:c r="Q1321" t="str"/>
      <x:c r="R1321" t="str"/>
      <x:c r="S1321" t="str"/>
      <x:c r="T1321" t="str"/>
      <x:c r="U1321" t="str"/>
      <x:c r="V1321" t="str"/>
      <x:c r="W1321" t="str"/>
      <x:c r="X1321" t="str"/>
      <x:c r="Y1321" t="str">
        <x:v>https://data.ny.gov/Economic-Development/Active-Corporations-Beginning-1800/n9v6-gdp6</x:v>
      </x:c>
    </x:row>
    <x:row r="1322">
      <x:c r="A1322" t="str">
        <x:v>DOS-6-021</x:v>
      </x:c>
      <x:c r="B1322" t="n">
        <x:v>6</x:v>
      </x:c>
      <x:c r="C1322" t="str">
        <x:v>280 NORTH CENTRAL PARK AVENUE, SUITE 210, HARTSDALE, NY, 10530, US</x:v>
      </x:c>
      <x:c r="D1322" t="str">
        <x:v>106 AND 108 CHARLES LLC</x:v>
      </x:c>
      <x:c r="E1322" t="str">
        <x:v>106 &amp; 108 CHARLES LLC</x:v>
      </x:c>
      <x:c r="F1322" t="str">
        <x:v>Active name match</x:v>
      </x:c>
      <x:c r="G1322" t="n">
        <x:v>1</x:v>
      </x:c>
      <x:c r="H1322" t="n">
        <x:v>1</x:v>
      </x:c>
      <x:c r="I1322" t="str">
        <x:v>3159147</x:v>
      </x:c>
      <x:c r="J1322" t="str">
        <x:v>106 &amp; 108 CHARLES LLC</x:v>
      </x:c>
      <x:c r="K1322" s="55" t="n">
        <x:v>38386</x:v>
      </x:c>
      <x:c r="L1322" t="str">
        <x:v>New York</x:v>
      </x:c>
      <x:c r="M1322" t="str">
        <x:v>New York</x:v>
      </x:c>
      <x:c r="N1322" t="str">
        <x:v>DOMESTIC LIMITED LIABILITY COMPANY</x:v>
      </x:c>
      <x:c r="O1322" t="str">
        <x:v>106 &amp; 108 CHARLES LLC</x:v>
      </x:c>
      <x:c r="P1322" t="str">
        <x:v>111 NORTH CENTRAL PARK AVE, STE 400, HARTSDALE, NY, 10530</x:v>
      </x:c>
      <x:c r="Q1322" t="str"/>
      <x:c r="R1322" t="str"/>
      <x:c r="S1322" t="str"/>
      <x:c r="T1322" t="str"/>
      <x:c r="U1322" t="str"/>
      <x:c r="V1322" t="str"/>
      <x:c r="W1322" t="str"/>
      <x:c r="X1322" t="str"/>
      <x:c r="Y1322" t="str">
        <x:v>https://data.ny.gov/Economic-Development/Active-Corporations-Beginning-1800/n9v6-gdp6</x:v>
      </x:c>
    </x:row>
    <x:row r="1323">
      <x:c r="A1323" t="str">
        <x:v>DOS-6-021</x:v>
      </x:c>
      <x:c r="B1323" t="n">
        <x:v>6</x:v>
      </x:c>
      <x:c r="C1323" t="str">
        <x:v>280 NORTH CENTRAL PARK AVENUE, SUITE 210, HARTSDALE, NY, 10530, US</x:v>
      </x:c>
      <x:c r="D1323" t="str">
        <x:v>226 228 EAST 26TH STREET LLC</x:v>
      </x:c>
      <x:c r="E1323" t="str">
        <x:v>226-228 EAST 26TH STREET LLC</x:v>
      </x:c>
      <x:c r="F1323" t="str">
        <x:v>Active name match</x:v>
      </x:c>
      <x:c r="G1323" t="n">
        <x:v>1</x:v>
      </x:c>
      <x:c r="H1323" t="n">
        <x:v>1</x:v>
      </x:c>
      <x:c r="I1323" t="str">
        <x:v>3559020</x:v>
      </x:c>
      <x:c r="J1323" t="str">
        <x:v>226-228 EAST 26TH STREET LLC</x:v>
      </x:c>
      <x:c r="K1323" s="55" t="n">
        <x:v>39316</x:v>
      </x:c>
      <x:c r="L1323" t="str">
        <x:v>Westchester</x:v>
      </x:c>
      <x:c r="M1323" t="str">
        <x:v>New York</x:v>
      </x:c>
      <x:c r="N1323" t="str">
        <x:v>DOMESTIC LIMITED LIABILITY COMPANY</x:v>
      </x:c>
      <x:c r="O1323" t="str">
        <x:v>226-228 EAST 26TH STREET LLC</x:v>
      </x:c>
      <x:c r="P1323" t="str">
        <x:v>111 NORTH CENTRAL PARK AVE, STE 400, HARTSDALE, NY, 10530</x:v>
      </x:c>
      <x:c r="Q1323" t="str"/>
      <x:c r="R1323" t="str"/>
      <x:c r="S1323" t="str"/>
      <x:c r="T1323" t="str"/>
      <x:c r="U1323" t="str"/>
      <x:c r="V1323" t="str"/>
      <x:c r="W1323" t="str"/>
      <x:c r="X1323" t="str"/>
      <x:c r="Y1323" t="str">
        <x:v>https://data.ny.gov/Economic-Development/Active-Corporations-Beginning-1800/n9v6-gdp6</x:v>
      </x:c>
    </x:row>
    <x:row r="1324">
      <x:c r="A1324" t="str">
        <x:v>DOS-6-021</x:v>
      </x:c>
      <x:c r="B1324" t="n">
        <x:v>6</x:v>
      </x:c>
      <x:c r="C1324" t="str">
        <x:v>280 NORTH CENTRAL PARK AVENUE, SUITE 210, HARTSDALE, NY, 10530, US</x:v>
      </x:c>
      <x:c r="D1324" t="str">
        <x:v>256 EAST 10TH STREET NY LLC</x:v>
      </x:c>
      <x:c r="E1324" t="str">
        <x:v>256 EAST 10TH STREET NY LLC</x:v>
      </x:c>
      <x:c r="F1324" t="str">
        <x:v>Active name match</x:v>
      </x:c>
      <x:c r="G1324" t="n">
        <x:v>1</x:v>
      </x:c>
      <x:c r="H1324" t="n">
        <x:v>1</x:v>
      </x:c>
      <x:c r="I1324" t="str">
        <x:v>3559141</x:v>
      </x:c>
      <x:c r="J1324" t="str">
        <x:v>256 EAST 10TH STREET NY LLC</x:v>
      </x:c>
      <x:c r="K1324" s="55" t="n">
        <x:v>39316</x:v>
      </x:c>
      <x:c r="L1324" t="str">
        <x:v>Westchester</x:v>
      </x:c>
      <x:c r="M1324" t="str">
        <x:v>New York</x:v>
      </x:c>
      <x:c r="N1324" t="str">
        <x:v>DOMESTIC LIMITED LIABILITY COMPANY</x:v>
      </x:c>
      <x:c r="O1324" t="str">
        <x:v>256 EAST 10TH STREET NY LLC</x:v>
      </x:c>
      <x:c r="P1324" t="str">
        <x:v>111 NORTH CENTRAL PARK AVE, SUITE 400, HARTSDALE, NY, 10530</x:v>
      </x:c>
      <x:c r="Q1324" t="str"/>
      <x:c r="R1324" t="str"/>
      <x:c r="S1324" t="str"/>
      <x:c r="T1324" t="str"/>
      <x:c r="U1324" t="str"/>
      <x:c r="V1324" t="str"/>
      <x:c r="W1324" t="str"/>
      <x:c r="X1324" t="str"/>
      <x:c r="Y1324" t="str">
        <x:v>https://data.ny.gov/Economic-Development/Active-Corporations-Beginning-1800/n9v6-gdp6</x:v>
      </x:c>
    </x:row>
    <x:row r="1325">
      <x:c r="A1325" t="str">
        <x:v>DOS-6-021</x:v>
      </x:c>
      <x:c r="B1325" t="n">
        <x:v>6</x:v>
      </x:c>
      <x:c r="C1325" t="str">
        <x:v>280 NORTH CENTRAL PARK AVENUE, SUITE 210, HARTSDALE, NY, 10530, US</x:v>
      </x:c>
      <x:c r="D1325" t="str">
        <x:v>338 340 EAST 22ND LLC</x:v>
      </x:c>
      <x:c r="E1325" t="str">
        <x:v>338-340 EAST 22ND LLC</x:v>
      </x:c>
      <x:c r="F1325" t="str">
        <x:v>Active name match</x:v>
      </x:c>
      <x:c r="G1325" t="n">
        <x:v>1</x:v>
      </x:c>
      <x:c r="H1325" t="n">
        <x:v>1</x:v>
      </x:c>
      <x:c r="I1325" t="str">
        <x:v>3462867</x:v>
      </x:c>
      <x:c r="J1325" t="str">
        <x:v>338-340 EAST 22ND LLC</x:v>
      </x:c>
      <x:c r="K1325" s="55" t="n">
        <x:v>39098</x:v>
      </x:c>
      <x:c r="L1325" t="str">
        <x:v>Westchester</x:v>
      </x:c>
      <x:c r="M1325" t="str">
        <x:v>New York</x:v>
      </x:c>
      <x:c r="N1325" t="str">
        <x:v>DOMESTIC LIMITED LIABILITY COMPANY</x:v>
      </x:c>
      <x:c r="O1325" t="str">
        <x:v>338-340 EAST 22ND LLC</x:v>
      </x:c>
      <x:c r="P1325" t="str">
        <x:v>111 NORTH CENTRAL PARK AVE, SUITE 400, HARTSDALE, NY, 10530</x:v>
      </x:c>
      <x:c r="Q1325" t="str"/>
      <x:c r="R1325" t="str"/>
      <x:c r="S1325" t="str"/>
      <x:c r="T1325" t="str"/>
      <x:c r="U1325" t="str"/>
      <x:c r="V1325" t="str"/>
      <x:c r="W1325" t="str"/>
      <x:c r="X1325" t="str"/>
      <x:c r="Y1325" t="str">
        <x:v>https://data.ny.gov/Economic-Development/Active-Corporations-Beginning-1800/n9v6-gdp6</x:v>
      </x:c>
    </x:row>
    <x:row r="1326">
      <x:c r="A1326" t="str">
        <x:v>DOS-6-021</x:v>
      </x:c>
      <x:c r="B1326" t="n">
        <x:v>6</x:v>
      </x:c>
      <x:c r="C1326" t="str">
        <x:v>280 NORTH CENTRAL PARK AVENUE, SUITE 210, HARTSDALE, NY, 10530, US</x:v>
      </x:c>
      <x:c r="D1326" t="str">
        <x:v>506 EAST 88TH STREET LLC</x:v>
      </x:c>
      <x:c r="E1326" t="str">
        <x:v>506 EAST 88TH STREET LLC</x:v>
      </x:c>
      <x:c r="F1326" t="str">
        <x:v>Active name match</x:v>
      </x:c>
      <x:c r="G1326" t="n">
        <x:v>1</x:v>
      </x:c>
      <x:c r="H1326" t="n">
        <x:v>1</x:v>
      </x:c>
      <x:c r="I1326" t="str">
        <x:v>3559022</x:v>
      </x:c>
      <x:c r="J1326" t="str">
        <x:v>506 EAST 88TH STREET LLC</x:v>
      </x:c>
      <x:c r="K1326" s="55" t="n">
        <x:v>39316</x:v>
      </x:c>
      <x:c r="L1326" t="str">
        <x:v>Westchester</x:v>
      </x:c>
      <x:c r="M1326" t="str">
        <x:v>New York</x:v>
      </x:c>
      <x:c r="N1326" t="str">
        <x:v>DOMESTIC LIMITED LIABILITY COMPANY</x:v>
      </x:c>
      <x:c r="O1326" t="str">
        <x:v>506 EAST 88TH STREET LLC</x:v>
      </x:c>
      <x:c r="P1326" t="str">
        <x:v>111 NORTH CENTRAL PARK AVE, STE 400, HARTSDALE, NY, 10530</x:v>
      </x:c>
      <x:c r="Q1326" t="str"/>
      <x:c r="R1326" t="str"/>
      <x:c r="S1326" t="str"/>
      <x:c r="T1326" t="str"/>
      <x:c r="U1326" t="str"/>
      <x:c r="V1326" t="str"/>
      <x:c r="W1326" t="str"/>
      <x:c r="X1326" t="str"/>
      <x:c r="Y1326" t="str">
        <x:v>https://data.ny.gov/Economic-Development/Active-Corporations-Beginning-1800/n9v6-gdp6</x:v>
      </x:c>
    </x:row>
    <x:row r="1327">
      <x:c r="A1327" t="str">
        <x:v>DOS-6-021</x:v>
      </x:c>
      <x:c r="B1327" t="n">
        <x:v>6</x:v>
      </x:c>
      <x:c r="C1327" t="str">
        <x:v>280 NORTH CENTRAL PARK AVENUE, SUITE 210, HARTSDALE, NY, 10530, US</x:v>
      </x:c>
      <x:c r="D1327" t="str">
        <x:v>WARREN LLC</x:v>
      </x:c>
      <x:c r="E1327" t="str">
        <x:v>WARREN LLC</x:v>
      </x:c>
      <x:c r="F1327" t="str">
        <x:v>Active name match</x:v>
      </x:c>
      <x:c r="G1327" t="n">
        <x:v>1</x:v>
      </x:c>
      <x:c r="H1327" t="n">
        <x:v>1</x:v>
      </x:c>
      <x:c r="I1327" t="str">
        <x:v>3046973</x:v>
      </x:c>
      <x:c r="J1327" t="str">
        <x:v>WARREN LLC</x:v>
      </x:c>
      <x:c r="K1327" s="55" t="n">
        <x:v>38106</x:v>
      </x:c>
      <x:c r="L1327" t="str">
        <x:v>New York</x:v>
      </x:c>
      <x:c r="M1327" t="str">
        <x:v>New York</x:v>
      </x:c>
      <x:c r="N1327" t="str">
        <x:v>DOMESTIC LIMITED LIABILITY COMPANY</x:v>
      </x:c>
      <x:c r="O1327" t="str">
        <x:v>WARREN LLC</x:v>
      </x:c>
      <x:c r="P1327" t="str">
        <x:v>111 NORTH CENTRAL PARK AVE, STE 400, HARTSDALE, NY, 10530</x:v>
      </x:c>
      <x:c r="Q1327" t="str"/>
      <x:c r="R1327" t="str"/>
      <x:c r="S1327" t="str"/>
      <x:c r="T1327" t="str"/>
      <x:c r="U1327" t="str"/>
      <x:c r="V1327" t="str"/>
      <x:c r="W1327" t="str"/>
      <x:c r="X1327" t="str"/>
      <x:c r="Y1327" t="str">
        <x:v>https://data.ny.gov/Economic-Development/Active-Corporations-Beginning-1800/n9v6-gdp6</x:v>
      </x:c>
    </x:row>
    <x:row r="1328">
      <x:c r="A1328" t="str">
        <x:v>DOS-6-022</x:v>
      </x:c>
      <x:c r="B1328" t="n">
        <x:v>6</x:v>
      </x:c>
      <x:c r="C1328" t="str">
        <x:v>2802 BRIGHTON 8TH ST, BROOKLYN, NY, 11235, US</x:v>
      </x:c>
      <x:c r="D1328" t="str">
        <x:v>150 OCEANA DRIVE LLC</x:v>
      </x:c>
      <x:c r="E1328" t="str">
        <x:v>150 OCEANA DRIVE LLC</x:v>
      </x:c>
      <x:c r="F1328" t="str">
        <x:v>Address-corroborated active match</x:v>
      </x:c>
      <x:c r="G1328" t="n">
        <x:v>1</x:v>
      </x:c>
      <x:c r="H1328" t="n">
        <x:v>2</x:v>
      </x:c>
      <x:c r="I1328" t="str">
        <x:v>6343148</x:v>
      </x:c>
      <x:c r="J1328" t="str">
        <x:v>150 OCEANA DRIVE LLC</x:v>
      </x:c>
      <x:c r="K1328" s="55" t="n">
        <x:v>44536</x:v>
      </x:c>
      <x:c r="L1328" t="str">
        <x:v>Kings</x:v>
      </x:c>
      <x:c r="M1328" t="str">
        <x:v>New York</x:v>
      </x:c>
      <x:c r="N1328" t="str">
        <x:v>DOMESTIC LIMITED LIABILITY COMPANY</x:v>
      </x:c>
      <x:c r="O1328" t="str">
        <x:v>150 Oceana Drive LLC</x:v>
      </x:c>
      <x:c r="P1328" t="str">
        <x:v>2802 Brighton 8th St, Brooklyn, NY, 11235</x:v>
      </x:c>
      <x:c r="Q1328" t="str"/>
      <x:c r="R1328" t="str"/>
      <x:c r="S1328" t="str"/>
      <x:c r="T1328" t="str"/>
      <x:c r="U1328" t="str"/>
      <x:c r="V1328" t="str"/>
      <x:c r="W1328" t="str"/>
      <x:c r="X1328" t="str"/>
      <x:c r="Y1328" t="str">
        <x:v>https://data.ny.gov/Economic-Development/Active-Corporations-Beginning-1800/n9v6-gdp6</x:v>
      </x:c>
    </x:row>
    <x:row r="1329">
      <x:c r="A1329" t="str">
        <x:v>DOS-6-022</x:v>
      </x:c>
      <x:c r="B1329" t="n">
        <x:v>6</x:v>
      </x:c>
      <x:c r="C1329" t="str">
        <x:v>2802 BRIGHTON 8TH ST, BROOKLYN, NY, 11235, US</x:v>
      </x:c>
      <x:c r="D1329" t="str">
        <x:v>1688 MCDONALD AVE LLC</x:v>
      </x:c>
      <x:c r="E1329" t="str">
        <x:v>1688 MCDONALD AVE LLC</x:v>
      </x:c>
      <x:c r="F1329" t="str">
        <x:v>Address-corroborated active match</x:v>
      </x:c>
      <x:c r="G1329" t="n">
        <x:v>1</x:v>
      </x:c>
      <x:c r="H1329" t="n">
        <x:v>2</x:v>
      </x:c>
      <x:c r="I1329" t="str">
        <x:v>6342861</x:v>
      </x:c>
      <x:c r="J1329" t="str">
        <x:v>1688 MCDONALD AVE LLC</x:v>
      </x:c>
      <x:c r="K1329" s="55" t="n">
        <x:v>44536</x:v>
      </x:c>
      <x:c r="L1329" t="str">
        <x:v>Kings</x:v>
      </x:c>
      <x:c r="M1329" t="str">
        <x:v>New York</x:v>
      </x:c>
      <x:c r="N1329" t="str">
        <x:v>DOMESTIC LIMITED LIABILITY COMPANY</x:v>
      </x:c>
      <x:c r="O1329" t="str">
        <x:v>1688 McDonald Ave LLC</x:v>
      </x:c>
      <x:c r="P1329" t="str">
        <x:v>2802 Brighton 8th St, Brooklyn, NY, 11235</x:v>
      </x:c>
      <x:c r="Q1329" t="str"/>
      <x:c r="R1329" t="str"/>
      <x:c r="S1329" t="str"/>
      <x:c r="T1329" t="str"/>
      <x:c r="U1329" t="str"/>
      <x:c r="V1329" t="str"/>
      <x:c r="W1329" t="str"/>
      <x:c r="X1329" t="str"/>
      <x:c r="Y1329" t="str">
        <x:v>https://data.ny.gov/Economic-Development/Active-Corporations-Beginning-1800/n9v6-gdp6</x:v>
      </x:c>
    </x:row>
    <x:row r="1330">
      <x:c r="A1330" t="str">
        <x:v>DOS-6-022</x:v>
      </x:c>
      <x:c r="B1330" t="n">
        <x:v>6</x:v>
      </x:c>
      <x:c r="C1330" t="str">
        <x:v>2802 BRIGHTON 8TH ST, BROOKLYN, NY, 11235, US</x:v>
      </x:c>
      <x:c r="D1330" t="str">
        <x:v>2700 STILLWELL AVE LLC</x:v>
      </x:c>
      <x:c r="E1330" t="str">
        <x:v>2700 STILLWELL AVE LLC</x:v>
      </x:c>
      <x:c r="F1330" t="str">
        <x:v>Address-corroborated active match</x:v>
      </x:c>
      <x:c r="G1330" t="n">
        <x:v>1</x:v>
      </x:c>
      <x:c r="H1330" t="n">
        <x:v>2</x:v>
      </x:c>
      <x:c r="I1330" t="str">
        <x:v>5966892</x:v>
      </x:c>
      <x:c r="J1330" t="str">
        <x:v>2700 STILLWELL AVE LLC</x:v>
      </x:c>
      <x:c r="K1330" s="55" t="n">
        <x:v>44273</x:v>
      </x:c>
      <x:c r="L1330" t="str">
        <x:v>Kings</x:v>
      </x:c>
      <x:c r="M1330" t="str">
        <x:v>New York</x:v>
      </x:c>
      <x:c r="N1330" t="str">
        <x:v>DOMESTIC LIMITED LIABILITY COMPANY</x:v>
      </x:c>
      <x:c r="O1330" t="str">
        <x:v>2700 STILLWELL AVE LLC</x:v>
      </x:c>
      <x:c r="P1330" t="str">
        <x:v>2802 BRIGHTON 8TH ST, 2 FL, BROOKLYN, NY, 11235</x:v>
      </x:c>
      <x:c r="Q1330" t="str"/>
      <x:c r="R1330" t="str"/>
      <x:c r="S1330" t="str"/>
      <x:c r="T1330" t="str"/>
      <x:c r="U1330" t="str"/>
      <x:c r="V1330" t="str"/>
      <x:c r="W1330" t="str"/>
      <x:c r="X1330" t="str"/>
      <x:c r="Y1330" t="str">
        <x:v>https://data.ny.gov/Economic-Development/Active-Corporations-Beginning-1800/n9v6-gdp6</x:v>
      </x:c>
    </x:row>
    <x:row r="1331">
      <x:c r="A1331" t="str">
        <x:v>DOS-6-022</x:v>
      </x:c>
      <x:c r="B1331" t="n">
        <x:v>6</x:v>
      </x:c>
      <x:c r="C1331" t="str">
        <x:v>2802 BRIGHTON 8TH ST, BROOKLYN, NY, 11235, US</x:v>
      </x:c>
      <x:c r="D1331" t="str">
        <x:v>2702 STILLWELL AVE LLC</x:v>
      </x:c>
      <x:c r="E1331" t="str">
        <x:v>2702 STILLWELL AVE LLC</x:v>
      </x:c>
      <x:c r="F1331" t="str">
        <x:v>Address-corroborated active match</x:v>
      </x:c>
      <x:c r="G1331" t="n">
        <x:v>1</x:v>
      </x:c>
      <x:c r="H1331" t="n">
        <x:v>2</x:v>
      </x:c>
      <x:c r="I1331" t="str">
        <x:v>5966882</x:v>
      </x:c>
      <x:c r="J1331" t="str">
        <x:v>2702 STILLWELL AVE LLC</x:v>
      </x:c>
      <x:c r="K1331" s="55" t="n">
        <x:v>44273</x:v>
      </x:c>
      <x:c r="L1331" t="str">
        <x:v>Kings</x:v>
      </x:c>
      <x:c r="M1331" t="str">
        <x:v>New York</x:v>
      </x:c>
      <x:c r="N1331" t="str">
        <x:v>DOMESTIC LIMITED LIABILITY COMPANY</x:v>
      </x:c>
      <x:c r="O1331" t="str">
        <x:v>2702 STILLWELL AVE LLC</x:v>
      </x:c>
      <x:c r="P1331" t="str">
        <x:v>2802 BRIGHTON 8TH ST, 2 FL, BROOKLYN, NY, 11235</x:v>
      </x:c>
      <x:c r="Q1331" t="str"/>
      <x:c r="R1331" t="str"/>
      <x:c r="S1331" t="str"/>
      <x:c r="T1331" t="str"/>
      <x:c r="U1331" t="str"/>
      <x:c r="V1331" t="str"/>
      <x:c r="W1331" t="str"/>
      <x:c r="X1331" t="str"/>
      <x:c r="Y1331" t="str">
        <x:v>https://data.ny.gov/Economic-Development/Active-Corporations-Beginning-1800/n9v6-gdp6</x:v>
      </x:c>
    </x:row>
    <x:row r="1332">
      <x:c r="A1332" t="str">
        <x:v>DOS-6-022</x:v>
      </x:c>
      <x:c r="B1332" t="n">
        <x:v>6</x:v>
      </x:c>
      <x:c r="C1332" t="str">
        <x:v>2802 BRIGHTON 8TH ST, BROOKLYN, NY, 11235, US</x:v>
      </x:c>
      <x:c r="D1332" t="str">
        <x:v>2802 BRIGHTON 8TH ST LLC</x:v>
      </x:c>
      <x:c r="E1332" t="str">
        <x:v>2802 BRIGHTON 8TH ST LLC</x:v>
      </x:c>
      <x:c r="F1332" t="str">
        <x:v>Active name match</x:v>
      </x:c>
      <x:c r="G1332" t="n">
        <x:v>1</x:v>
      </x:c>
      <x:c r="H1332" t="n">
        <x:v>1</x:v>
      </x:c>
      <x:c r="I1332" t="str">
        <x:v>6352588</x:v>
      </x:c>
      <x:c r="J1332" t="str">
        <x:v>2802 BRIGHTON 8TH ST LLC</x:v>
      </x:c>
      <x:c r="K1332" s="55" t="n">
        <x:v>44549</x:v>
      </x:c>
      <x:c r="L1332" t="str">
        <x:v>Kings</x:v>
      </x:c>
      <x:c r="M1332" t="str">
        <x:v>New York</x:v>
      </x:c>
      <x:c r="N1332" t="str">
        <x:v>DOMESTIC LIMITED LIABILITY COMPANY</x:v>
      </x:c>
      <x:c r="O1332" t="str">
        <x:v>2802 BRIGHTON 8TH ST LLC</x:v>
      </x:c>
      <x:c r="P1332" t="str">
        <x:v>2802 Brighton 8th Street, Brooklyn, NY, 11235</x:v>
      </x:c>
      <x:c r="Q1332" t="str"/>
      <x:c r="R1332" t="str"/>
      <x:c r="S1332" t="str"/>
      <x:c r="T1332" t="str"/>
      <x:c r="U1332" t="str"/>
      <x:c r="V1332" t="str"/>
      <x:c r="W1332" t="str"/>
      <x:c r="X1332" t="str"/>
      <x:c r="Y1332" t="str">
        <x:v>https://data.ny.gov/Economic-Development/Active-Corporations-Beginning-1800/n9v6-gdp6</x:v>
      </x:c>
    </x:row>
    <x:row r="1333">
      <x:c r="A1333" t="str">
        <x:v>DOS-6-022</x:v>
      </x:c>
      <x:c r="B1333" t="n">
        <x:v>6</x:v>
      </x:c>
      <x:c r="C1333" t="str">
        <x:v>2802 BRIGHTON 8TH ST, BROOKLYN, NY, 11235, US</x:v>
      </x:c>
      <x:c r="D1333" t="str">
        <x:v>BRIGHTON 8TH ST LLC</x:v>
      </x:c>
      <x:c r="E1333" t="str">
        <x:v>BRIGHTON 8TH ST LLC</x:v>
      </x:c>
      <x:c r="F1333" t="str">
        <x:v>Address-corroborated active match</x:v>
      </x:c>
      <x:c r="G1333" t="n">
        <x:v>1</x:v>
      </x:c>
      <x:c r="H1333" t="n">
        <x:v>2</x:v>
      </x:c>
      <x:c r="I1333" t="str">
        <x:v>6343159</x:v>
      </x:c>
      <x:c r="J1333" t="str">
        <x:v>BRIGHTON 8TH ST LLC</x:v>
      </x:c>
      <x:c r="K1333" s="55" t="n">
        <x:v>44536</x:v>
      </x:c>
      <x:c r="L1333" t="str">
        <x:v>Kings</x:v>
      </x:c>
      <x:c r="M1333" t="str">
        <x:v>New York</x:v>
      </x:c>
      <x:c r="N1333" t="str">
        <x:v>DOMESTIC LIMITED LIABILITY COMPANY</x:v>
      </x:c>
      <x:c r="O1333" t="str">
        <x:v>Brighton 8th St LLC</x:v>
      </x:c>
      <x:c r="P1333" t="str">
        <x:v>2802 Brighton 8th St, Brooklyn, NY, 11235</x:v>
      </x:c>
      <x:c r="Q1333" t="str"/>
      <x:c r="R1333" t="str"/>
      <x:c r="S1333" t="str"/>
      <x:c r="T1333" t="str"/>
      <x:c r="U1333" t="str"/>
      <x:c r="V1333" t="str"/>
      <x:c r="W1333" t="str"/>
      <x:c r="X1333" t="str"/>
      <x:c r="Y1333" t="str">
        <x:v>https://data.ny.gov/Economic-Development/Active-Corporations-Beginning-1800/n9v6-gdp6</x:v>
      </x:c>
    </x:row>
    <x:row r="1334">
      <x:c r="A1334" t="str">
        <x:v>DOS-6-023</x:v>
      </x:c>
      <x:c r="B1334" t="n">
        <x:v>6</x:v>
      </x:c>
      <x:c r="C1334" t="str">
        <x:v>340 FIFTH AVENUE, PELHAM, NY, 10803, US</x:v>
      </x:c>
      <x:c r="D1334" t="str">
        <x:v>1776 E TREMONT REALTY LLC</x:v>
      </x:c>
      <x:c r="E1334" t="str">
        <x:v>1776 E TREMONT REALTY LLC</x:v>
      </x:c>
      <x:c r="F1334" t="str">
        <x:v>Active name match</x:v>
      </x:c>
      <x:c r="G1334" t="n">
        <x:v>1</x:v>
      </x:c>
      <x:c r="H1334" t="n">
        <x:v>0</x:v>
      </x:c>
      <x:c r="I1334" t="str">
        <x:v>4317900</x:v>
      </x:c>
      <x:c r="J1334" t="str">
        <x:v>1776 E. TREMONT REALTY LLC</x:v>
      </x:c>
      <x:c r="K1334" s="55" t="n">
        <x:v>41221</x:v>
      </x:c>
      <x:c r="L1334" t="str">
        <x:v>Westchester</x:v>
      </x:c>
      <x:c r="M1334" t="str">
        <x:v>New York</x:v>
      </x:c>
      <x:c r="N1334" t="str">
        <x:v>DOMESTIC LIMITED LIABILITY COMPANY</x:v>
      </x:c>
      <x:c r="O1334" t="str">
        <x:v>1776 E. TREMONT REALTY LLC</x:v>
      </x:c>
      <x:c r="P1334" t="str">
        <x:v>1776 EAST TREMONT AVE., BRONX, NY, 10460</x:v>
      </x:c>
      <x:c r="Q1334" t="str"/>
      <x:c r="R1334" t="str"/>
      <x:c r="S1334" t="str"/>
      <x:c r="T1334" t="str"/>
      <x:c r="U1334" t="str"/>
      <x:c r="V1334" t="str"/>
      <x:c r="W1334" t="str"/>
      <x:c r="X1334" t="str"/>
      <x:c r="Y1334" t="str">
        <x:v>https://data.ny.gov/Economic-Development/Active-Corporations-Beginning-1800/n9v6-gdp6</x:v>
      </x:c>
    </x:row>
    <x:row r="1335">
      <x:c r="A1335" t="str">
        <x:v>DOS-6-023</x:v>
      </x:c>
      <x:c r="B1335" t="n">
        <x:v>6</x:v>
      </x:c>
      <x:c r="C1335" t="str">
        <x:v>340 FIFTH AVENUE, PELHAM, NY, 10803, US</x:v>
      </x:c>
      <x:c r="D1335" t="str">
        <x:v>178TH STREET LOT LLC</x:v>
      </x:c>
      <x:c r="E1335" t="str">
        <x:v>178TH STREET LOT LLC</x:v>
      </x:c>
      <x:c r="F1335" t="str">
        <x:v>Address-corroborated active match</x:v>
      </x:c>
      <x:c r="G1335" t="n">
        <x:v>1</x:v>
      </x:c>
      <x:c r="H1335" t="n">
        <x:v>2</x:v>
      </x:c>
      <x:c r="I1335" t="str">
        <x:v>4847654</x:v>
      </x:c>
      <x:c r="J1335" t="str">
        <x:v>178TH STREET LOT LLC</x:v>
      </x:c>
      <x:c r="K1335" s="55" t="n">
        <x:v>42318</x:v>
      </x:c>
      <x:c r="L1335" t="str">
        <x:v>Bronx</x:v>
      </x:c>
      <x:c r="M1335" t="str">
        <x:v>New York</x:v>
      </x:c>
      <x:c r="N1335" t="str">
        <x:v>DOMESTIC LIMITED LIABILITY COMPANY</x:v>
      </x:c>
      <x:c r="O1335" t="str">
        <x:v>178TH STREET LOT LLC</x:v>
      </x:c>
      <x:c r="P1335" t="str">
        <x:v>340 FIFTH AVE, SUITE 204, PELHAM, NY, 10803</x:v>
      </x:c>
      <x:c r="Q1335" t="str"/>
      <x:c r="R1335" t="str"/>
      <x:c r="S1335" t="str"/>
      <x:c r="T1335" t="str"/>
      <x:c r="U1335" t="str"/>
      <x:c r="V1335" t="str"/>
      <x:c r="W1335" t="str"/>
      <x:c r="X1335" t="str"/>
      <x:c r="Y1335" t="str">
        <x:v>https://data.ny.gov/Economic-Development/Active-Corporations-Beginning-1800/n9v6-gdp6</x:v>
      </x:c>
    </x:row>
    <x:row r="1336">
      <x:c r="A1336" t="str">
        <x:v>DOS-6-023</x:v>
      </x:c>
      <x:c r="B1336" t="n">
        <x:v>6</x:v>
      </x:c>
      <x:c r="C1336" t="str">
        <x:v>340 FIFTH AVENUE, PELHAM, NY, 10803, US</x:v>
      </x:c>
      <x:c r="D1336" t="str">
        <x:v>3870 JPC REALTY LLC</x:v>
      </x:c>
      <x:c r="E1336" t="str">
        <x:v>3870 JPC REALTY LLC</x:v>
      </x:c>
      <x:c r="F1336" t="str">
        <x:v>Active name match</x:v>
      </x:c>
      <x:c r="G1336" t="n">
        <x:v>1</x:v>
      </x:c>
      <x:c r="H1336" t="n">
        <x:v>1</x:v>
      </x:c>
      <x:c r="I1336" t="str">
        <x:v>6216405</x:v>
      </x:c>
      <x:c r="J1336" t="str">
        <x:v>3870 JPC REALTY LLC</x:v>
      </x:c>
      <x:c r="K1336" s="55" t="n">
        <x:v>44384</x:v>
      </x:c>
      <x:c r="L1336" t="str">
        <x:v>Westchester</x:v>
      </x:c>
      <x:c r="M1336" t="str">
        <x:v>New York</x:v>
      </x:c>
      <x:c r="N1336" t="str">
        <x:v>DOMESTIC LIMITED LIABILITY COMPANY</x:v>
      </x:c>
      <x:c r="O1336" t="str">
        <x:v>3870 JPC REALTY LLC</x:v>
      </x:c>
      <x:c r="P1336" t="str">
        <x:v>340 5th avenue, PELHAM, NY, 10803</x:v>
      </x:c>
      <x:c r="Q1336" t="str"/>
      <x:c r="R1336" t="str"/>
      <x:c r="S1336" t="str"/>
      <x:c r="T1336" t="str"/>
      <x:c r="U1336" t="str"/>
      <x:c r="V1336" t="str"/>
      <x:c r="W1336" t="str"/>
      <x:c r="X1336" t="str"/>
      <x:c r="Y1336" t="str">
        <x:v>https://data.ny.gov/Economic-Development/Active-Corporations-Beginning-1800/n9v6-gdp6</x:v>
      </x:c>
    </x:row>
    <x:row r="1337">
      <x:c r="A1337" t="str">
        <x:v>DOS-6-023</x:v>
      </x:c>
      <x:c r="B1337" t="n">
        <x:v>6</x:v>
      </x:c>
      <x:c r="C1337" t="str">
        <x:v>340 FIFTH AVENUE, PELHAM, NY, 10803, US</x:v>
      </x:c>
      <x:c r="D1337" t="str">
        <x:v>441 AMANDA LOTS LLC</x:v>
      </x:c>
      <x:c r="E1337" t="str">
        <x:v>441 AMANDA LOTS, LLC</x:v>
      </x:c>
      <x:c r="F1337" t="str">
        <x:v>Address-corroborated active match</x:v>
      </x:c>
      <x:c r="G1337" t="n">
        <x:v>1</x:v>
      </x:c>
      <x:c r="H1337" t="n">
        <x:v>2</x:v>
      </x:c>
      <x:c r="I1337" t="str">
        <x:v>4847679</x:v>
      </x:c>
      <x:c r="J1337" t="str">
        <x:v>441 AMANDA LOTS LLC</x:v>
      </x:c>
      <x:c r="K1337" s="55" t="n">
        <x:v>42318</x:v>
      </x:c>
      <x:c r="L1337" t="str">
        <x:v>Bronx</x:v>
      </x:c>
      <x:c r="M1337" t="str">
        <x:v>New York</x:v>
      </x:c>
      <x:c r="N1337" t="str">
        <x:v>DOMESTIC LIMITED LIABILITY COMPANY</x:v>
      </x:c>
      <x:c r="O1337" t="str">
        <x:v>HARTSTEIN &amp; HARTSTEIN</x:v>
      </x:c>
      <x:c r="P1337" t="str">
        <x:v>340 FIFTH AVE, PELHAM, NY, 10803</x:v>
      </x:c>
      <x:c r="Q1337" t="str"/>
      <x:c r="R1337" t="str"/>
      <x:c r="S1337" t="str"/>
      <x:c r="T1337" t="str">
        <x:v>NEW YORK</x:v>
      </x:c>
      <x:c r="U1337" t="str"/>
      <x:c r="V1337" t="str"/>
      <x:c r="W1337" t="str"/>
      <x:c r="X1337" t="str"/>
      <x:c r="Y1337" t="str">
        <x:v>https://data.ny.gov/Economic-Development/Active-Corporations-Beginning-1800/n9v6-gdp6</x:v>
      </x:c>
    </x:row>
    <x:row r="1338">
      <x:c r="A1338" t="str">
        <x:v>DOS-6-023</x:v>
      </x:c>
      <x:c r="B1338" t="n">
        <x:v>6</x:v>
      </x:c>
      <x:c r="C1338" t="str">
        <x:v>340 FIFTH AVENUE, PELHAM, NY, 10803, US</x:v>
      </x:c>
      <x:c r="D1338" t="str">
        <x:v>441 E 178TH STREET BARN HOUSE LLC</x:v>
      </x:c>
      <x:c r="E1338" t="str">
        <x:v>441 E. 178TH STREET BARN HOUSE, LLC</x:v>
      </x:c>
      <x:c r="F1338" t="str">
        <x:v>Address-corroborated active match</x:v>
      </x:c>
      <x:c r="G1338" t="n">
        <x:v>1</x:v>
      </x:c>
      <x:c r="H1338" t="n">
        <x:v>2</x:v>
      </x:c>
      <x:c r="I1338" t="str">
        <x:v>4847673</x:v>
      </x:c>
      <x:c r="J1338" t="str">
        <x:v>441 E 178TH STREET BARN HOUSE LLC</x:v>
      </x:c>
      <x:c r="K1338" s="55" t="n">
        <x:v>42318</x:v>
      </x:c>
      <x:c r="L1338" t="str">
        <x:v>Bronx</x:v>
      </x:c>
      <x:c r="M1338" t="str">
        <x:v>New York</x:v>
      </x:c>
      <x:c r="N1338" t="str">
        <x:v>DOMESTIC LIMITED LIABILITY COMPANY</x:v>
      </x:c>
      <x:c r="O1338" t="str">
        <x:v>MICHAEL DEVINE, CPA</x:v>
      </x:c>
      <x:c r="P1338" t="str">
        <x:v>340 FIFTH AVE, SUITE 204, PELHAM, NY, 10803</x:v>
      </x:c>
      <x:c r="Q1338" t="str"/>
      <x:c r="R1338" t="str"/>
      <x:c r="S1338" t="str"/>
      <x:c r="T1338" t="str"/>
      <x:c r="U1338" t="str"/>
      <x:c r="V1338" t="str"/>
      <x:c r="W1338" t="str"/>
      <x:c r="X1338" t="str"/>
      <x:c r="Y1338" t="str">
        <x:v>https://data.ny.gov/Economic-Development/Active-Corporations-Beginning-1800/n9v6-gdp6</x:v>
      </x:c>
    </x:row>
    <x:row r="1339">
      <x:c r="A1339" t="str">
        <x:v>DOS-6-023</x:v>
      </x:c>
      <x:c r="B1339" t="n">
        <x:v>6</x:v>
      </x:c>
      <x:c r="C1339" t="str">
        <x:v>340 FIFTH AVENUE, PELHAM, NY, 10803, US</x:v>
      </x:c>
      <x:c r="D1339" t="str">
        <x:v>R AND R TREMONT AVENUE LLC</x:v>
      </x:c>
      <x:c r="E1339" t="str">
        <x:v>R&amp;R TREMONT AVENUE, LLC</x:v>
      </x:c>
      <x:c r="F1339" t="str">
        <x:v>Address-corroborated active match</x:v>
      </x:c>
      <x:c r="G1339" t="n">
        <x:v>1</x:v>
      </x:c>
      <x:c r="H1339" t="n">
        <x:v>2</x:v>
      </x:c>
      <x:c r="I1339" t="str">
        <x:v>3429924</x:v>
      </x:c>
      <x:c r="J1339" t="str">
        <x:v>R&amp;R TREMONT AVENUE, LLC</x:v>
      </x:c>
      <x:c r="K1339" s="55" t="n">
        <x:v>39017</x:v>
      </x:c>
      <x:c r="L1339" t="str">
        <x:v>Westchester</x:v>
      </x:c>
      <x:c r="M1339" t="str">
        <x:v>New York</x:v>
      </x:c>
      <x:c r="N1339" t="str">
        <x:v>DOMESTIC LIMITED LIABILITY COMPANY</x:v>
      </x:c>
      <x:c r="O1339" t="str">
        <x:v>R&amp;R TREMONT AVENUE, LLC</x:v>
      </x:c>
      <x:c r="P1339" t="str">
        <x:v>340 FIFTH AVENUE, PELHAM, NY, 10803</x:v>
      </x:c>
      <x:c r="Q1339" t="str"/>
      <x:c r="R1339" t="str"/>
      <x:c r="S1339" t="str">
        <x:v>MICHAEL DEVINE CPA</x:v>
      </x:c>
      <x:c r="T1339" t="str">
        <x:v>340 5TH AVENUE, PELHAM, NEW YORK, 10803</x:v>
      </x:c>
      <x:c r="U1339" t="str"/>
      <x:c r="V1339" t="str"/>
      <x:c r="W1339" t="str"/>
      <x:c r="X1339" t="str"/>
      <x:c r="Y1339" t="str">
        <x:v>https://data.ny.gov/Economic-Development/Active-Corporations-Beginning-1800/n9v6-gdp6</x:v>
      </x:c>
    </x:row>
    <x:row r="1340">
      <x:c r="A1340" t="str">
        <x:v>DOS-6-024</x:v>
      </x:c>
      <x:c r="B1340" t="n">
        <x:v>6</x:v>
      </x:c>
      <x:c r="C1340" t="str">
        <x:v>5308 13TH AVENUE, BROOKLYN, NY, 11219, US | 5308 13TH AVENUE,, BROOKLYN, NY, 11219, US</x:v>
      </x:c>
      <x:c r="D1340" t="str">
        <x:v>1105 UNIT 1 LLC</x:v>
      </x:c>
      <x:c r="E1340" t="str">
        <x:v>1105 UNIT 1 LLC</x:v>
      </x:c>
      <x:c r="F1340" t="str">
        <x:v>Active name match</x:v>
      </x:c>
      <x:c r="G1340" t="n">
        <x:v>1</x:v>
      </x:c>
      <x:c r="H1340" t="n">
        <x:v>1</x:v>
      </x:c>
      <x:c r="I1340" t="str">
        <x:v>7386379</x:v>
      </x:c>
      <x:c r="J1340" t="str">
        <x:v>1105 UNIT 1 LLC</x:v>
      </x:c>
      <x:c r="K1340" s="55" t="n">
        <x:v>45504</x:v>
      </x:c>
      <x:c r="L1340" t="str">
        <x:v>Albany</x:v>
      </x:c>
      <x:c r="M1340" t="str">
        <x:v>New York</x:v>
      </x:c>
      <x:c r="N1340" t="str">
        <x:v>DOMESTIC LIMITED LIABILITY COMPANY</x:v>
      </x:c>
      <x:c r="O1340" t="str">
        <x:v>1105 UNIT 1 LLC</x:v>
      </x:c>
      <x:c r="P1340" t="str">
        <x:v>5308 13TH AVE #398, BROOKLYN, NY, 11219</x:v>
      </x:c>
      <x:c r="Q1340" t="str"/>
      <x:c r="R1340" t="str"/>
      <x:c r="S1340" t="str"/>
      <x:c r="T1340" t="str"/>
      <x:c r="U1340" t="str"/>
      <x:c r="V1340" t="str"/>
      <x:c r="W1340" t="str"/>
      <x:c r="X1340" t="str"/>
      <x:c r="Y1340" t="str">
        <x:v>https://data.ny.gov/Economic-Development/Active-Corporations-Beginning-1800/n9v6-gdp6</x:v>
      </x:c>
    </x:row>
    <x:row r="1341">
      <x:c r="A1341" t="str">
        <x:v>DOS-6-024</x:v>
      </x:c>
      <x:c r="B1341" t="n">
        <x:v>6</x:v>
      </x:c>
      <x:c r="C1341" t="str">
        <x:v>5308 13TH AVENUE, BROOKLYN, NY, 11219, US | 5308 13TH AVENUE,, BROOKLYN, NY, 11219, US</x:v>
      </x:c>
      <x:c r="D1341" t="str">
        <x:v>228 THREESTAR LLC</x:v>
      </x:c>
      <x:c r="E1341" t="str">
        <x:v>228 THREESTAR LLC</x:v>
      </x:c>
      <x:c r="F1341" t="str">
        <x:v>Active name match</x:v>
      </x:c>
      <x:c r="G1341" t="n">
        <x:v>1</x:v>
      </x:c>
      <x:c r="H1341" t="n">
        <x:v>0</x:v>
      </x:c>
      <x:c r="I1341" t="str">
        <x:v>4247137</x:v>
      </x:c>
      <x:c r="J1341" t="str">
        <x:v>228 THREESTAR LLC</x:v>
      </x:c>
      <x:c r="K1341" s="55" t="n">
        <x:v>41046</x:v>
      </x:c>
      <x:c r="L1341" t="str">
        <x:v>Kings</x:v>
      </x:c>
      <x:c r="M1341" t="str">
        <x:v>New York</x:v>
      </x:c>
      <x:c r="N1341" t="str">
        <x:v>DOMESTIC LIMITED LIABILITY COMPANY</x:v>
      </x:c>
      <x:c r="O1341" t="str">
        <x:v>228 THREESTAR LLC</x:v>
      </x:c>
      <x:c r="P1341" t="str">
        <x:v>1449 37TH STREET, SUITE 400, BROOKLYN, NY, 11218</x:v>
      </x:c>
      <x:c r="Q1341" t="str"/>
      <x:c r="R1341" t="str"/>
      <x:c r="S1341" t="str"/>
      <x:c r="T1341" t="str"/>
      <x:c r="U1341" t="str"/>
      <x:c r="V1341" t="str"/>
      <x:c r="W1341" t="str"/>
      <x:c r="X1341" t="str"/>
      <x:c r="Y1341" t="str">
        <x:v>https://data.ny.gov/Economic-Development/Active-Corporations-Beginning-1800/n9v6-gdp6</x:v>
      </x:c>
    </x:row>
    <x:row r="1342">
      <x:c r="A1342" t="str">
        <x:v>DOS-6-024</x:v>
      </x:c>
      <x:c r="B1342" t="n">
        <x:v>6</x:v>
      </x:c>
      <x:c r="C1342" t="str">
        <x:v>5308 13TH AVENUE, BROOKLYN, NY, 11219, US | 5308 13TH AVENUE,, BROOKLYN, NY, 11219, US</x:v>
      </x:c>
      <x:c r="D1342" t="str">
        <x:v>2700 CHURCH REALTY LLC</x:v>
      </x:c>
      <x:c r="E1342" t="str">
        <x:v>2700 CHURCH REALTY LLC</x:v>
      </x:c>
      <x:c r="F1342" t="str">
        <x:v>Address-corroborated active match</x:v>
      </x:c>
      <x:c r="G1342" t="n">
        <x:v>1</x:v>
      </x:c>
      <x:c r="H1342" t="n">
        <x:v>2</x:v>
      </x:c>
      <x:c r="I1342" t="str">
        <x:v>5680397</x:v>
      </x:c>
      <x:c r="J1342" t="str">
        <x:v>2700 CHURCH REALTY LLC</x:v>
      </x:c>
      <x:c r="K1342" s="55" t="n">
        <x:v>43832</x:v>
      </x:c>
      <x:c r="L1342" t="str">
        <x:v>Kings</x:v>
      </x:c>
      <x:c r="M1342" t="str">
        <x:v>New York</x:v>
      </x:c>
      <x:c r="N1342" t="str">
        <x:v>DOMESTIC LIMITED LIABILITY COMPANY</x:v>
      </x:c>
      <x:c r="O1342" t="str">
        <x:v>2700 CHURCH REALTY LLC</x:v>
      </x:c>
      <x:c r="P1342" t="str">
        <x:v>5308 13TH AVE, #398, BROOKLYN, NY, 11219</x:v>
      </x:c>
      <x:c r="Q1342" t="str"/>
      <x:c r="R1342" t="str"/>
      <x:c r="S1342" t="str"/>
      <x:c r="T1342" t="str"/>
      <x:c r="U1342" t="str"/>
      <x:c r="V1342" t="str"/>
      <x:c r="W1342" t="str"/>
      <x:c r="X1342" t="str"/>
      <x:c r="Y1342" t="str">
        <x:v>https://data.ny.gov/Economic-Development/Active-Corporations-Beginning-1800/n9v6-gdp6</x:v>
      </x:c>
    </x:row>
    <x:row r="1343">
      <x:c r="A1343" t="str">
        <x:v>DOS-6-024</x:v>
      </x:c>
      <x:c r="B1343" t="n">
        <x:v>6</x:v>
      </x:c>
      <x:c r="C1343" t="str">
        <x:v>5308 13TH AVENUE, BROOKLYN, NY, 11219, US | 5308 13TH AVENUE,, BROOKLYN, NY, 11219, US</x:v>
      </x:c>
      <x:c r="D1343" t="str">
        <x:v>321 PUTNAM LLC</x:v>
      </x:c>
      <x:c r="E1343" t="str">
        <x:v>321 PUTNAM LLC</x:v>
      </x:c>
      <x:c r="F1343" t="str">
        <x:v>Active name match</x:v>
      </x:c>
      <x:c r="G1343" t="n">
        <x:v>1</x:v>
      </x:c>
      <x:c r="H1343" t="n">
        <x:v>0</x:v>
      </x:c>
      <x:c r="I1343" t="str">
        <x:v>4456675</x:v>
      </x:c>
      <x:c r="J1343" t="str">
        <x:v>321 PUTNAM LLC</x:v>
      </x:c>
      <x:c r="K1343" s="55" t="n">
        <x:v>41527</x:v>
      </x:c>
      <x:c r="L1343" t="str">
        <x:v>Kings</x:v>
      </x:c>
      <x:c r="M1343" t="str">
        <x:v>New York</x:v>
      </x:c>
      <x:c r="N1343" t="str">
        <x:v>DOMESTIC LIMITED LIABILITY COMPANY</x:v>
      </x:c>
      <x:c r="O1343" t="str">
        <x:v>321 PUTNAM LLC</x:v>
      </x:c>
      <x:c r="P1343" t="str">
        <x:v>311 Rogers Ave, BROOKLYN, NY, 11225</x:v>
      </x:c>
      <x:c r="Q1343" t="str"/>
      <x:c r="R1343" t="str"/>
      <x:c r="S1343" t="str"/>
      <x:c r="T1343" t="str"/>
      <x:c r="U1343" t="str"/>
      <x:c r="V1343" t="str"/>
      <x:c r="W1343" t="str"/>
      <x:c r="X1343" t="str"/>
      <x:c r="Y1343" t="str">
        <x:v>https://data.ny.gov/Economic-Development/Active-Corporations-Beginning-1800/n9v6-gdp6</x:v>
      </x:c>
    </x:row>
    <x:row r="1344">
      <x:c r="A1344" t="str">
        <x:v>DOS-6-024</x:v>
      </x:c>
      <x:c r="B1344" t="n">
        <x:v>6</x:v>
      </x:c>
      <x:c r="C1344" t="str">
        <x:v>5308 13TH AVENUE, BROOKLYN, NY, 11219, US | 5308 13TH AVENUE,, BROOKLYN, NY, 11219, US</x:v>
      </x:c>
      <x:c r="D1344" t="str">
        <x:v>PCG 2172 LLC</x:v>
      </x:c>
      <x:c r="E1344" t="str">
        <x:v>PCG 2172 LLC</x:v>
      </x:c>
      <x:c r="F1344" t="str">
        <x:v>Active name match</x:v>
      </x:c>
      <x:c r="G1344" t="n">
        <x:v>1</x:v>
      </x:c>
      <x:c r="H1344" t="n">
        <x:v>1</x:v>
      </x:c>
      <x:c r="I1344" t="str">
        <x:v>6431151</x:v>
      </x:c>
      <x:c r="J1344" t="str">
        <x:v>PCG 2172 LLC</x:v>
      </x:c>
      <x:c r="K1344" s="55" t="n">
        <x:v>44636</x:v>
      </x:c>
      <x:c r="L1344" t="str">
        <x:v>Albany</x:v>
      </x:c>
      <x:c r="M1344" t="str">
        <x:v>New York</x:v>
      </x:c>
      <x:c r="N1344" t="str">
        <x:v>DOMESTIC LIMITED LIABILITY COMPANY</x:v>
      </x:c>
      <x:c r="O1344" t="str">
        <x:v>THE LIMITED LIABILITY COMPANY</x:v>
      </x:c>
      <x:c r="P1344" t="str">
        <x:v>5308 13 Avenue, Suite 226, Brooklyn, NY, 11219</x:v>
      </x:c>
      <x:c r="Q1344" t="str"/>
      <x:c r="R1344" t="str"/>
      <x:c r="S1344" t="str"/>
      <x:c r="T1344" t="str"/>
      <x:c r="U1344" t="str"/>
      <x:c r="V1344" t="str"/>
      <x:c r="W1344" t="str"/>
      <x:c r="X1344" t="str"/>
      <x:c r="Y1344" t="str">
        <x:v>https://data.ny.gov/Economic-Development/Active-Corporations-Beginning-1800/n9v6-gdp6</x:v>
      </x:c>
    </x:row>
    <x:row r="1345">
      <x:c r="A1345" t="str">
        <x:v>DOS-6-024</x:v>
      </x:c>
      <x:c r="B1345" t="n">
        <x:v>6</x:v>
      </x:c>
      <x:c r="C1345" t="str">
        <x:v>5308 13TH AVENUE, BROOKLYN, NY, 11219, US | 5308 13TH AVENUE,, BROOKLYN, NY, 11219, US</x:v>
      </x:c>
      <x:c r="D1345" t="str">
        <x:v>TEHAMA HOUSING 55 LLC</x:v>
      </x:c>
      <x:c r="E1345" t="str">
        <x:v>TEHAMA HOUSING 55 LLC</x:v>
      </x:c>
      <x:c r="F1345" t="str">
        <x:v>Active name match</x:v>
      </x:c>
      <x:c r="G1345" t="n">
        <x:v>1</x:v>
      </x:c>
      <x:c r="H1345" t="n">
        <x:v>0</x:v>
      </x:c>
      <x:c r="I1345" t="str">
        <x:v>7799906</x:v>
      </x:c>
      <x:c r="J1345" t="str">
        <x:v>TEHAMA HOUSING 55 LLC</x:v>
      </x:c>
      <x:c r="K1345" s="55" t="n">
        <x:v>46029</x:v>
      </x:c>
      <x:c r="L1345" t="str">
        <x:v>Albany</x:v>
      </x:c>
      <x:c r="M1345" t="str">
        <x:v>New York</x:v>
      </x:c>
      <x:c r="N1345" t="str">
        <x:v>DOMESTIC LIMITED LIABILITY COMPANY</x:v>
      </x:c>
      <x:c r="O1345" t="str">
        <x:v>Tehama Housing 55 LLC</x:v>
      </x:c>
      <x:c r="P1345" t="str">
        <x:v>PO BOX 10873, Albany, NY, 12201</x:v>
      </x:c>
      <x:c r="Q1345" t="str"/>
      <x:c r="R1345" t="str"/>
      <x:c r="S1345" t="str"/>
      <x:c r="T1345" t="str"/>
      <x:c r="U1345" t="str"/>
      <x:c r="V1345" t="str"/>
      <x:c r="W1345" t="str"/>
      <x:c r="X1345" t="str"/>
      <x:c r="Y1345" t="str">
        <x:v>https://data.ny.gov/Economic-Development/Active-Corporations-Beginning-1800/n9v6-gdp6</x:v>
      </x:c>
    </x:row>
    <x:row r="1346">
      <x:c r="A1346" t="str">
        <x:v>DOS-6-025</x:v>
      </x:c>
      <x:c r="B1346" t="n">
        <x:v>6</x:v>
      </x:c>
      <x:c r="C1346" t="str">
        <x:v>5925  BROADWAY, BRONX, NY, 10463, US | 5925 BROADWAY, BRONX, NY, 10463, US</x:v>
      </x:c>
      <x:c r="D1346" t="str">
        <x:v>1695 TOPPING AVENUE LLC</x:v>
      </x:c>
      <x:c r="E1346" t="str">
        <x:v>1695 TOPPING AVENUE, LLC</x:v>
      </x:c>
      <x:c r="F1346" t="str">
        <x:v>Address-corroborated active match</x:v>
      </x:c>
      <x:c r="G1346" t="n">
        <x:v>1</x:v>
      </x:c>
      <x:c r="H1346" t="n">
        <x:v>2</x:v>
      </x:c>
      <x:c r="I1346" t="str">
        <x:v>3278353</x:v>
      </x:c>
      <x:c r="J1346" t="str">
        <x:v>1695 TOPPING AVENUE LLC</x:v>
      </x:c>
      <x:c r="K1346" s="55" t="n">
        <x:v>38664</x:v>
      </x:c>
      <x:c r="L1346" t="str">
        <x:v>Bronx</x:v>
      </x:c>
      <x:c r="M1346" t="str">
        <x:v>New York</x:v>
      </x:c>
      <x:c r="N1346" t="str">
        <x:v>DOMESTIC LIMITED LIABILITY COMPANY</x:v>
      </x:c>
      <x:c r="O1346" t="str">
        <x:v>C/O LEMLE &amp; WOLFF, INC.</x:v>
      </x:c>
      <x:c r="P1346" t="str">
        <x:v>5925 Broadway, Bronx, NY, 10463</x:v>
      </x:c>
      <x:c r="Q1346" t="str"/>
      <x:c r="R1346" t="str"/>
      <x:c r="S1346" t="str"/>
      <x:c r="T1346" t="str"/>
      <x:c r="U1346" t="str"/>
      <x:c r="V1346" t="str"/>
      <x:c r="W1346" t="str"/>
      <x:c r="X1346" t="str"/>
      <x:c r="Y1346" t="str">
        <x:v>https://data.ny.gov/Economic-Development/Active-Corporations-Beginning-1800/n9v6-gdp6</x:v>
      </x:c>
    </x:row>
    <x:row r="1347">
      <x:c r="A1347" t="str">
        <x:v>DOS-6-025</x:v>
      </x:c>
      <x:c r="B1347" t="n">
        <x:v>6</x:v>
      </x:c>
      <x:c r="C1347" t="str">
        <x:v>5925  BROADWAY, BRONX, NY, 10463, US | 5925 BROADWAY, BRONX, NY, 10463, US</x:v>
      </x:c>
      <x:c r="D1347" t="str">
        <x:v>510 WEST 188TH STREET ASSOCIATES LLC</x:v>
      </x:c>
      <x:c r="E1347" t="str">
        <x:v>510 WEST 188TH STREET ASSOCIATES LLC</x:v>
      </x:c>
      <x:c r="F1347" t="str">
        <x:v>Address-corroborated active match</x:v>
      </x:c>
      <x:c r="G1347" t="n">
        <x:v>1</x:v>
      </x:c>
      <x:c r="H1347" t="n">
        <x:v>2</x:v>
      </x:c>
      <x:c r="I1347" t="str">
        <x:v>3895472</x:v>
      </x:c>
      <x:c r="J1347" t="str">
        <x:v>510 WEST 188TH STREET ASSOCIATES LLC</x:v>
      </x:c>
      <x:c r="K1347" s="55" t="n">
        <x:v>40183</x:v>
      </x:c>
      <x:c r="L1347" t="str">
        <x:v>Bronx</x:v>
      </x:c>
      <x:c r="M1347" t="str">
        <x:v>New York</x:v>
      </x:c>
      <x:c r="N1347" t="str">
        <x:v>DOMESTIC LIMITED LIABILITY COMPANY</x:v>
      </x:c>
      <x:c r="O1347" t="str">
        <x:v>C/O LEMLE &amp; WOLFF INC.</x:v>
      </x:c>
      <x:c r="P1347" t="str">
        <x:v>5925 BROADWAY, BRONX, NY, 10463</x:v>
      </x:c>
      <x:c r="Q1347" t="str"/>
      <x:c r="R1347" t="str"/>
      <x:c r="S1347" t="str"/>
      <x:c r="T1347" t="str"/>
      <x:c r="U1347" t="str"/>
      <x:c r="V1347" t="str"/>
      <x:c r="W1347" t="str"/>
      <x:c r="X1347" t="str"/>
      <x:c r="Y1347" t="str">
        <x:v>https://data.ny.gov/Economic-Development/Active-Corporations-Beginning-1800/n9v6-gdp6</x:v>
      </x:c>
    </x:row>
    <x:row r="1348">
      <x:c r="A1348" t="str">
        <x:v>DOS-6-025</x:v>
      </x:c>
      <x:c r="B1348" t="n">
        <x:v>6</x:v>
      </x:c>
      <x:c r="C1348" t="str">
        <x:v>5925  BROADWAY, BRONX, NY, 10463, US | 5925 BROADWAY, BRONX, NY, 10463, US</x:v>
      </x:c>
      <x:c r="D1348" t="str">
        <x:v>52 ARDEN ASSOCIATES LLC</x:v>
      </x:c>
      <x:c r="E1348" t="str">
        <x:v>52 ARDEN ASSOCIATES,L.L.C.</x:v>
      </x:c>
      <x:c r="F1348" t="str">
        <x:v>Address-corroborated active match</x:v>
      </x:c>
      <x:c r="G1348" t="n">
        <x:v>1</x:v>
      </x:c>
      <x:c r="H1348" t="n">
        <x:v>2</x:v>
      </x:c>
      <x:c r="I1348" t="str">
        <x:v>2169158</x:v>
      </x:c>
      <x:c r="J1348" t="str">
        <x:v>52 ARDEN ASSOCIATES, L.L.C.</x:v>
      </x:c>
      <x:c r="K1348" s="55" t="n">
        <x:v>35648</x:v>
      </x:c>
      <x:c r="L1348" t="str">
        <x:v>New York</x:v>
      </x:c>
      <x:c r="M1348" t="str">
        <x:v>New York</x:v>
      </x:c>
      <x:c r="N1348" t="str">
        <x:v>DOMESTIC LIMITED LIABILITY COMPANY</x:v>
      </x:c>
      <x:c r="O1348" t="str">
        <x:v>C/O LEMLE &amp; WOLFF, INC.</x:v>
      </x:c>
      <x:c r="P1348" t="str">
        <x:v>5925 BROADWAY, BRONX, NY, 10463</x:v>
      </x:c>
      <x:c r="Q1348" t="str"/>
      <x:c r="R1348" t="str"/>
      <x:c r="S1348" t="str"/>
      <x:c r="T1348" t="str"/>
      <x:c r="U1348" t="str"/>
      <x:c r="V1348" t="str"/>
      <x:c r="W1348" t="str"/>
      <x:c r="X1348" t="str"/>
      <x:c r="Y1348" t="str">
        <x:v>https://data.ny.gov/Economic-Development/Active-Corporations-Beginning-1800/n9v6-gdp6</x:v>
      </x:c>
    </x:row>
    <x:row r="1349">
      <x:c r="A1349" t="str">
        <x:v>DOS-6-025</x:v>
      </x:c>
      <x:c r="B1349" t="n">
        <x:v>6</x:v>
      </x:c>
      <x:c r="C1349" t="str">
        <x:v>5925  BROADWAY, BRONX, NY, 10463, US | 5925 BROADWAY, BRONX, NY, 10463, US</x:v>
      </x:c>
      <x:c r="D1349" t="str">
        <x:v>AUDUBON PROPERTY GROUP LLC</x:v>
      </x:c>
      <x:c r="E1349" t="str">
        <x:v>AUDUBON PROPERTY GROUP LLC</x:v>
      </x:c>
      <x:c r="F1349" t="str">
        <x:v>Address-corroborated active match</x:v>
      </x:c>
      <x:c r="G1349" t="n">
        <x:v>1</x:v>
      </x:c>
      <x:c r="H1349" t="n">
        <x:v>2</x:v>
      </x:c>
      <x:c r="I1349" t="str">
        <x:v>4097346</x:v>
      </x:c>
      <x:c r="J1349" t="str">
        <x:v>AUDUBON PROPERTY GROUP LLC</x:v>
      </x:c>
      <x:c r="K1349" s="55" t="n">
        <x:v>40683</x:v>
      </x:c>
      <x:c r="L1349" t="str">
        <x:v>Bronx</x:v>
      </x:c>
      <x:c r="M1349" t="str">
        <x:v>New York</x:v>
      </x:c>
      <x:c r="N1349" t="str">
        <x:v>DOMESTIC LIMITED LIABILITY COMPANY</x:v>
      </x:c>
      <x:c r="O1349" t="str">
        <x:v>C/O LEMLE &amp; WOLFF INC.</x:v>
      </x:c>
      <x:c r="P1349" t="str">
        <x:v>5925 BROADWAY, BRONX, NY, 10463</x:v>
      </x:c>
      <x:c r="Q1349" t="str"/>
      <x:c r="R1349" t="str"/>
      <x:c r="S1349" t="str"/>
      <x:c r="T1349" t="str"/>
      <x:c r="U1349" t="str"/>
      <x:c r="V1349" t="str"/>
      <x:c r="W1349" t="str"/>
      <x:c r="X1349" t="str"/>
      <x:c r="Y1349" t="str">
        <x:v>https://data.ny.gov/Economic-Development/Active-Corporations-Beginning-1800/n9v6-gdp6</x:v>
      </x:c>
    </x:row>
    <x:row r="1350">
      <x:c r="A1350" t="str">
        <x:v>DOS-6-025</x:v>
      </x:c>
      <x:c r="B1350" t="n">
        <x:v>6</x:v>
      </x:c>
      <x:c r="C1350" t="str">
        <x:v>5925  BROADWAY, BRONX, NY, 10463, US | 5925 BROADWAY, BRONX, NY, 10463, US</x:v>
      </x:c>
      <x:c r="D1350" t="str">
        <x:v>RIVULET ROW ASSOCIATES LLC</x:v>
      </x:c>
      <x:c r="E1350" t="str">
        <x:v>RIVULET ROW ASSOCIATES LLC</x:v>
      </x:c>
      <x:c r="F1350" t="str">
        <x:v>Address-corroborated active match</x:v>
      </x:c>
      <x:c r="G1350" t="n">
        <x:v>1</x:v>
      </x:c>
      <x:c r="H1350" t="n">
        <x:v>2</x:v>
      </x:c>
      <x:c r="I1350" t="str">
        <x:v>2390946</x:v>
      </x:c>
      <x:c r="J1350" t="str">
        <x:v>RIVULET ROW ASSOCIATES LLC</x:v>
      </x:c>
      <x:c r="K1350" s="55" t="n">
        <x:v>36333</x:v>
      </x:c>
      <x:c r="L1350" t="str">
        <x:v>Bronx</x:v>
      </x:c>
      <x:c r="M1350" t="str">
        <x:v>New York</x:v>
      </x:c>
      <x:c r="N1350" t="str">
        <x:v>DOMESTIC LIMITED LIABILITY COMPANY</x:v>
      </x:c>
      <x:c r="O1350" t="str">
        <x:v>C/O LEMLE &amp; WOLFF, INC.</x:v>
      </x:c>
      <x:c r="P1350" t="str">
        <x:v>5925 BROADWAY, BRONX, NY, 10463</x:v>
      </x:c>
      <x:c r="Q1350" t="str"/>
      <x:c r="R1350" t="str"/>
      <x:c r="S1350" t="str"/>
      <x:c r="T1350" t="str"/>
      <x:c r="U1350" t="str"/>
      <x:c r="V1350" t="str"/>
      <x:c r="W1350" t="str"/>
      <x:c r="X1350" t="str"/>
      <x:c r="Y1350" t="str">
        <x:v>https://data.ny.gov/Economic-Development/Active-Corporations-Beginning-1800/n9v6-gdp6</x:v>
      </x:c>
    </x:row>
    <x:row r="1351">
      <x:c r="A1351" t="str">
        <x:v>DOS-6-025</x:v>
      </x:c>
      <x:c r="B1351" t="n">
        <x:v>6</x:v>
      </x:c>
      <x:c r="C1351" t="str">
        <x:v>5925  BROADWAY, BRONX, NY, 10463, US | 5925 BROADWAY, BRONX, NY, 10463, US</x:v>
      </x:c>
      <x:c r="D1351" t="str">
        <x:v>WHITE STAR ASSOCIATES LLC</x:v>
      </x:c>
      <x:c r="E1351" t="str">
        <x:v>WHITE STAR ASSOCIATES LLC</x:v>
      </x:c>
      <x:c r="F1351" t="str">
        <x:v>No active DOS match</x:v>
      </x:c>
      <x:c r="G1351" t="n">
        <x:v>0</x:v>
      </x:c>
      <x:c r="H1351" t="n">
        <x:v>0</x:v>
      </x:c>
      <x:c r="I1351" t="str"/>
      <x:c r="J1351" t="str"/>
      <x:c r="K1351" s="55" t="str"/>
      <x:c r="L1351" t="str"/>
      <x:c r="M1351" t="str"/>
      <x:c r="N1351" t="str"/>
      <x:c r="O1351" t="str"/>
      <x:c r="P1351" t="str"/>
      <x:c r="Q1351" t="str"/>
      <x:c r="R1351" t="str"/>
      <x:c r="S1351" t="str"/>
      <x:c r="T1351" t="str"/>
      <x:c r="U1351" t="str"/>
      <x:c r="V1351" t="str"/>
      <x:c r="W1351" t="str"/>
      <x:c r="X1351" t="str"/>
      <x:c r="Y1351" t="str">
        <x:v>https://data.ny.gov/Economic-Development/Active-Corporations-Beginning-1800/n9v6-gdp6</x:v>
      </x:c>
    </x:row>
    <x:row r="1352">
      <x:c r="A1352" t="str">
        <x:v>DOS-6-026</x:v>
      </x:c>
      <x:c r="B1352" t="n">
        <x:v>6</x:v>
      </x:c>
      <x:c r="C1352" t="str">
        <x:v>691 COLUMBIA  STREET, BROOKLYN, NY, 11231, US | 691 COLUMBIA STREET, BROOKLYN, NY, 11231, US</x:v>
      </x:c>
      <x:c r="D1352" t="str">
        <x:v>B 72ND ST 16070 24 LLC</x:v>
      </x:c>
      <x:c r="E1352" t="str">
        <x:v>B. 72ND ST. - 16070.24, LLC</x:v>
      </x:c>
      <x:c r="F1352" t="str">
        <x:v>No active DOS match</x:v>
      </x:c>
      <x:c r="G1352" t="n">
        <x:v>0</x:v>
      </x:c>
      <x:c r="H1352" t="n">
        <x:v>0</x:v>
      </x:c>
      <x:c r="I1352" t="str"/>
      <x:c r="J1352" t="str"/>
      <x:c r="K1352" s="55" t="str"/>
      <x:c r="L1352" t="str"/>
      <x:c r="M1352" t="str"/>
      <x:c r="N1352" t="str"/>
      <x:c r="O1352" t="str"/>
      <x:c r="P1352" t="str"/>
      <x:c r="Q1352" t="str"/>
      <x:c r="R1352" t="str"/>
      <x:c r="S1352" t="str"/>
      <x:c r="T1352" t="str"/>
      <x:c r="U1352" t="str"/>
      <x:c r="V1352" t="str"/>
      <x:c r="W1352" t="str"/>
      <x:c r="X1352" t="str"/>
      <x:c r="Y1352" t="str">
        <x:v>https://data.ny.gov/Economic-Development/Active-Corporations-Beginning-1800/n9v6-gdp6</x:v>
      </x:c>
    </x:row>
    <x:row r="1353">
      <x:c r="A1353" t="str">
        <x:v>DOS-6-026</x:v>
      </x:c>
      <x:c r="B1353" t="n">
        <x:v>6</x:v>
      </x:c>
      <x:c r="C1353" t="str">
        <x:v>691 COLUMBIA  STREET, BROOKLYN, NY, 11231, US | 691 COLUMBIA STREET, BROOKLYN, NY, 11231, US</x:v>
      </x:c>
      <x:c r="D1353" t="str">
        <x:v>PROSPECT PARK STABLE LLC</x:v>
      </x:c>
      <x:c r="E1353" t="str">
        <x:v>PROSPECT PARK STABLE, LLC</x:v>
      </x:c>
      <x:c r="F1353" t="str">
        <x:v>Active name match</x:v>
      </x:c>
      <x:c r="G1353" t="n">
        <x:v>1</x:v>
      </x:c>
      <x:c r="H1353" t="n">
        <x:v>0</x:v>
      </x:c>
      <x:c r="I1353" t="str">
        <x:v>5277884</x:v>
      </x:c>
      <x:c r="J1353" t="str">
        <x:v>PROSPECT PARK STABLE, LLC</x:v>
      </x:c>
      <x:c r="K1353" s="55" t="n">
        <x:v>43131</x:v>
      </x:c>
      <x:c r="L1353" t="str">
        <x:v>Kings</x:v>
      </x:c>
      <x:c r="M1353" t="str">
        <x:v>New York</x:v>
      </x:c>
      <x:c r="N1353" t="str">
        <x:v>DOMESTIC LIMITED LIABILITY COMPANY</x:v>
      </x:c>
      <x:c r="O1353" t="str">
        <x:v>UNITED CORPORATE SERVICES, INC.</x:v>
      </x:c>
      <x:c r="P1353" t="str">
        <x:v>10 BANK STREET, SUITE 560, WHITE PLAINS, NY, 10606</x:v>
      </x:c>
      <x:c r="Q1353" t="str"/>
      <x:c r="R1353" t="str"/>
      <x:c r="S1353" t="str">
        <x:v>UNITED CORPORATE SERVICES, INC.</x:v>
      </x:c>
      <x:c r="T1353" t="str">
        <x:v>10 BANK STREET, SUITE 560, WHITE PLAINS, NEW YORK, 10606</x:v>
      </x:c>
      <x:c r="U1353" t="str"/>
      <x:c r="V1353" t="str"/>
      <x:c r="W1353" t="str"/>
      <x:c r="X1353" t="str"/>
      <x:c r="Y1353" t="str">
        <x:v>https://data.ny.gov/Economic-Development/Active-Corporations-Beginning-1800/n9v6-gdp6</x:v>
      </x:c>
    </x:row>
    <x:row r="1354">
      <x:c r="A1354" t="str">
        <x:v>DOS-6-026</x:v>
      </x:c>
      <x:c r="B1354" t="n">
        <x:v>6</x:v>
      </x:c>
      <x:c r="C1354" t="str">
        <x:v>691 COLUMBIA  STREET, BROOKLYN, NY, 11231, US | 691 COLUMBIA STREET, BROOKLYN, NY, 11231, US</x:v>
      </x:c>
      <x:c r="D1354" t="str">
        <x:v>VBX 4 16069 12 LLC</x:v>
      </x:c>
      <x:c r="E1354" t="str">
        <x:v>VBX-4.16069.12, LLC</x:v>
      </x:c>
      <x:c r="F1354" t="str">
        <x:v>Active name match</x:v>
      </x:c>
      <x:c r="G1354" t="n">
        <x:v>1</x:v>
      </x:c>
      <x:c r="H1354" t="n">
        <x:v>0</x:v>
      </x:c>
      <x:c r="I1354" t="str">
        <x:v>5399371</x:v>
      </x:c>
      <x:c r="J1354" t="str">
        <x:v>VBX-4.16069.12, LLC</x:v>
      </x:c>
      <x:c r="K1354" s="55" t="n">
        <x:v>43336</x:v>
      </x:c>
      <x:c r="L1354" t="str">
        <x:v>Kings</x:v>
      </x:c>
      <x:c r="M1354" t="str">
        <x:v>New York</x:v>
      </x:c>
      <x:c r="N1354" t="str">
        <x:v>DOMESTIC LIMITED LIABILITY COMPANY</x:v>
      </x:c>
      <x:c r="O1354" t="str">
        <x:v>UNITED CORPORATE SERVICES, INC.</x:v>
      </x:c>
      <x:c r="P1354" t="str">
        <x:v>10 BANK STREET, SUITE 560, WHITE PLAINS, NY, 10606</x:v>
      </x:c>
      <x:c r="Q1354" t="str"/>
      <x:c r="R1354" t="str"/>
      <x:c r="S1354" t="str"/>
      <x:c r="T1354" t="str"/>
      <x:c r="U1354" t="str"/>
      <x:c r="V1354" t="str"/>
      <x:c r="W1354" t="str"/>
      <x:c r="X1354" t="str"/>
      <x:c r="Y1354" t="str">
        <x:v>https://data.ny.gov/Economic-Development/Active-Corporations-Beginning-1800/n9v6-gdp6</x:v>
      </x:c>
    </x:row>
    <x:row r="1355">
      <x:c r="A1355" t="str">
        <x:v>DOS-6-026</x:v>
      </x:c>
      <x:c r="B1355" t="n">
        <x:v>6</x:v>
      </x:c>
      <x:c r="C1355" t="str">
        <x:v>691 COLUMBIA  STREET, BROOKLYN, NY, 11231, US | 691 COLUMBIA STREET, BROOKLYN, NY, 11231, US</x:v>
      </x:c>
      <x:c r="D1355" t="str">
        <x:v>VBX 4 16069 30 LLC</x:v>
      </x:c>
      <x:c r="E1355" t="str">
        <x:v>VBX-4.16069.30 LLC</x:v>
      </x:c>
      <x:c r="F1355" t="str">
        <x:v>Active name match</x:v>
      </x:c>
      <x:c r="G1355" t="n">
        <x:v>1</x:v>
      </x:c>
      <x:c r="H1355" t="n">
        <x:v>0</x:v>
      </x:c>
      <x:c r="I1355" t="str">
        <x:v>5617703</x:v>
      </x:c>
      <x:c r="J1355" t="str">
        <x:v>VBX-4.16069.30 LLC</x:v>
      </x:c>
      <x:c r="K1355" s="55" t="n">
        <x:v>43717</x:v>
      </x:c>
      <x:c r="L1355" t="str">
        <x:v>Kings</x:v>
      </x:c>
      <x:c r="M1355" t="str">
        <x:v>New York</x:v>
      </x:c>
      <x:c r="N1355" t="str">
        <x:v>DOMESTIC LIMITED LIABILITY COMPANY</x:v>
      </x:c>
      <x:c r="O1355" t="str">
        <x:v>UNITED CORPORATE SERVICES, INC.</x:v>
      </x:c>
      <x:c r="P1355" t="str">
        <x:v>10 BANK STREET, SUITE 560, WHITE PLAINS, NY, 10606</x:v>
      </x:c>
      <x:c r="Q1355" t="str"/>
      <x:c r="R1355" t="str"/>
      <x:c r="S1355" t="str"/>
      <x:c r="T1355" t="str"/>
      <x:c r="U1355" t="str"/>
      <x:c r="V1355" t="str"/>
      <x:c r="W1355" t="str"/>
      <x:c r="X1355" t="str"/>
      <x:c r="Y1355" t="str">
        <x:v>https://data.ny.gov/Economic-Development/Active-Corporations-Beginning-1800/n9v6-gdp6</x:v>
      </x:c>
    </x:row>
    <x:row r="1356">
      <x:c r="A1356" t="str">
        <x:v>DOS-6-026</x:v>
      </x:c>
      <x:c r="B1356" t="n">
        <x:v>6</x:v>
      </x:c>
      <x:c r="C1356" t="str">
        <x:v>691 COLUMBIA  STREET, BROOKLYN, NY, 11231, US | 691 COLUMBIA STREET, BROOKLYN, NY, 11231, US</x:v>
      </x:c>
      <x:c r="D1356" t="str">
        <x:v>VBX 4 16070 19 LLC</x:v>
      </x:c>
      <x:c r="E1356" t="str">
        <x:v>VBX-4.16070.19, LLC</x:v>
      </x:c>
      <x:c r="F1356" t="str">
        <x:v>Active name match</x:v>
      </x:c>
      <x:c r="G1356" t="n">
        <x:v>1</x:v>
      </x:c>
      <x:c r="H1356" t="n">
        <x:v>0</x:v>
      </x:c>
      <x:c r="I1356" t="str">
        <x:v>5399372</x:v>
      </x:c>
      <x:c r="J1356" t="str">
        <x:v>VBX-4.16070.19, LLC</x:v>
      </x:c>
      <x:c r="K1356" s="55" t="n">
        <x:v>43336</x:v>
      </x:c>
      <x:c r="L1356" t="str">
        <x:v>Kings</x:v>
      </x:c>
      <x:c r="M1356" t="str">
        <x:v>New York</x:v>
      </x:c>
      <x:c r="N1356" t="str">
        <x:v>DOMESTIC LIMITED LIABILITY COMPANY</x:v>
      </x:c>
      <x:c r="O1356" t="str">
        <x:v>UNITED CORPORATE SERVICES, INC.</x:v>
      </x:c>
      <x:c r="P1356" t="str">
        <x:v>10 BANK STREET, SUITE 560, WHITE PLAINS, NY, 10606</x:v>
      </x:c>
      <x:c r="Q1356" t="str"/>
      <x:c r="R1356" t="str"/>
      <x:c r="S1356" t="str"/>
      <x:c r="T1356" t="str"/>
      <x:c r="U1356" t="str"/>
      <x:c r="V1356" t="str"/>
      <x:c r="W1356" t="str"/>
      <x:c r="X1356" t="str"/>
      <x:c r="Y1356" t="str">
        <x:v>https://data.ny.gov/Economic-Development/Active-Corporations-Beginning-1800/n9v6-gdp6</x:v>
      </x:c>
    </x:row>
    <x:row r="1357">
      <x:c r="A1357" t="str">
        <x:v>DOS-6-026</x:v>
      </x:c>
      <x:c r="B1357" t="n">
        <x:v>6</x:v>
      </x:c>
      <x:c r="C1357" t="str">
        <x:v>691 COLUMBIA  STREET, BROOKLYN, NY, 11231, US | 691 COLUMBIA STREET, BROOKLYN, NY, 11231, US</x:v>
      </x:c>
      <x:c r="D1357" t="str">
        <x:v>VERNAM BASIN TERMINAL LLC</x:v>
      </x:c>
      <x:c r="E1357" t="str">
        <x:v>VERNAM BASIN TERMINAL, LLC</x:v>
      </x:c>
      <x:c r="F1357" t="str">
        <x:v>Active name match</x:v>
      </x:c>
      <x:c r="G1357" t="n">
        <x:v>1</x:v>
      </x:c>
      <x:c r="H1357" t="n">
        <x:v>0</x:v>
      </x:c>
      <x:c r="I1357" t="str">
        <x:v>4869623</x:v>
      </x:c>
      <x:c r="J1357" t="str">
        <x:v>VERNAM BASIN TERMINAL, LLC</x:v>
      </x:c>
      <x:c r="K1357" s="55" t="n">
        <x:v>42366</x:v>
      </x:c>
      <x:c r="L1357" t="str">
        <x:v>Kings</x:v>
      </x:c>
      <x:c r="M1357" t="str">
        <x:v>New York</x:v>
      </x:c>
      <x:c r="N1357" t="str">
        <x:v>DOMESTIC LIMITED LIABILITY COMPANY</x:v>
      </x:c>
      <x:c r="O1357" t="str">
        <x:v>UNITED CORPORATE SERVICES, INC.</x:v>
      </x:c>
      <x:c r="P1357" t="str">
        <x:v>10 BANK STREET, SUITE 560, WHITE PLAINS, NY, 10606</x:v>
      </x:c>
      <x:c r="Q1357" t="str"/>
      <x:c r="R1357" t="str"/>
      <x:c r="S1357" t="str"/>
      <x:c r="T1357" t="str"/>
      <x:c r="U1357" t="str"/>
      <x:c r="V1357" t="str"/>
      <x:c r="W1357" t="str"/>
      <x:c r="X1357" t="str"/>
      <x:c r="Y1357" t="str">
        <x:v>https://data.ny.gov/Economic-Development/Active-Corporations-Beginning-1800/n9v6-gdp6</x:v>
      </x:c>
    </x:row>
    <x:row r="1358">
      <x:c r="A1358" t="str">
        <x:v>DOS-6-027</x:v>
      </x:c>
      <x:c r="B1358" t="n">
        <x:v>6</x:v>
      </x:c>
      <x:c r="C1358" t="str">
        <x:v>902 BROADWAY, 13TH FLOOR, NEW YORK, NY, 10010, US</x:v>
      </x:c>
      <x:c r="D1358" t="str">
        <x:v>860 COURTLANDT AVENUE ASSOCIATES LLC</x:v>
      </x:c>
      <x:c r="E1358" t="str">
        <x:v>860 COURTLANDT AVENUE ASSOCIATES LLC</x:v>
      </x:c>
      <x:c r="F1358" t="str">
        <x:v>Active name match</x:v>
      </x:c>
      <x:c r="G1358" t="n">
        <x:v>1</x:v>
      </x:c>
      <x:c r="H1358" t="n">
        <x:v>1</x:v>
      </x:c>
      <x:c r="I1358" t="str">
        <x:v>6447971</x:v>
      </x:c>
      <x:c r="J1358" t="str">
        <x:v>860 COURTLANDT AVENUE ASSOCIATES LLC</x:v>
      </x:c>
      <x:c r="K1358" s="55" t="n">
        <x:v>44652</x:v>
      </x:c>
      <x:c r="L1358" t="str">
        <x:v>New York</x:v>
      </x:c>
      <x:c r="M1358" t="str">
        <x:v>New York</x:v>
      </x:c>
      <x:c r="N1358" t="str">
        <x:v>DOMESTIC LIMITED LIABILITY COMPANY</x:v>
      </x:c>
      <x:c r="O1358" t="str">
        <x:v>860 COURTLANDT AVENUE ASSOCIATES LLC C/O PHIPPS HOUSES</x:v>
      </x:c>
      <x:c r="P1358" t="str">
        <x:v>257 Park Avenue South, 12th Fl, 256 Park Avenue South, 12th Floor, New York, NY, 10010</x:v>
      </x:c>
      <x:c r="Q1358" t="str"/>
      <x:c r="R1358" t="str"/>
      <x:c r="S1358" t="str"/>
      <x:c r="T1358" t="str"/>
      <x:c r="U1358" t="str"/>
      <x:c r="V1358" t="str"/>
      <x:c r="W1358" t="str"/>
      <x:c r="X1358" t="str"/>
      <x:c r="Y1358" t="str">
        <x:v>https://data.ny.gov/Economic-Development/Active-Corporations-Beginning-1800/n9v6-gdp6</x:v>
      </x:c>
    </x:row>
    <x:row r="1359">
      <x:c r="A1359" t="str">
        <x:v>DOS-6-027</x:v>
      </x:c>
      <x:c r="B1359" t="n">
        <x:v>6</x:v>
      </x:c>
      <x:c r="C1359" t="str">
        <x:v>902 BROADWAY, 13TH FLOOR, NEW YORK, NY, 10010, US</x:v>
      </x:c>
      <x:c r="D1359" t="str">
        <x:v>DINSMORE ASSOCIATES LLC</x:v>
      </x:c>
      <x:c r="E1359" t="str">
        <x:v>DINSMORE ASSOCIATES LLC</x:v>
      </x:c>
      <x:c r="F1359" t="str">
        <x:v>Address-corroborated active match</x:v>
      </x:c>
      <x:c r="G1359" t="n">
        <x:v>1</x:v>
      </x:c>
      <x:c r="H1359" t="n">
        <x:v>2</x:v>
      </x:c>
      <x:c r="I1359" t="str">
        <x:v>6216439</x:v>
      </x:c>
      <x:c r="J1359" t="str">
        <x:v>DINSMORE ASSOCIATES LLC</x:v>
      </x:c>
      <x:c r="K1359" s="55" t="n">
        <x:v>44385</x:v>
      </x:c>
      <x:c r="L1359" t="str">
        <x:v>New York</x:v>
      </x:c>
      <x:c r="M1359" t="str">
        <x:v>New York</x:v>
      </x:c>
      <x:c r="N1359" t="str">
        <x:v>DOMESTIC LIMITED LIABILITY COMPANY</x:v>
      </x:c>
      <x:c r="O1359" t="str">
        <x:v>DINSMORE ASSOCIATES LLC</x:v>
      </x:c>
      <x:c r="P1359" t="str">
        <x:v>902 broadway, 13th floor, NEW YORK, NY, 10010</x:v>
      </x:c>
      <x:c r="Q1359" t="str"/>
      <x:c r="R1359" t="str"/>
      <x:c r="S1359" t="str"/>
      <x:c r="T1359" t="str"/>
      <x:c r="U1359" t="str"/>
      <x:c r="V1359" t="str"/>
      <x:c r="W1359" t="str"/>
      <x:c r="X1359" t="str"/>
      <x:c r="Y1359" t="str">
        <x:v>https://data.ny.gov/Economic-Development/Active-Corporations-Beginning-1800/n9v6-gdp6</x:v>
      </x:c>
    </x:row>
    <x:row r="1360">
      <x:c r="A1360" t="str">
        <x:v>DOS-6-027</x:v>
      </x:c>
      <x:c r="B1360" t="n">
        <x:v>6</x:v>
      </x:c>
      <x:c r="C1360" t="str">
        <x:v>902 BROADWAY, 13TH FLOOR, NEW YORK, NY, 10010, US</x:v>
      </x:c>
      <x:c r="D1360" t="str">
        <x:v>EAST 182 STREET ASSOCIATES LLC</x:v>
      </x:c>
      <x:c r="E1360" t="str">
        <x:v>EAST 182 STREET ASSOCIATES, LLC</x:v>
      </x:c>
      <x:c r="F1360" t="str">
        <x:v>Active name match</x:v>
      </x:c>
      <x:c r="G1360" t="n">
        <x:v>1</x:v>
      </x:c>
      <x:c r="H1360" t="n">
        <x:v>1</x:v>
      </x:c>
      <x:c r="I1360" t="str">
        <x:v>5174979</x:v>
      </x:c>
      <x:c r="J1360" t="str">
        <x:v>EAST 182 STREET ASSOCIATES, LLC</x:v>
      </x:c>
      <x:c r="K1360" s="55" t="n">
        <x:v>42940</x:v>
      </x:c>
      <x:c r="L1360" t="str">
        <x:v>New York</x:v>
      </x:c>
      <x:c r="M1360" t="str">
        <x:v>New York</x:v>
      </x:c>
      <x:c r="N1360" t="str">
        <x:v>DOMESTIC LIMITED LIABILITY COMPANY</x:v>
      </x:c>
      <x:c r="O1360" t="str">
        <x:v>EAST 182 STREET ASSOCIATES, LLC</x:v>
      </x:c>
      <x:c r="P1360" t="str">
        <x:v>c/o Phipps Houses, 257 Park Avenue South, 12th Fl., NEW YORK, NY, 10010</x:v>
      </x:c>
      <x:c r="Q1360" t="str"/>
      <x:c r="R1360" t="str"/>
      <x:c r="S1360" t="str"/>
      <x:c r="T1360" t="str"/>
      <x:c r="U1360" t="str"/>
      <x:c r="V1360" t="str"/>
      <x:c r="W1360" t="str"/>
      <x:c r="X1360" t="str"/>
      <x:c r="Y1360" t="str">
        <x:v>https://data.ny.gov/Economic-Development/Active-Corporations-Beginning-1800/n9v6-gdp6</x:v>
      </x:c>
    </x:row>
    <x:row r="1361">
      <x:c r="A1361" t="str">
        <x:v>DOS-6-027</x:v>
      </x:c>
      <x:c r="B1361" t="n">
        <x:v>6</x:v>
      </x:c>
      <x:c r="C1361" t="str">
        <x:v>902 BROADWAY, 13TH FLOOR, NEW YORK, NY, 10010, US</x:v>
      </x:c>
      <x:c r="D1361" t="str">
        <x:v>HORNADAY PLACE LLC</x:v>
      </x:c>
      <x:c r="E1361" t="str">
        <x:v>HORNADAY PLACE LLC</x:v>
      </x:c>
      <x:c r="F1361" t="str">
        <x:v>Address-corroborated active match</x:v>
      </x:c>
      <x:c r="G1361" t="n">
        <x:v>1</x:v>
      </x:c>
      <x:c r="H1361" t="n">
        <x:v>2</x:v>
      </x:c>
      <x:c r="I1361" t="str">
        <x:v>5730492</x:v>
      </x:c>
      <x:c r="J1361" t="str">
        <x:v>HORNADAY PLACE LLC</x:v>
      </x:c>
      <x:c r="K1361" s="55" t="n">
        <x:v>43910</x:v>
      </x:c>
      <x:c r="L1361" t="str">
        <x:v>New York</x:v>
      </x:c>
      <x:c r="M1361" t="str">
        <x:v>New York</x:v>
      </x:c>
      <x:c r="N1361" t="str">
        <x:v>DOMESTIC LIMITED LIABILITY COMPANY</x:v>
      </x:c>
      <x:c r="O1361" t="str">
        <x:v>C/O HIRSCHEN SINGER &amp; EPSTEIN LLP</x:v>
      </x:c>
      <x:c r="P1361" t="str">
        <x:v>902 BROADWAY, 13TH FLOOR, NEW YORK, NY, 10010</x:v>
      </x:c>
      <x:c r="Q1361" t="str"/>
      <x:c r="R1361" t="str"/>
      <x:c r="S1361" t="str"/>
      <x:c r="T1361" t="str"/>
      <x:c r="U1361" t="str"/>
      <x:c r="V1361" t="str"/>
      <x:c r="W1361" t="str"/>
      <x:c r="X1361" t="str"/>
      <x:c r="Y1361" t="str">
        <x:v>https://data.ny.gov/Economic-Development/Active-Corporations-Beginning-1800/n9v6-gdp6</x:v>
      </x:c>
    </x:row>
    <x:row r="1362">
      <x:c r="A1362" t="str">
        <x:v>DOS-6-027</x:v>
      </x:c>
      <x:c r="B1362" t="n">
        <x:v>6</x:v>
      </x:c>
      <x:c r="C1362" t="str">
        <x:v>902 BROADWAY, 13TH FLOOR, NEW YORK, NY, 10010, US</x:v>
      </x:c>
      <x:c r="D1362" t="str">
        <x:v>LEGUME CG LLC</x:v>
      </x:c>
      <x:c r="E1362" t="str">
        <x:v>LEGUME CG LLC</x:v>
      </x:c>
      <x:c r="F1362" t="str">
        <x:v>Address-corroborated active match</x:v>
      </x:c>
      <x:c r="G1362" t="n">
        <x:v>1</x:v>
      </x:c>
      <x:c r="H1362" t="n">
        <x:v>2</x:v>
      </x:c>
      <x:c r="I1362" t="str">
        <x:v>7211898</x:v>
      </x:c>
      <x:c r="J1362" t="str">
        <x:v>LEGUME CG LLC</x:v>
      </x:c>
      <x:c r="K1362" s="55" t="n">
        <x:v>45282</x:v>
      </x:c>
      <x:c r="L1362" t="str">
        <x:v>Westchester</x:v>
      </x:c>
      <x:c r="M1362" t="str">
        <x:v>New York</x:v>
      </x:c>
      <x:c r="N1362" t="str">
        <x:v>DOMESTIC LIMITED LIABILITY COMPANY</x:v>
      </x:c>
      <x:c r="O1362" t="str">
        <x:v>THE LIMITED LIABILITY COMPANY</x:v>
      </x:c>
      <x:c r="P1362" t="str">
        <x:v>902 Broadway, 13th Floor, New York, NY, 10010</x:v>
      </x:c>
      <x:c r="Q1362" t="str"/>
      <x:c r="R1362" t="str"/>
      <x:c r="S1362" t="str"/>
      <x:c r="T1362" t="str"/>
      <x:c r="U1362" t="str"/>
      <x:c r="V1362" t="str"/>
      <x:c r="W1362" t="str"/>
      <x:c r="X1362" t="str"/>
      <x:c r="Y1362" t="str">
        <x:v>https://data.ny.gov/Economic-Development/Active-Corporations-Beginning-1800/n9v6-gdp6</x:v>
      </x:c>
    </x:row>
    <x:row r="1363">
      <x:c r="A1363" t="str">
        <x:v>DOS-6-027</x:v>
      </x:c>
      <x:c r="B1363" t="n">
        <x:v>6</x:v>
      </x:c>
      <x:c r="C1363" t="str">
        <x:v>902 BROADWAY, 13TH FLOOR, NEW YORK, NY, 10010, US</x:v>
      </x:c>
      <x:c r="D1363" t="str">
        <x:v>SUNNYSIDE GARDEN APARTMENTS LLC</x:v>
      </x:c>
      <x:c r="E1363" t="str">
        <x:v>SUNNYSIDE GARDEN APARTMENTS, LLC</x:v>
      </x:c>
      <x:c r="F1363" t="str">
        <x:v>Address-corroborated active match</x:v>
      </x:c>
      <x:c r="G1363" t="n">
        <x:v>1</x:v>
      </x:c>
      <x:c r="H1363" t="n">
        <x:v>2</x:v>
      </x:c>
      <x:c r="I1363" t="str">
        <x:v>3194242</x:v>
      </x:c>
      <x:c r="J1363" t="str">
        <x:v>SUNNYSIDE GARDEN APARTMENTS, LLC</x:v>
      </x:c>
      <x:c r="K1363" s="55" t="n">
        <x:v>38463</x:v>
      </x:c>
      <x:c r="L1363" t="str">
        <x:v>New York</x:v>
      </x:c>
      <x:c r="M1363" t="str">
        <x:v>Delaware</x:v>
      </x:c>
      <x:c r="N1363" t="str">
        <x:v>FOREIGN LIMITED LIABILITY COMPANY</x:v>
      </x:c>
      <x:c r="O1363" t="str">
        <x:v>SUNNYSIDE GARDEN APARTMENTS, LLC</x:v>
      </x:c>
      <x:c r="P1363" t="str">
        <x:v>902 BROADWAY, NEW YORK, NY, 10010</x:v>
      </x:c>
      <x:c r="Q1363" t="str"/>
      <x:c r="R1363" t="str"/>
      <x:c r="S1363" t="str">
        <x:v>ROBERT PINCUS, SR VP &amp; SEC</x:v>
      </x:c>
      <x:c r="T1363" t="str">
        <x:v>SUNNYSIDE GARDEN APARTMENTS, 902 BROADWAY, NEW YORK, NEW YORK, 10010</x:v>
      </x:c>
      <x:c r="U1363" t="str"/>
      <x:c r="V1363" t="str"/>
      <x:c r="W1363" t="str"/>
      <x:c r="X1363" t="str"/>
      <x:c r="Y1363" t="str">
        <x:v>https://data.ny.gov/Economic-Development/Active-Corporations-Beginning-1800/n9v6-gdp6</x:v>
      </x:c>
    </x:row>
    <x:row r="1364">
      <x:c r="A1364" t="str">
        <x:v>DOS-6-028</x:v>
      </x:c>
      <x:c r="B1364" t="n">
        <x:v>6</x:v>
      </x:c>
      <x:c r="C1364" t="str">
        <x:v>1000  PENNSYLVANIA AVENUE, BROOKLYN, NY, 11207, US | 1000 PENNSYLVANIA AVENUE, BROOKLYN, NY, 11207, US</x:v>
      </x:c>
      <x:c r="D1364" t="str">
        <x:v>135 WEST BROADWAY LLC</x:v>
      </x:c>
      <x:c r="E1364" t="str">
        <x:v>135 WEST BROADWAY LLC</x:v>
      </x:c>
      <x:c r="F1364" t="str">
        <x:v>Address-corroborated active match</x:v>
      </x:c>
      <x:c r="G1364" t="n">
        <x:v>1</x:v>
      </x:c>
      <x:c r="H1364" t="n">
        <x:v>2</x:v>
      </x:c>
      <x:c r="I1364" t="str">
        <x:v>1982909</x:v>
      </x:c>
      <x:c r="J1364" t="str">
        <x:v>135 WEST BROADWAY LLC</x:v>
      </x:c>
      <x:c r="K1364" s="55" t="n">
        <x:v>35052</x:v>
      </x:c>
      <x:c r="L1364" t="str">
        <x:v>New York</x:v>
      </x:c>
      <x:c r="M1364" t="str">
        <x:v>New York</x:v>
      </x:c>
      <x:c r="N1364" t="str">
        <x:v>DOMESTIC LIMITED LIABILITY COMPANY</x:v>
      </x:c>
      <x:c r="O1364" t="str">
        <x:v>MAVERICK MANAGEMENT CORP</x:v>
      </x:c>
      <x:c r="P1364" t="str">
        <x:v>1000 PENNSYLVANIA AVENUE, Brooklyn, NY, 11207</x:v>
      </x:c>
      <x:c r="Q1364" t="str"/>
      <x:c r="R1364" t="str"/>
      <x:c r="S1364" t="str"/>
      <x:c r="T1364" t="str"/>
      <x:c r="U1364" t="str"/>
      <x:c r="V1364" t="str"/>
      <x:c r="W1364" t="str"/>
      <x:c r="X1364" t="str"/>
      <x:c r="Y1364" t="str">
        <x:v>https://data.ny.gov/Economic-Development/Active-Corporations-Beginning-1800/n9v6-gdp6</x:v>
      </x:c>
    </x:row>
    <x:row r="1365">
      <x:c r="A1365" t="str">
        <x:v>DOS-6-028</x:v>
      </x:c>
      <x:c r="B1365" t="n">
        <x:v>6</x:v>
      </x:c>
      <x:c r="C1365" t="str">
        <x:v>1000  PENNSYLVANIA AVENUE, BROOKLYN, NY, 11207, US | 1000 PENNSYLVANIA AVENUE, BROOKLYN, NY, 11207, US</x:v>
      </x:c>
      <x:c r="D1365" t="str">
        <x:v>311 BROADWAY LLC</x:v>
      </x:c>
      <x:c r="E1365" t="str">
        <x:v>311 BROADWAY LLC</x:v>
      </x:c>
      <x:c r="F1365" t="str">
        <x:v>Address-corroborated active match</x:v>
      </x:c>
      <x:c r="G1365" t="n">
        <x:v>1</x:v>
      </x:c>
      <x:c r="H1365" t="n">
        <x:v>2</x:v>
      </x:c>
      <x:c r="I1365" t="str">
        <x:v>1982907</x:v>
      </x:c>
      <x:c r="J1365" t="str">
        <x:v>311 BROADWAY LLC</x:v>
      </x:c>
      <x:c r="K1365" s="55" t="n">
        <x:v>35052</x:v>
      </x:c>
      <x:c r="L1365" t="str">
        <x:v>New York</x:v>
      </x:c>
      <x:c r="M1365" t="str">
        <x:v>New York</x:v>
      </x:c>
      <x:c r="N1365" t="str">
        <x:v>DOMESTIC LIMITED LIABILITY COMPANY</x:v>
      </x:c>
      <x:c r="O1365" t="str">
        <x:v>MAVERICK MANAGEMENT</x:v>
      </x:c>
      <x:c r="P1365" t="str">
        <x:v>1000 PENNSYLVANIA AVE, BROOKLYN, NY, 11207</x:v>
      </x:c>
      <x:c r="Q1365" t="str"/>
      <x:c r="R1365" t="str"/>
      <x:c r="S1365" t="str"/>
      <x:c r="T1365" t="str"/>
      <x:c r="U1365" t="str"/>
      <x:c r="V1365" t="str"/>
      <x:c r="W1365" t="str"/>
      <x:c r="X1365" t="str"/>
      <x:c r="Y1365" t="str">
        <x:v>https://data.ny.gov/Economic-Development/Active-Corporations-Beginning-1800/n9v6-gdp6</x:v>
      </x:c>
    </x:row>
    <x:row r="1366">
      <x:c r="A1366" t="str">
        <x:v>DOS-6-028</x:v>
      </x:c>
      <x:c r="B1366" t="n">
        <x:v>6</x:v>
      </x:c>
      <x:c r="C1366" t="str">
        <x:v>1000  PENNSYLVANIA AVENUE, BROOKLYN, NY, 11207, US | 1000 PENNSYLVANIA AVENUE, BROOKLYN, NY, 11207, US</x:v>
      </x:c>
      <x:c r="D1366" t="str">
        <x:v>PENNSYLVANIA ASSOCIATES LLC</x:v>
      </x:c>
      <x:c r="E1366" t="str">
        <x:v>PENNSYLVANIA ASSOCIATES LLC</x:v>
      </x:c>
      <x:c r="F1366" t="str">
        <x:v>Address-corroborated active match</x:v>
      </x:c>
      <x:c r="G1366" t="n">
        <x:v>1</x:v>
      </x:c>
      <x:c r="H1366" t="n">
        <x:v>2</x:v>
      </x:c>
      <x:c r="I1366" t="str">
        <x:v>5828839</x:v>
      </x:c>
      <x:c r="J1366" t="str">
        <x:v>PENNSYLVANIA ASSOCIATES LLC</x:v>
      </x:c>
      <x:c r="K1366" s="55" t="n">
        <x:v>44078</x:v>
      </x:c>
      <x:c r="L1366" t="str">
        <x:v>Kings</x:v>
      </x:c>
      <x:c r="M1366" t="str">
        <x:v>New York</x:v>
      </x:c>
      <x:c r="N1366" t="str">
        <x:v>DOMESTIC LIMITED LIABILITY COMPANY</x:v>
      </x:c>
      <x:c r="O1366" t="str">
        <x:v>MAVERICK MANAGEMENT</x:v>
      </x:c>
      <x:c r="P1366" t="str">
        <x:v>1000 PENNSYLVANIA AVENUE, BROOKLYN, NY, 11207</x:v>
      </x:c>
      <x:c r="Q1366" t="str"/>
      <x:c r="R1366" t="str"/>
      <x:c r="S1366" t="str"/>
      <x:c r="T1366" t="str"/>
      <x:c r="U1366" t="str"/>
      <x:c r="V1366" t="str"/>
      <x:c r="W1366" t="str"/>
      <x:c r="X1366" t="str"/>
      <x:c r="Y1366" t="str">
        <x:v>https://data.ny.gov/Economic-Development/Active-Corporations-Beginning-1800/n9v6-gdp6</x:v>
      </x:c>
    </x:row>
    <x:row r="1367">
      <x:c r="A1367" t="str">
        <x:v>DOS-6-028</x:v>
      </x:c>
      <x:c r="B1367" t="n">
        <x:v>6</x:v>
      </x:c>
      <x:c r="C1367" t="str">
        <x:v>1000  PENNSYLVANIA AVENUE, BROOKLYN, NY, 11207, US | 1000 PENNSYLVANIA AVENUE, BROOKLYN, NY, 11207, US</x:v>
      </x:c>
      <x:c r="D1367" t="str">
        <x:v>THIRD AVENUE EMERALD LLC</x:v>
      </x:c>
      <x:c r="E1367" t="str">
        <x:v>THIRD AVENUE EMERALD LLC</x:v>
      </x:c>
      <x:c r="F1367" t="str">
        <x:v>Address-corroborated active match</x:v>
      </x:c>
      <x:c r="G1367" t="n">
        <x:v>1</x:v>
      </x:c>
      <x:c r="H1367" t="n">
        <x:v>2</x:v>
      </x:c>
      <x:c r="I1367" t="str">
        <x:v>4957003</x:v>
      </x:c>
      <x:c r="J1367" t="str">
        <x:v>THIRD AVENUE EMERALD, LLC</x:v>
      </x:c>
      <x:c r="K1367" s="55" t="n">
        <x:v>42523</x:v>
      </x:c>
      <x:c r="L1367" t="str">
        <x:v>Kings</x:v>
      </x:c>
      <x:c r="M1367" t="str">
        <x:v>New York</x:v>
      </x:c>
      <x:c r="N1367" t="str">
        <x:v>DOMESTIC LIMITED LIABILITY COMPANY</x:v>
      </x:c>
      <x:c r="O1367" t="str">
        <x:v>THIRD AVENUE EMERALD, LLC</x:v>
      </x:c>
      <x:c r="P1367" t="str">
        <x:v>1000 PENNSYLVANIA AVENUE, BROOKLYN, NY, 11207</x:v>
      </x:c>
      <x:c r="Q1367" t="str"/>
      <x:c r="R1367" t="str"/>
      <x:c r="S1367" t="str"/>
      <x:c r="T1367" t="str"/>
      <x:c r="U1367" t="str"/>
      <x:c r="V1367" t="str"/>
      <x:c r="W1367" t="str"/>
      <x:c r="X1367" t="str"/>
      <x:c r="Y1367" t="str">
        <x:v>https://data.ny.gov/Economic-Development/Active-Corporations-Beginning-1800/n9v6-gdp6</x:v>
      </x:c>
    </x:row>
    <x:row r="1368">
      <x:c r="A1368" t="str">
        <x:v>DOS-6-028</x:v>
      </x:c>
      <x:c r="B1368" t="n">
        <x:v>6</x:v>
      </x:c>
      <x:c r="C1368" t="str">
        <x:v>1000  PENNSYLVANIA AVENUE, BROOKLYN, NY, 11207, US | 1000 PENNSYLVANIA AVENUE, BROOKLYN, NY, 11207, US</x:v>
      </x:c>
      <x:c r="D1368" t="str">
        <x:v>TROPICAL EMERALD LLC</x:v>
      </x:c>
      <x:c r="E1368" t="str">
        <x:v>TROPICAL EMERALD LLC</x:v>
      </x:c>
      <x:c r="F1368" t="str">
        <x:v>Address-corroborated active match</x:v>
      </x:c>
      <x:c r="G1368" t="n">
        <x:v>1</x:v>
      </x:c>
      <x:c r="H1368" t="n">
        <x:v>2</x:v>
      </x:c>
      <x:c r="I1368" t="str">
        <x:v>3718768</x:v>
      </x:c>
      <x:c r="J1368" t="str">
        <x:v>TROPICAL EMERALD LLC</x:v>
      </x:c>
      <x:c r="K1368" s="55" t="n">
        <x:v>39701</x:v>
      </x:c>
      <x:c r="L1368" t="str">
        <x:v>Kings</x:v>
      </x:c>
      <x:c r="M1368" t="str">
        <x:v>New York</x:v>
      </x:c>
      <x:c r="N1368" t="str">
        <x:v>DOMESTIC LIMITED LIABILITY COMPANY</x:v>
      </x:c>
      <x:c r="O1368" t="str">
        <x:v>TROPICAL EMERALD LLC</x:v>
      </x:c>
      <x:c r="P1368" t="str">
        <x:v>1000 PENNSYLVANIA AVENUE, BROOKLYN, NY, 11207</x:v>
      </x:c>
      <x:c r="Q1368" t="str"/>
      <x:c r="R1368" t="str"/>
      <x:c r="S1368" t="str"/>
      <x:c r="T1368" t="str"/>
      <x:c r="U1368" t="str"/>
      <x:c r="V1368" t="str"/>
      <x:c r="W1368" t="str"/>
      <x:c r="X1368" t="str"/>
      <x:c r="Y1368" t="str">
        <x:v>https://data.ny.gov/Economic-Development/Active-Corporations-Beginning-1800/n9v6-gdp6</x:v>
      </x:c>
    </x:row>
    <x:row r="1369">
      <x:c r="A1369" t="str">
        <x:v>DOS-6-028</x:v>
      </x:c>
      <x:c r="B1369" t="n">
        <x:v>6</x:v>
      </x:c>
      <x:c r="C1369" t="str">
        <x:v>1000  PENNSYLVANIA AVENUE, BROOKLYN, NY, 11207, US | 1000 PENNSYLVANIA AVENUE, BROOKLYN, NY, 11207, US</x:v>
      </x:c>
      <x:c r="D1369" t="str">
        <x:v>VP NORTH NJ EMERALD LLC</x:v>
      </x:c>
      <x:c r="E1369" t="str">
        <x:v>VP NORTH NJ EMERALD LLC</x:v>
      </x:c>
      <x:c r="F1369" t="str">
        <x:v>Address-corroborated active match</x:v>
      </x:c>
      <x:c r="G1369" t="n">
        <x:v>1</x:v>
      </x:c>
      <x:c r="H1369" t="n">
        <x:v>2</x:v>
      </x:c>
      <x:c r="I1369" t="str">
        <x:v>4273620</x:v>
      </x:c>
      <x:c r="J1369" t="str">
        <x:v>VP NORTH NJ EMERALD LLC</x:v>
      </x:c>
      <x:c r="K1369" s="55" t="n">
        <x:v>41110</x:v>
      </x:c>
      <x:c r="L1369" t="str">
        <x:v>Kings</x:v>
      </x:c>
      <x:c r="M1369" t="str">
        <x:v>New Jersey</x:v>
      </x:c>
      <x:c r="N1369" t="str">
        <x:v>FOREIGN LIMITED LIABILITY COMPANY</x:v>
      </x:c>
      <x:c r="O1369" t="str">
        <x:v>VP NORTH NJ EMERALD LLC</x:v>
      </x:c>
      <x:c r="P1369" t="str">
        <x:v>1000 PENNSYLVANIA AVENUE, BROOKLYN, NY, 11207</x:v>
      </x:c>
      <x:c r="Q1369" t="str"/>
      <x:c r="R1369" t="str"/>
      <x:c r="S1369" t="str"/>
      <x:c r="T1369" t="str"/>
      <x:c r="U1369" t="str"/>
      <x:c r="V1369" t="str"/>
      <x:c r="W1369" t="str"/>
      <x:c r="X1369" t="str"/>
      <x:c r="Y1369" t="str">
        <x:v>https://data.ny.gov/Economic-Development/Active-Corporations-Beginning-1800/n9v6-gdp6</x:v>
      </x:c>
    </x:row>
    <x:row r="1370">
      <x:c r="A1370" t="str">
        <x:v>DOS-6-029</x:v>
      </x:c>
      <x:c r="B1370" t="n">
        <x:v>6</x:v>
      </x:c>
      <x:c r="C1370" t="str">
        <x:v>138-18 101 AVENUE, JAMAICA, NY, 11435, US</x:v>
      </x:c>
      <x:c r="D1370" t="str">
        <x:v>104 74 128 ST LLC</x:v>
      </x:c>
      <x:c r="E1370" t="str">
        <x:v>104-74 128 ST LLC</x:v>
      </x:c>
      <x:c r="F1370" t="str">
        <x:v>Active name match</x:v>
      </x:c>
      <x:c r="G1370" t="n">
        <x:v>1</x:v>
      </x:c>
      <x:c r="H1370" t="n">
        <x:v>1</x:v>
      </x:c>
      <x:c r="I1370" t="str">
        <x:v>5713229</x:v>
      </x:c>
      <x:c r="J1370" t="str">
        <x:v>104-74 128 ST LLC</x:v>
      </x:c>
      <x:c r="K1370" s="55" t="n">
        <x:v>43882</x:v>
      </x:c>
      <x:c r="L1370" t="str">
        <x:v>Queens</x:v>
      </x:c>
      <x:c r="M1370" t="str">
        <x:v>New York</x:v>
      </x:c>
      <x:c r="N1370" t="str">
        <x:v>DOMESTIC LIMITED LIABILITY COMPANY</x:v>
      </x:c>
      <x:c r="O1370" t="str">
        <x:v>104-74 128 ST LLC</x:v>
      </x:c>
      <x:c r="P1370" t="str">
        <x:v>138-18 101ST AVENUE, JAMAICA, NY, 11435</x:v>
      </x:c>
      <x:c r="Q1370" t="str"/>
      <x:c r="R1370" t="str"/>
      <x:c r="S1370" t="str"/>
      <x:c r="T1370" t="str"/>
      <x:c r="U1370" t="str"/>
      <x:c r="V1370" t="str"/>
      <x:c r="W1370" t="str"/>
      <x:c r="X1370" t="str"/>
      <x:c r="Y1370" t="str">
        <x:v>https://data.ny.gov/Economic-Development/Active-Corporations-Beginning-1800/n9v6-gdp6</x:v>
      </x:c>
    </x:row>
    <x:row r="1371">
      <x:c r="A1371" t="str">
        <x:v>DOS-6-029</x:v>
      </x:c>
      <x:c r="B1371" t="n">
        <x:v>6</x:v>
      </x:c>
      <x:c r="C1371" t="str">
        <x:v>138-18 101 AVENUE, JAMAICA, NY, 11435, US</x:v>
      </x:c>
      <x:c r="D1371" t="str">
        <x:v>130 11 LLC</x:v>
      </x:c>
      <x:c r="E1371" t="str">
        <x:v>130-11 LLC</x:v>
      </x:c>
      <x:c r="F1371" t="str">
        <x:v>Address-corroborated active match</x:v>
      </x:c>
      <x:c r="G1371" t="n">
        <x:v>1</x:v>
      </x:c>
      <x:c r="H1371" t="n">
        <x:v>2</x:v>
      </x:c>
      <x:c r="I1371" t="str">
        <x:v>4911808</x:v>
      </x:c>
      <x:c r="J1371" t="str">
        <x:v>130-11 LLC</x:v>
      </x:c>
      <x:c r="K1371" s="55" t="n">
        <x:v>42443</x:v>
      </x:c>
      <x:c r="L1371" t="str">
        <x:v>Queens</x:v>
      </x:c>
      <x:c r="M1371" t="str">
        <x:v>New York</x:v>
      </x:c>
      <x:c r="N1371" t="str">
        <x:v>DOMESTIC LIMITED LIABILITY COMPANY</x:v>
      </x:c>
      <x:c r="O1371" t="str">
        <x:v>LAKHWINDER MULTANI</x:v>
      </x:c>
      <x:c r="P1371" t="str">
        <x:v>138-18 101 AVENUE, JAMAICA, NY, 11435</x:v>
      </x:c>
      <x:c r="Q1371" t="str"/>
      <x:c r="R1371" t="str"/>
      <x:c r="S1371" t="str"/>
      <x:c r="T1371" t="str"/>
      <x:c r="U1371" t="str"/>
      <x:c r="V1371" t="str"/>
      <x:c r="W1371" t="str"/>
      <x:c r="X1371" t="str"/>
      <x:c r="Y1371" t="str">
        <x:v>https://data.ny.gov/Economic-Development/Active-Corporations-Beginning-1800/n9v6-gdp6</x:v>
      </x:c>
    </x:row>
    <x:row r="1372">
      <x:c r="A1372" t="str">
        <x:v>DOS-6-029</x:v>
      </x:c>
      <x:c r="B1372" t="n">
        <x:v>6</x:v>
      </x:c>
      <x:c r="C1372" t="str">
        <x:v>138-18 101 AVENUE, JAMAICA, NY, 11435, US</x:v>
      </x:c>
      <x:c r="D1372" t="str">
        <x:v>138 18 LLC</x:v>
      </x:c>
      <x:c r="E1372" t="str">
        <x:v>138-18 LLC</x:v>
      </x:c>
      <x:c r="F1372" t="str">
        <x:v>Address-corroborated active match</x:v>
      </x:c>
      <x:c r="G1372" t="n">
        <x:v>1</x:v>
      </x:c>
      <x:c r="H1372" t="n">
        <x:v>2</x:v>
      </x:c>
      <x:c r="I1372" t="str">
        <x:v>5003277</x:v>
      </x:c>
      <x:c r="J1372" t="str">
        <x:v>138-18 LLC</x:v>
      </x:c>
      <x:c r="K1372" s="55" t="n">
        <x:v>42615</x:v>
      </x:c>
      <x:c r="L1372" t="str">
        <x:v>Albany</x:v>
      </x:c>
      <x:c r="M1372" t="str">
        <x:v>New York</x:v>
      </x:c>
      <x:c r="N1372" t="str">
        <x:v>DOMESTIC LIMITED LIABILITY COMPANY</x:v>
      </x:c>
      <x:c r="O1372" t="str">
        <x:v>LAKWINDER MULTANI</x:v>
      </x:c>
      <x:c r="P1372" t="str">
        <x:v>138-18, 101 AVENUE, JAMAICA, NY, 11435</x:v>
      </x:c>
      <x:c r="Q1372" t="str"/>
      <x:c r="R1372" t="str"/>
      <x:c r="S1372" t="str"/>
      <x:c r="T1372" t="str"/>
      <x:c r="U1372" t="str"/>
      <x:c r="V1372" t="str"/>
      <x:c r="W1372" t="str"/>
      <x:c r="X1372" t="str"/>
      <x:c r="Y1372" t="str">
        <x:v>https://data.ny.gov/Economic-Development/Active-Corporations-Beginning-1800/n9v6-gdp6</x:v>
      </x:c>
    </x:row>
    <x:row r="1373">
      <x:c r="A1373" t="str">
        <x:v>DOS-6-029</x:v>
      </x:c>
      <x:c r="B1373" t="n">
        <x:v>6</x:v>
      </x:c>
      <x:c r="C1373" t="str">
        <x:v>138-18 101 AVENUE, JAMAICA, NY, 11435, US</x:v>
      </x:c>
      <x:c r="D1373" t="str">
        <x:v>145 02 LIBERTY LLC</x:v>
      </x:c>
      <x:c r="E1373" t="str">
        <x:v>145-02 LIBERTY LLC</x:v>
      </x:c>
      <x:c r="F1373" t="str">
        <x:v>Active name match</x:v>
      </x:c>
      <x:c r="G1373" t="n">
        <x:v>1</x:v>
      </x:c>
      <x:c r="H1373" t="n">
        <x:v>1</x:v>
      </x:c>
      <x:c r="I1373" t="str">
        <x:v>7577969</x:v>
      </x:c>
      <x:c r="J1373" t="str">
        <x:v>145-02 LIBERTY LLC</x:v>
      </x:c>
      <x:c r="K1373" s="55" t="n">
        <x:v>45751</x:v>
      </x:c>
      <x:c r="L1373" t="str">
        <x:v>Queens</x:v>
      </x:c>
      <x:c r="M1373" t="str">
        <x:v>New York</x:v>
      </x:c>
      <x:c r="N1373" t="str">
        <x:v>DOMESTIC LIMITED LIABILITY COMPANY</x:v>
      </x:c>
      <x:c r="O1373" t="str">
        <x:v>145-02 LIBERTY LLC</x:v>
      </x:c>
      <x:c r="P1373" t="str">
        <x:v>138-18 101st Avenue, Queens, NY, 11435</x:v>
      </x:c>
      <x:c r="Q1373" t="str"/>
      <x:c r="R1373" t="str"/>
      <x:c r="S1373" t="str"/>
      <x:c r="T1373" t="str"/>
      <x:c r="U1373" t="str"/>
      <x:c r="V1373" t="str"/>
      <x:c r="W1373" t="str"/>
      <x:c r="X1373" t="str"/>
      <x:c r="Y1373" t="str">
        <x:v>https://data.ny.gov/Economic-Development/Active-Corporations-Beginning-1800/n9v6-gdp6</x:v>
      </x:c>
    </x:row>
    <x:row r="1374">
      <x:c r="A1374" t="str">
        <x:v>DOS-6-029</x:v>
      </x:c>
      <x:c r="B1374" t="n">
        <x:v>6</x:v>
      </x:c>
      <x:c r="C1374" t="str">
        <x:v>138-18 101 AVENUE, JAMAICA, NY, 11435, US</x:v>
      </x:c>
      <x:c r="D1374" t="str">
        <x:v>97 15 LLC</x:v>
      </x:c>
      <x:c r="E1374" t="str">
        <x:v>97-15 LLC</x:v>
      </x:c>
      <x:c r="F1374" t="str">
        <x:v>Address-corroborated active match</x:v>
      </x:c>
      <x:c r="G1374" t="n">
        <x:v>1</x:v>
      </x:c>
      <x:c r="H1374" t="n">
        <x:v>2</x:v>
      </x:c>
      <x:c r="I1374" t="str">
        <x:v>7784682</x:v>
      </x:c>
      <x:c r="J1374" t="str">
        <x:v>97-15 LLC</x:v>
      </x:c>
      <x:c r="K1374" s="55" t="n">
        <x:v>46008</x:v>
      </x:c>
      <x:c r="L1374" t="str">
        <x:v>Queens</x:v>
      </x:c>
      <x:c r="M1374" t="str">
        <x:v>New York</x:v>
      </x:c>
      <x:c r="N1374" t="str">
        <x:v>DOMESTIC LIMITED LIABILITY COMPANY</x:v>
      </x:c>
      <x:c r="O1374" t="str">
        <x:v>97-15 LLC</x:v>
      </x:c>
      <x:c r="P1374" t="str">
        <x:v>138-18 101 Avenue, Jamaica, NY, 11435</x:v>
      </x:c>
      <x:c r="Q1374" t="str"/>
      <x:c r="R1374" t="str"/>
      <x:c r="S1374" t="str"/>
      <x:c r="T1374" t="str"/>
      <x:c r="U1374" t="str"/>
      <x:c r="V1374" t="str"/>
      <x:c r="W1374" t="str"/>
      <x:c r="X1374" t="str"/>
      <x:c r="Y1374" t="str">
        <x:v>https://data.ny.gov/Economic-Development/Active-Corporations-Beginning-1800/n9v6-gdp6</x:v>
      </x:c>
    </x:row>
    <x:row r="1375">
      <x:c r="A1375" t="str">
        <x:v>DOS-6-029</x:v>
      </x:c>
      <x:c r="B1375" t="n">
        <x:v>6</x:v>
      </x:c>
      <x:c r="C1375" t="str">
        <x:v>138-18 101 AVENUE, JAMAICA, NY, 11435, US</x:v>
      </x:c>
      <x:c r="D1375" t="str">
        <x:v>J AND K PRINCETON STREET LLC</x:v>
      </x:c>
      <x:c r="E1375" t="str">
        <x:v>J &amp; K PRINCETON STREET LLC</x:v>
      </x:c>
      <x:c r="F1375" t="str">
        <x:v>Address-corroborated active match</x:v>
      </x:c>
      <x:c r="G1375" t="n">
        <x:v>1</x:v>
      </x:c>
      <x:c r="H1375" t="n">
        <x:v>2</x:v>
      </x:c>
      <x:c r="I1375" t="str">
        <x:v>4338663</x:v>
      </x:c>
      <x:c r="J1375" t="str">
        <x:v>J &amp; K PRINCETON STREET LLC</x:v>
      </x:c>
      <x:c r="K1375" s="55" t="n">
        <x:v>41271</x:v>
      </x:c>
      <x:c r="L1375" t="str">
        <x:v>Queens</x:v>
      </x:c>
      <x:c r="M1375" t="str">
        <x:v>New York</x:v>
      </x:c>
      <x:c r="N1375" t="str">
        <x:v>DOMESTIC LIMITED LIABILITY COMPANY</x:v>
      </x:c>
      <x:c r="O1375" t="str">
        <x:v>J &amp; K PRINCETON STREET LLC</x:v>
      </x:c>
      <x:c r="P1375" t="str">
        <x:v>138-18 101 AVE, JAMAICA, NY, 11435</x:v>
      </x:c>
      <x:c r="Q1375" t="str"/>
      <x:c r="R1375" t="str"/>
      <x:c r="S1375" t="str"/>
      <x:c r="T1375" t="str"/>
      <x:c r="U1375" t="str"/>
      <x:c r="V1375" t="str"/>
      <x:c r="W1375" t="str"/>
      <x:c r="X1375" t="str"/>
      <x:c r="Y1375" t="str">
        <x:v>https://data.ny.gov/Economic-Development/Active-Corporations-Beginning-1800/n9v6-gdp6</x:v>
      </x:c>
    </x:row>
    <x:row r="1376">
      <x:c r="A1376" t="str">
        <x:v>DOS-6-030</x:v>
      </x:c>
      <x:c r="B1376" t="n">
        <x:v>6</x:v>
      </x:c>
      <x:c r="C1376" t="str">
        <x:v>149-58 CROSS ISLAND PARKWAY, WHITESTONE, NY, 11357, US</x:v>
      </x:c>
      <x:c r="D1376" t="str">
        <x:v>20 02 UTOPIA PKWY LLC</x:v>
      </x:c>
      <x:c r="E1376" t="str">
        <x:v>20-02 UTOPIA PKWY LLC</x:v>
      </x:c>
      <x:c r="F1376" t="str">
        <x:v>Active name match</x:v>
      </x:c>
      <x:c r="G1376" t="n">
        <x:v>1</x:v>
      </x:c>
      <x:c r="H1376" t="n">
        <x:v>1</x:v>
      </x:c>
      <x:c r="I1376" t="str">
        <x:v>2663092</x:v>
      </x:c>
      <x:c r="J1376" t="str">
        <x:v>20-02 UTOPIA PKWY, LLC</x:v>
      </x:c>
      <x:c r="K1376" s="55" t="n">
        <x:v>37095</x:v>
      </x:c>
      <x:c r="L1376" t="str">
        <x:v>Queens</x:v>
      </x:c>
      <x:c r="M1376" t="str">
        <x:v>New York</x:v>
      </x:c>
      <x:c r="N1376" t="str">
        <x:v>DOMESTIC LIMITED LIABILITY COMPANY</x:v>
      </x:c>
      <x:c r="O1376" t="str">
        <x:v>20-02 UTOPIA PKWY, LLC</x:v>
      </x:c>
      <x:c r="P1376" t="str">
        <x:v>149-58 CROSS ISLAND PKWY, WHITESTONE, NY, 11357</x:v>
      </x:c>
      <x:c r="Q1376" t="str"/>
      <x:c r="R1376" t="str"/>
      <x:c r="S1376" t="str"/>
      <x:c r="T1376" t="str"/>
      <x:c r="U1376" t="str"/>
      <x:c r="V1376" t="str"/>
      <x:c r="W1376" t="str"/>
      <x:c r="X1376" t="str"/>
      <x:c r="Y1376" t="str">
        <x:v>https://data.ny.gov/Economic-Development/Active-Corporations-Beginning-1800/n9v6-gdp6</x:v>
      </x:c>
    </x:row>
    <x:row r="1377">
      <x:c r="A1377" t="str">
        <x:v>DOS-6-030</x:v>
      </x:c>
      <x:c r="B1377" t="n">
        <x:v>6</x:v>
      </x:c>
      <x:c r="C1377" t="str">
        <x:v>149-58 CROSS ISLAND PARKWAY, WHITESTONE, NY, 11357, US</x:v>
      </x:c>
      <x:c r="D1377" t="str">
        <x:v>27 EQUITIES LLC</x:v>
      </x:c>
      <x:c r="E1377" t="str">
        <x:v>27 EQUITIES LLC</x:v>
      </x:c>
      <x:c r="F1377" t="str">
        <x:v>Address-corroborated active match</x:v>
      </x:c>
      <x:c r="G1377" t="n">
        <x:v>1</x:v>
      </x:c>
      <x:c r="H1377" t="n">
        <x:v>2</x:v>
      </x:c>
      <x:c r="I1377" t="str">
        <x:v>4162134</x:v>
      </x:c>
      <x:c r="J1377" t="str">
        <x:v>27 EQUITIES LLC</x:v>
      </x:c>
      <x:c r="K1377" s="55" t="n">
        <x:v>40851</x:v>
      </x:c>
      <x:c r="L1377" t="str">
        <x:v>Queens</x:v>
      </x:c>
      <x:c r="M1377" t="str">
        <x:v>New York</x:v>
      </x:c>
      <x:c r="N1377" t="str">
        <x:v>DOMESTIC LIMITED LIABILITY COMPANY</x:v>
      </x:c>
      <x:c r="O1377" t="str">
        <x:v>27 EQUITIES LLC</x:v>
      </x:c>
      <x:c r="P1377" t="str">
        <x:v>149-58 CROSS ISLAND PARKWAY, WHITESTONE, NY, 11357</x:v>
      </x:c>
      <x:c r="Q1377" t="str"/>
      <x:c r="R1377" t="str"/>
      <x:c r="S1377" t="str"/>
      <x:c r="T1377" t="str"/>
      <x:c r="U1377" t="str"/>
      <x:c r="V1377" t="str"/>
      <x:c r="W1377" t="str"/>
      <x:c r="X1377" t="str"/>
      <x:c r="Y1377" t="str">
        <x:v>https://data.ny.gov/Economic-Development/Active-Corporations-Beginning-1800/n9v6-gdp6</x:v>
      </x:c>
    </x:row>
    <x:row r="1378">
      <x:c r="A1378" t="str">
        <x:v>DOS-6-030</x:v>
      </x:c>
      <x:c r="B1378" t="n">
        <x:v>6</x:v>
      </x:c>
      <x:c r="C1378" t="str">
        <x:v>149-58 CROSS ISLAND PARKWAY, WHITESTONE, NY, 11357, US</x:v>
      </x:c>
      <x:c r="D1378" t="str">
        <x:v>40 4749 67TH STREET LLC</x:v>
      </x:c>
      <x:c r="E1378" t="str">
        <x:v>40-4749 67TH STREET LLC</x:v>
      </x:c>
      <x:c r="F1378" t="str">
        <x:v>Active name match</x:v>
      </x:c>
      <x:c r="G1378" t="n">
        <x:v>1</x:v>
      </x:c>
      <x:c r="H1378" t="n">
        <x:v>0</x:v>
      </x:c>
      <x:c r="I1378" t="str">
        <x:v>5339725</x:v>
      </x:c>
      <x:c r="J1378" t="str">
        <x:v>40-4749 67TH STREET LLC</x:v>
      </x:c>
      <x:c r="K1378" s="55" t="n">
        <x:v>43231</x:v>
      </x:c>
      <x:c r="L1378" t="str">
        <x:v>Albany</x:v>
      </x:c>
      <x:c r="M1378" t="str">
        <x:v>New York</x:v>
      </x:c>
      <x:c r="N1378" t="str">
        <x:v>DOMESTIC LIMITED LIABILITY COMPANY</x:v>
      </x:c>
      <x:c r="O1378" t="str">
        <x:v>ALLSTATE CORPORATE SERVICES CORP.</x:v>
      </x:c>
      <x:c r="P1378" t="str">
        <x:v>99 WASHINGTON AVE, SUITE 1008, ALBANY, NY, 12260</x:v>
      </x:c>
      <x:c r="Q1378" t="str"/>
      <x:c r="R1378" t="str"/>
      <x:c r="S1378" t="str"/>
      <x:c r="T1378" t="str"/>
      <x:c r="U1378" t="str"/>
      <x:c r="V1378" t="str"/>
      <x:c r="W1378" t="str"/>
      <x:c r="X1378" t="str"/>
      <x:c r="Y1378" t="str">
        <x:v>https://data.ny.gov/Economic-Development/Active-Corporations-Beginning-1800/n9v6-gdp6</x:v>
      </x:c>
    </x:row>
    <x:row r="1379">
      <x:c r="A1379" t="str">
        <x:v>DOS-6-030</x:v>
      </x:c>
      <x:c r="B1379" t="n">
        <x:v>6</x:v>
      </x:c>
      <x:c r="C1379" t="str">
        <x:v>149-58 CROSS ISLAND PARKWAY, WHITESTONE, NY, 11357, US</x:v>
      </x:c>
      <x:c r="D1379" t="str">
        <x:v>ASTOR 3415 LLC</x:v>
      </x:c>
      <x:c r="E1379" t="str">
        <x:v>ASTOR 3415 LLC</x:v>
      </x:c>
      <x:c r="F1379" t="str">
        <x:v>Address-corroborated active match</x:v>
      </x:c>
      <x:c r="G1379" t="n">
        <x:v>1</x:v>
      </x:c>
      <x:c r="H1379" t="n">
        <x:v>2</x:v>
      </x:c>
      <x:c r="I1379" t="str">
        <x:v>6670045</x:v>
      </x:c>
      <x:c r="J1379" t="str">
        <x:v>ASTOR 3415 LLC</x:v>
      </x:c>
      <x:c r="K1379" s="55" t="n">
        <x:v>44911</x:v>
      </x:c>
      <x:c r="L1379" t="str">
        <x:v>Queens</x:v>
      </x:c>
      <x:c r="M1379" t="str">
        <x:v>New York</x:v>
      </x:c>
      <x:c r="N1379" t="str">
        <x:v>DOMESTIC LIMITED LIABILITY COMPANY</x:v>
      </x:c>
      <x:c r="O1379" t="str">
        <x:v>ASTOR 3415 LLC</x:v>
      </x:c>
      <x:c r="P1379" t="str">
        <x:v>149-58 cross island parkway, 2nd fl, WHITESTONE, NY, 11357</x:v>
      </x:c>
      <x:c r="Q1379" t="str"/>
      <x:c r="R1379" t="str"/>
      <x:c r="S1379" t="str"/>
      <x:c r="T1379" t="str"/>
      <x:c r="U1379" t="str"/>
      <x:c r="V1379" t="str"/>
      <x:c r="W1379" t="str"/>
      <x:c r="X1379" t="str"/>
      <x:c r="Y1379" t="str">
        <x:v>https://data.ny.gov/Economic-Development/Active-Corporations-Beginning-1800/n9v6-gdp6</x:v>
      </x:c>
    </x:row>
    <x:row r="1380">
      <x:c r="A1380" t="str">
        <x:v>DOS-6-030</x:v>
      </x:c>
      <x:c r="B1380" t="n">
        <x:v>6</x:v>
      </x:c>
      <x:c r="C1380" t="str">
        <x:v>149-58 CROSS ISLAND PARKWAY, WHITESTONE, NY, 11357, US</x:v>
      </x:c>
      <x:c r="D1380" t="str">
        <x:v>KRESCENT EQUITIES LLC</x:v>
      </x:c>
      <x:c r="E1380" t="str">
        <x:v>KRESCENT EQUITIES LLC</x:v>
      </x:c>
      <x:c r="F1380" t="str">
        <x:v>Active name match</x:v>
      </x:c>
      <x:c r="G1380" t="n">
        <x:v>1</x:v>
      </x:c>
      <x:c r="H1380" t="n">
        <x:v>0</x:v>
      </x:c>
      <x:c r="I1380" t="str">
        <x:v>5541240</x:v>
      </x:c>
      <x:c r="J1380" t="str">
        <x:v>KRESCENT EQUITIES LLC</x:v>
      </x:c>
      <x:c r="K1380" s="55" t="n">
        <x:v>43580</x:v>
      </x:c>
      <x:c r="L1380" t="str">
        <x:v>Albany</x:v>
      </x:c>
      <x:c r="M1380" t="str">
        <x:v>New York</x:v>
      </x:c>
      <x:c r="N1380" t="str">
        <x:v>DOMESTIC LIMITED LIABILITY COMPANY</x:v>
      </x:c>
      <x:c r="O1380" t="str">
        <x:v>ALLSTATE CORPORATE SERVICES</x:v>
      </x:c>
      <x:c r="P1380" t="str">
        <x:v>99 WASHINGTON AVENUE SUITE 1008, ALBANY, NY, 12260</x:v>
      </x:c>
      <x:c r="Q1380" t="str"/>
      <x:c r="R1380" t="str"/>
      <x:c r="S1380" t="str"/>
      <x:c r="T1380" t="str"/>
      <x:c r="U1380" t="str"/>
      <x:c r="V1380" t="str"/>
      <x:c r="W1380" t="str"/>
      <x:c r="X1380" t="str"/>
      <x:c r="Y1380" t="str">
        <x:v>https://data.ny.gov/Economic-Development/Active-Corporations-Beginning-1800/n9v6-gdp6</x:v>
      </x:c>
    </x:row>
    <x:row r="1381">
      <x:c r="A1381" t="str">
        <x:v>DOS-6-030</x:v>
      </x:c>
      <x:c r="B1381" t="n">
        <x:v>6</x:v>
      </x:c>
      <x:c r="C1381" t="str">
        <x:v>149-58 CROSS ISLAND PARKWAY, WHITESTONE, NY, 11357, US</x:v>
      </x:c>
      <x:c r="D1381" t="str">
        <x:v>LILI EQUITIES LLC</x:v>
      </x:c>
      <x:c r="E1381" t="str">
        <x:v>LILI EQUITIES, LLC</x:v>
      </x:c>
      <x:c r="F1381" t="str">
        <x:v>Active name match</x:v>
      </x:c>
      <x:c r="G1381" t="n">
        <x:v>1</x:v>
      </x:c>
      <x:c r="H1381" t="n">
        <x:v>1</x:v>
      </x:c>
      <x:c r="I1381" t="str">
        <x:v>3394154</x:v>
      </x:c>
      <x:c r="J1381" t="str">
        <x:v>LILI EQUITIES, LLC</x:v>
      </x:c>
      <x:c r="K1381" s="55" t="n">
        <x:v>38926</x:v>
      </x:c>
      <x:c r="L1381" t="str">
        <x:v>Queens</x:v>
      </x:c>
      <x:c r="M1381" t="str">
        <x:v>New York</x:v>
      </x:c>
      <x:c r="N1381" t="str">
        <x:v>DOMESTIC LIMITED LIABILITY COMPANY</x:v>
      </x:c>
      <x:c r="O1381" t="str">
        <x:v>LILI EQUITIES, LLC</x:v>
      </x:c>
      <x:c r="P1381" t="str">
        <x:v>149-58 CROSS ISLAND PKWY, WHITESTONE, NY, 11357</x:v>
      </x:c>
      <x:c r="Q1381" t="str"/>
      <x:c r="R1381" t="str"/>
      <x:c r="S1381" t="str"/>
      <x:c r="T1381" t="str"/>
      <x:c r="U1381" t="str"/>
      <x:c r="V1381" t="str"/>
      <x:c r="W1381" t="str"/>
      <x:c r="X1381" t="str"/>
      <x:c r="Y1381" t="str">
        <x:v>https://data.ny.gov/Economic-Development/Active-Corporations-Beginning-1800/n9v6-gdp6</x:v>
      </x:c>
    </x:row>
    <x:row r="1382">
      <x:c r="A1382" t="str">
        <x:v>DOS-6-031</x:v>
      </x:c>
      <x:c r="B1382" t="n">
        <x:v>6</x:v>
      </x:c>
      <x:c r="C1382" t="str">
        <x:v>230 CUBA HILL ROAD, HUNTINGTON, NY, 11743, US</x:v>
      </x:c>
      <x:c r="D1382" t="str">
        <x:v>1223 EAST 72ND STREET LLC</x:v>
      </x:c>
      <x:c r="E1382" t="str">
        <x:v>1223 EAST 72ND STREET LLC</x:v>
      </x:c>
      <x:c r="F1382" t="str">
        <x:v>Address-corroborated active match</x:v>
      </x:c>
      <x:c r="G1382" t="n">
        <x:v>1</x:v>
      </x:c>
      <x:c r="H1382" t="n">
        <x:v>2</x:v>
      </x:c>
      <x:c r="I1382" t="str">
        <x:v>6288171</x:v>
      </x:c>
      <x:c r="J1382" t="str">
        <x:v>1223 EAST 72ND STREET LLC</x:v>
      </x:c>
      <x:c r="K1382" s="55" t="n">
        <x:v>44463</x:v>
      </x:c>
      <x:c r="L1382" t="str">
        <x:v>Nassau</x:v>
      </x:c>
      <x:c r="M1382" t="str">
        <x:v>New York</x:v>
      </x:c>
      <x:c r="N1382" t="str">
        <x:v>DOMESTIC LIMITED LIABILITY COMPANY</x:v>
      </x:c>
      <x:c r="O1382" t="str">
        <x:v>1223 EAST 72ND STREET LLC</x:v>
      </x:c>
      <x:c r="P1382" t="str">
        <x:v>230 CUBA HILL ROAD, HUNTINGTON, NY, 11743</x:v>
      </x:c>
      <x:c r="Q1382" t="str"/>
      <x:c r="R1382" t="str"/>
      <x:c r="S1382" t="str"/>
      <x:c r="T1382" t="str"/>
      <x:c r="U1382" t="str"/>
      <x:c r="V1382" t="str"/>
      <x:c r="W1382" t="str"/>
      <x:c r="X1382" t="str"/>
      <x:c r="Y1382" t="str">
        <x:v>https://data.ny.gov/Economic-Development/Active-Corporations-Beginning-1800/n9v6-gdp6</x:v>
      </x:c>
    </x:row>
    <x:row r="1383">
      <x:c r="A1383" t="str">
        <x:v>DOS-6-031</x:v>
      </x:c>
      <x:c r="B1383" t="n">
        <x:v>6</x:v>
      </x:c>
      <x:c r="C1383" t="str">
        <x:v>230 CUBA HILL ROAD, HUNTINGTON, NY, 11743, US</x:v>
      </x:c>
      <x:c r="D1383" t="str">
        <x:v>1225 EAST 72ND STREET LLC</x:v>
      </x:c>
      <x:c r="E1383" t="str">
        <x:v>1225 EAST 72ND STREET LLC</x:v>
      </x:c>
      <x:c r="F1383" t="str">
        <x:v>Address-corroborated active match</x:v>
      </x:c>
      <x:c r="G1383" t="n">
        <x:v>1</x:v>
      </x:c>
      <x:c r="H1383" t="n">
        <x:v>2</x:v>
      </x:c>
      <x:c r="I1383" t="str">
        <x:v>6288177</x:v>
      </x:c>
      <x:c r="J1383" t="str">
        <x:v>1225 EAST 72ND STREET LLC</x:v>
      </x:c>
      <x:c r="K1383" s="55" t="n">
        <x:v>44463</x:v>
      </x:c>
      <x:c r="L1383" t="str">
        <x:v>Nassau</x:v>
      </x:c>
      <x:c r="M1383" t="str">
        <x:v>New York</x:v>
      </x:c>
      <x:c r="N1383" t="str">
        <x:v>DOMESTIC LIMITED LIABILITY COMPANY</x:v>
      </x:c>
      <x:c r="O1383" t="str">
        <x:v>1225 EAST 72ND STREET LLC</x:v>
      </x:c>
      <x:c r="P1383" t="str">
        <x:v>230 CUBA HILL ROAD, HUNTINGTON, NY, 11743</x:v>
      </x:c>
      <x:c r="Q1383" t="str"/>
      <x:c r="R1383" t="str"/>
      <x:c r="S1383" t="str"/>
      <x:c r="T1383" t="str"/>
      <x:c r="U1383" t="str"/>
      <x:c r="V1383" t="str"/>
      <x:c r="W1383" t="str"/>
      <x:c r="X1383" t="str"/>
      <x:c r="Y1383" t="str">
        <x:v>https://data.ny.gov/Economic-Development/Active-Corporations-Beginning-1800/n9v6-gdp6</x:v>
      </x:c>
    </x:row>
    <x:row r="1384">
      <x:c r="A1384" t="str">
        <x:v>DOS-6-031</x:v>
      </x:c>
      <x:c r="B1384" t="n">
        <x:v>6</x:v>
      </x:c>
      <x:c r="C1384" t="str">
        <x:v>230 CUBA HILL ROAD, HUNTINGTON, NY, 11743, US</x:v>
      </x:c>
      <x:c r="D1384" t="str">
        <x:v>2842 BRIGHAM LLC</x:v>
      </x:c>
      <x:c r="E1384" t="str">
        <x:v>2842 BRIGHAM LLC</x:v>
      </x:c>
      <x:c r="F1384" t="str">
        <x:v>No active DOS match</x:v>
      </x:c>
      <x:c r="G1384" t="n">
        <x:v>0</x:v>
      </x:c>
      <x:c r="H1384" t="n">
        <x:v>0</x:v>
      </x:c>
      <x:c r="I1384" t="str"/>
      <x:c r="J1384" t="str"/>
      <x:c r="K1384" s="55" t="str"/>
      <x:c r="L1384" t="str"/>
      <x:c r="M1384" t="str"/>
      <x:c r="N1384" t="str"/>
      <x:c r="O1384" t="str"/>
      <x:c r="P1384" t="str"/>
      <x:c r="Q1384" t="str"/>
      <x:c r="R1384" t="str"/>
      <x:c r="S1384" t="str"/>
      <x:c r="T1384" t="str"/>
      <x:c r="U1384" t="str"/>
      <x:c r="V1384" t="str"/>
      <x:c r="W1384" t="str"/>
      <x:c r="X1384" t="str"/>
      <x:c r="Y1384" t="str">
        <x:v>https://data.ny.gov/Economic-Development/Active-Corporations-Beginning-1800/n9v6-gdp6</x:v>
      </x:c>
    </x:row>
    <x:row r="1385">
      <x:c r="A1385" t="str">
        <x:v>DOS-6-031</x:v>
      </x:c>
      <x:c r="B1385" t="n">
        <x:v>6</x:v>
      </x:c>
      <x:c r="C1385" t="str">
        <x:v>230 CUBA HILL ROAD, HUNTINGTON, NY, 11743, US</x:v>
      </x:c>
      <x:c r="D1385" t="str">
        <x:v>2842 BRIGHAM STREET LLC</x:v>
      </x:c>
      <x:c r="E1385" t="str">
        <x:v>2842 BRIGHAM STREET LLC</x:v>
      </x:c>
      <x:c r="F1385" t="str">
        <x:v>Address-corroborated active match</x:v>
      </x:c>
      <x:c r="G1385" t="n">
        <x:v>1</x:v>
      </x:c>
      <x:c r="H1385" t="n">
        <x:v>2</x:v>
      </x:c>
      <x:c r="I1385" t="str">
        <x:v>6288169</x:v>
      </x:c>
      <x:c r="J1385" t="str">
        <x:v>2842 BRIGHAM STREET LLC</x:v>
      </x:c>
      <x:c r="K1385" s="55" t="n">
        <x:v>44463</x:v>
      </x:c>
      <x:c r="L1385" t="str">
        <x:v>Nassau</x:v>
      </x:c>
      <x:c r="M1385" t="str">
        <x:v>New York</x:v>
      </x:c>
      <x:c r="N1385" t="str">
        <x:v>DOMESTIC LIMITED LIABILITY COMPANY</x:v>
      </x:c>
      <x:c r="O1385" t="str">
        <x:v>2842 BRIGHAM STREET LLC</x:v>
      </x:c>
      <x:c r="P1385" t="str">
        <x:v>230 CUBA HILL ROAD, HUNTINGTON, NY, 11743</x:v>
      </x:c>
      <x:c r="Q1385" t="str"/>
      <x:c r="R1385" t="str"/>
      <x:c r="S1385" t="str"/>
      <x:c r="T1385" t="str"/>
      <x:c r="U1385" t="str"/>
      <x:c r="V1385" t="str"/>
      <x:c r="W1385" t="str"/>
      <x:c r="X1385" t="str"/>
      <x:c r="Y1385" t="str">
        <x:v>https://data.ny.gov/Economic-Development/Active-Corporations-Beginning-1800/n9v6-gdp6</x:v>
      </x:c>
    </x:row>
    <x:row r="1386">
      <x:c r="A1386" t="str">
        <x:v>DOS-6-031</x:v>
      </x:c>
      <x:c r="B1386" t="n">
        <x:v>6</x:v>
      </x:c>
      <x:c r="C1386" t="str">
        <x:v>230 CUBA HILL ROAD, HUNTINGTON, NY, 11743, US</x:v>
      </x:c>
      <x:c r="D1386" t="str">
        <x:v>AVENUE T 7520 LLC</x:v>
      </x:c>
      <x:c r="E1386" t="str">
        <x:v>AVENUE T 7520 LLC</x:v>
      </x:c>
      <x:c r="F1386" t="str">
        <x:v>Address-corroborated active match</x:v>
      </x:c>
      <x:c r="G1386" t="n">
        <x:v>1</x:v>
      </x:c>
      <x:c r="H1386" t="n">
        <x:v>2</x:v>
      </x:c>
      <x:c r="I1386" t="str">
        <x:v>7077295</x:v>
      </x:c>
      <x:c r="J1386" t="str">
        <x:v>AVENUE T 7520 LLC</x:v>
      </x:c>
      <x:c r="K1386" s="55" t="n">
        <x:v>45181</x:v>
      </x:c>
      <x:c r="L1386" t="str">
        <x:v>Albany</x:v>
      </x:c>
      <x:c r="M1386" t="str">
        <x:v>New York</x:v>
      </x:c>
      <x:c r="N1386" t="str">
        <x:v>DOMESTIC LIMITED LIABILITY COMPANY</x:v>
      </x:c>
      <x:c r="O1386" t="str">
        <x:v>AVENUE T 7520 LLC</x:v>
      </x:c>
      <x:c r="P1386" t="str">
        <x:v>230 CUBA HILL ROAD, HUNTINGTON, NY, 11743</x:v>
      </x:c>
      <x:c r="Q1386" t="str"/>
      <x:c r="R1386" t="str"/>
      <x:c r="S1386" t="str"/>
      <x:c r="T1386" t="str"/>
      <x:c r="U1386" t="str"/>
      <x:c r="V1386" t="str"/>
      <x:c r="W1386" t="str"/>
      <x:c r="X1386" t="str"/>
      <x:c r="Y1386" t="str">
        <x:v>https://data.ny.gov/Economic-Development/Active-Corporations-Beginning-1800/n9v6-gdp6</x:v>
      </x:c>
    </x:row>
    <x:row r="1387">
      <x:c r="A1387" t="str">
        <x:v>DOS-6-031</x:v>
      </x:c>
      <x:c r="B1387" t="n">
        <x:v>6</x:v>
      </x:c>
      <x:c r="C1387" t="str">
        <x:v>230 CUBA HILL ROAD, HUNTINGTON, NY, 11743, US</x:v>
      </x:c>
      <x:c r="D1387" t="str">
        <x:v>BRAGG E 72ND STREET LLC</x:v>
      </x:c>
      <x:c r="E1387" t="str">
        <x:v>BRAGG E 72ND STREET LLC</x:v>
      </x:c>
      <x:c r="F1387" t="str">
        <x:v>Address-corroborated active match</x:v>
      </x:c>
      <x:c r="G1387" t="n">
        <x:v>1</x:v>
      </x:c>
      <x:c r="H1387" t="n">
        <x:v>2</x:v>
      </x:c>
      <x:c r="I1387" t="str">
        <x:v>6530269</x:v>
      </x:c>
      <x:c r="J1387" t="str">
        <x:v>BRAGG E 72ND STREET LLC</x:v>
      </x:c>
      <x:c r="K1387" s="55" t="n">
        <x:v>44748</x:v>
      </x:c>
      <x:c r="L1387" t="str">
        <x:v>Suffolk</x:v>
      </x:c>
      <x:c r="M1387" t="str">
        <x:v>New York</x:v>
      </x:c>
      <x:c r="N1387" t="str">
        <x:v>DOMESTIC LIMITED LIABILITY COMPANY</x:v>
      </x:c>
      <x:c r="O1387" t="str">
        <x:v>BRAGG E 72ND STREET LLC</x:v>
      </x:c>
      <x:c r="P1387" t="str">
        <x:v>230 CUBA HILL ROAD, HUNTINGTON, NY, 11743</x:v>
      </x:c>
      <x:c r="Q1387" t="str"/>
      <x:c r="R1387" t="str"/>
      <x:c r="S1387" t="str"/>
      <x:c r="T1387" t="str"/>
      <x:c r="U1387" t="str"/>
      <x:c r="V1387" t="str"/>
      <x:c r="W1387" t="str"/>
      <x:c r="X1387" t="str"/>
      <x:c r="Y1387" t="str">
        <x:v>https://data.ny.gov/Economic-Development/Active-Corporations-Beginning-1800/n9v6-gdp6</x:v>
      </x:c>
    </x:row>
    <x:row r="1388">
      <x:c r="A1388" t="str">
        <x:v>DOS-6-032</x:v>
      </x:c>
      <x:c r="B1388" t="n">
        <x:v>6</x:v>
      </x:c>
      <x:c r="C1388" t="str">
        <x:v>2324  AVENUE R, BROOKLYN, NY, 11229, US | 2324 AVENUE R, BROOKLYN, NY, 11229, US</x:v>
      </x:c>
      <x:c r="D1388" t="str">
        <x:v>1424 AVE J LLC</x:v>
      </x:c>
      <x:c r="E1388" t="str">
        <x:v>1424 AVE J LLC</x:v>
      </x:c>
      <x:c r="F1388" t="str">
        <x:v>Address-corroborated active match</x:v>
      </x:c>
      <x:c r="G1388" t="n">
        <x:v>1</x:v>
      </x:c>
      <x:c r="H1388" t="n">
        <x:v>2</x:v>
      </x:c>
      <x:c r="I1388" t="str">
        <x:v>4976735</x:v>
      </x:c>
      <x:c r="J1388" t="str">
        <x:v>1424 AVE J LLC</x:v>
      </x:c>
      <x:c r="K1388" s="55" t="n">
        <x:v>42564</x:v>
      </x:c>
      <x:c r="L1388" t="str">
        <x:v>Kings</x:v>
      </x:c>
      <x:c r="M1388" t="str">
        <x:v>New York</x:v>
      </x:c>
      <x:c r="N1388" t="str">
        <x:v>DOMESTIC LIMITED LIABILITY COMPANY</x:v>
      </x:c>
      <x:c r="O1388" t="str">
        <x:v>1424 AVE J LLC</x:v>
      </x:c>
      <x:c r="P1388" t="str">
        <x:v>2324 AVENUE R, BROOKLYN, NY, 11229</x:v>
      </x:c>
      <x:c r="Q1388" t="str"/>
      <x:c r="R1388" t="str"/>
      <x:c r="S1388" t="str"/>
      <x:c r="T1388" t="str"/>
      <x:c r="U1388" t="str"/>
      <x:c r="V1388" t="str"/>
      <x:c r="W1388" t="str"/>
      <x:c r="X1388" t="str"/>
      <x:c r="Y1388" t="str">
        <x:v>https://data.ny.gov/Economic-Development/Active-Corporations-Beginning-1800/n9v6-gdp6</x:v>
      </x:c>
    </x:row>
    <x:row r="1389">
      <x:c r="A1389" t="str">
        <x:v>DOS-6-032</x:v>
      </x:c>
      <x:c r="B1389" t="n">
        <x:v>6</x:v>
      </x:c>
      <x:c r="C1389" t="str">
        <x:v>2324  AVENUE R, BROOKLYN, NY, 11229, US | 2324 AVENUE R, BROOKLYN, NY, 11229, US</x:v>
      </x:c>
      <x:c r="D1389" t="str">
        <x:v>HAT 18 LLC</x:v>
      </x:c>
      <x:c r="E1389" t="str">
        <x:v>HAT 18 LLC</x:v>
      </x:c>
      <x:c r="F1389" t="str">
        <x:v>Address-corroborated active match</x:v>
      </x:c>
      <x:c r="G1389" t="n">
        <x:v>1</x:v>
      </x:c>
      <x:c r="H1389" t="n">
        <x:v>2</x:v>
      </x:c>
      <x:c r="I1389" t="str">
        <x:v>5376329</x:v>
      </x:c>
      <x:c r="J1389" t="str">
        <x:v>HAT 18 LLC</x:v>
      </x:c>
      <x:c r="K1389" s="55" t="n">
        <x:v>43297</x:v>
      </x:c>
      <x:c r="L1389" t="str">
        <x:v>Albany</x:v>
      </x:c>
      <x:c r="M1389" t="str">
        <x:v>New York</x:v>
      </x:c>
      <x:c r="N1389" t="str">
        <x:v>DOMESTIC LIMITED LIABILITY COMPANY</x:v>
      </x:c>
      <x:c r="O1389" t="str">
        <x:v>HAT 18 LLC</x:v>
      </x:c>
      <x:c r="P1389" t="str">
        <x:v>2324 AVENUE R, BROOKLYN, NY, 11229</x:v>
      </x:c>
      <x:c r="Q1389" t="str"/>
      <x:c r="R1389" t="str"/>
      <x:c r="S1389" t="str"/>
      <x:c r="T1389" t="str"/>
      <x:c r="U1389" t="str"/>
      <x:c r="V1389" t="str"/>
      <x:c r="W1389" t="str"/>
      <x:c r="X1389" t="str"/>
      <x:c r="Y1389" t="str">
        <x:v>https://data.ny.gov/Economic-Development/Active-Corporations-Beginning-1800/n9v6-gdp6</x:v>
      </x:c>
    </x:row>
    <x:row r="1390">
      <x:c r="A1390" t="str">
        <x:v>DOS-6-032</x:v>
      </x:c>
      <x:c r="B1390" t="n">
        <x:v>6</x:v>
      </x:c>
      <x:c r="C1390" t="str">
        <x:v>2324  AVENUE R, BROOKLYN, NY, 11229, US | 2324 AVENUE R, BROOKLYN, NY, 11229, US</x:v>
      </x:c>
      <x:c r="D1390" t="str">
        <x:v>O AND W 5 LLC</x:v>
      </x:c>
      <x:c r="E1390" t="str">
        <x:v>O &amp; W 5 LLC</x:v>
      </x:c>
      <x:c r="F1390" t="str">
        <x:v>Address-corroborated active match</x:v>
      </x:c>
      <x:c r="G1390" t="n">
        <x:v>1</x:v>
      </x:c>
      <x:c r="H1390" t="n">
        <x:v>2</x:v>
      </x:c>
      <x:c r="I1390" t="str">
        <x:v>3660134</x:v>
      </x:c>
      <x:c r="J1390" t="str">
        <x:v>O &amp; W 5 LLC</x:v>
      </x:c>
      <x:c r="K1390" s="55" t="n">
        <x:v>39556</x:v>
      </x:c>
      <x:c r="L1390" t="str">
        <x:v>Kings</x:v>
      </x:c>
      <x:c r="M1390" t="str">
        <x:v>New York</x:v>
      </x:c>
      <x:c r="N1390" t="str">
        <x:v>DOMESTIC LIMITED LIABILITY COMPANY</x:v>
      </x:c>
      <x:c r="O1390" t="str">
        <x:v>O &amp; W 5 LLC</x:v>
      </x:c>
      <x:c r="P1390" t="str">
        <x:v>2324 AVENUE R, BROOKLYN, NY, 11229</x:v>
      </x:c>
      <x:c r="Q1390" t="str"/>
      <x:c r="R1390" t="str"/>
      <x:c r="S1390" t="str"/>
      <x:c r="T1390" t="str"/>
      <x:c r="U1390" t="str"/>
      <x:c r="V1390" t="str"/>
      <x:c r="W1390" t="str"/>
      <x:c r="X1390" t="str"/>
      <x:c r="Y1390" t="str">
        <x:v>https://data.ny.gov/Economic-Development/Active-Corporations-Beginning-1800/n9v6-gdp6</x:v>
      </x:c>
    </x:row>
    <x:row r="1391">
      <x:c r="A1391" t="str">
        <x:v>DOS-6-032</x:v>
      </x:c>
      <x:c r="B1391" t="n">
        <x:v>6</x:v>
      </x:c>
      <x:c r="C1391" t="str">
        <x:v>2324  AVENUE R, BROOKLYN, NY, 11229, US | 2324 AVENUE R, BROOKLYN, NY, 11229, US</x:v>
      </x:c>
      <x:c r="D1391" t="str">
        <x:v>PAL 18 LLC</x:v>
      </x:c>
      <x:c r="E1391" t="str">
        <x:v>PAL 18 LLC</x:v>
      </x:c>
      <x:c r="F1391" t="str">
        <x:v>Address-corroborated active match</x:v>
      </x:c>
      <x:c r="G1391" t="n">
        <x:v>1</x:v>
      </x:c>
      <x:c r="H1391" t="n">
        <x:v>2</x:v>
      </x:c>
      <x:c r="I1391" t="str">
        <x:v>4836421</x:v>
      </x:c>
      <x:c r="J1391" t="str">
        <x:v>PAL 18 LLC</x:v>
      </x:c>
      <x:c r="K1391" s="55" t="n">
        <x:v>42296</x:v>
      </x:c>
      <x:c r="L1391" t="str">
        <x:v>Kings</x:v>
      </x:c>
      <x:c r="M1391" t="str">
        <x:v>New York</x:v>
      </x:c>
      <x:c r="N1391" t="str">
        <x:v>DOMESTIC LIMITED LIABILITY COMPANY</x:v>
      </x:c>
      <x:c r="O1391" t="str">
        <x:v>PAL 18 LLC</x:v>
      </x:c>
      <x:c r="P1391" t="str">
        <x:v>2324 AVENUE R, BROOKLYN, NY, 11229</x:v>
      </x:c>
      <x:c r="Q1391" t="str"/>
      <x:c r="R1391" t="str"/>
      <x:c r="S1391" t="str"/>
      <x:c r="T1391" t="str"/>
      <x:c r="U1391" t="str"/>
      <x:c r="V1391" t="str"/>
      <x:c r="W1391" t="str"/>
      <x:c r="X1391" t="str"/>
      <x:c r="Y1391" t="str">
        <x:v>https://data.ny.gov/Economic-Development/Active-Corporations-Beginning-1800/n9v6-gdp6</x:v>
      </x:c>
    </x:row>
    <x:row r="1392">
      <x:c r="A1392" t="str">
        <x:v>DOS-6-032</x:v>
      </x:c>
      <x:c r="B1392" t="n">
        <x:v>6</x:v>
      </x:c>
      <x:c r="C1392" t="str">
        <x:v>2324  AVENUE R, BROOKLYN, NY, 11229, US | 2324 AVENUE R, BROOKLYN, NY, 11229, US</x:v>
      </x:c>
      <x:c r="D1392" t="str">
        <x:v>PAM 18 LLC</x:v>
      </x:c>
      <x:c r="E1392" t="str">
        <x:v>PAM 18 LLC</x:v>
      </x:c>
      <x:c r="F1392" t="str">
        <x:v>Address-corroborated active match</x:v>
      </x:c>
      <x:c r="G1392" t="n">
        <x:v>1</x:v>
      </x:c>
      <x:c r="H1392" t="n">
        <x:v>2</x:v>
      </x:c>
      <x:c r="I1392" t="str">
        <x:v>4760741</x:v>
      </x:c>
      <x:c r="J1392" t="str">
        <x:v>PAM 18 LLC</x:v>
      </x:c>
      <x:c r="K1392" s="55" t="n">
        <x:v>42143</x:v>
      </x:c>
      <x:c r="L1392" t="str">
        <x:v>Kings</x:v>
      </x:c>
      <x:c r="M1392" t="str">
        <x:v>New York</x:v>
      </x:c>
      <x:c r="N1392" t="str">
        <x:v>DOMESTIC LIMITED LIABILITY COMPANY</x:v>
      </x:c>
      <x:c r="O1392" t="str">
        <x:v>PAM 18 LLC</x:v>
      </x:c>
      <x:c r="P1392" t="str">
        <x:v>2324 AVENUE R, BROOKLYN, NY, 11229</x:v>
      </x:c>
      <x:c r="Q1392" t="str"/>
      <x:c r="R1392" t="str"/>
      <x:c r="S1392" t="str"/>
      <x:c r="T1392" t="str"/>
      <x:c r="U1392" t="str"/>
      <x:c r="V1392" t="str"/>
      <x:c r="W1392" t="str"/>
      <x:c r="X1392" t="str"/>
      <x:c r="Y1392" t="str">
        <x:v>https://data.ny.gov/Economic-Development/Active-Corporations-Beginning-1800/n9v6-gdp6</x:v>
      </x:c>
    </x:row>
    <x:row r="1393">
      <x:c r="A1393" t="str">
        <x:v>DOS-6-032</x:v>
      </x:c>
      <x:c r="B1393" t="n">
        <x:v>6</x:v>
      </x:c>
      <x:c r="C1393" t="str">
        <x:v>2324  AVENUE R, BROOKLYN, NY, 11229, US | 2324 AVENUE R, BROOKLYN, NY, 11229, US</x:v>
      </x:c>
      <x:c r="D1393" t="str">
        <x:v>PAN 18 LLC</x:v>
      </x:c>
      <x:c r="E1393" t="str">
        <x:v>PAN 18 LLC</x:v>
      </x:c>
      <x:c r="F1393" t="str">
        <x:v>Address-corroborated active match</x:v>
      </x:c>
      <x:c r="G1393" t="n">
        <x:v>1</x:v>
      </x:c>
      <x:c r="H1393" t="n">
        <x:v>2</x:v>
      </x:c>
      <x:c r="I1393" t="str">
        <x:v>3660146</x:v>
      </x:c>
      <x:c r="J1393" t="str">
        <x:v>PAN 18 LLC</x:v>
      </x:c>
      <x:c r="K1393" s="55" t="n">
        <x:v>39556</x:v>
      </x:c>
      <x:c r="L1393" t="str">
        <x:v>Kings</x:v>
      </x:c>
      <x:c r="M1393" t="str">
        <x:v>New York</x:v>
      </x:c>
      <x:c r="N1393" t="str">
        <x:v>DOMESTIC LIMITED LIABILITY COMPANY</x:v>
      </x:c>
      <x:c r="O1393" t="str">
        <x:v>PAN 18 LLC</x:v>
      </x:c>
      <x:c r="P1393" t="str">
        <x:v>2324 AVENUE R, BROOKLYN, NY, 11229</x:v>
      </x:c>
      <x:c r="Q1393" t="str"/>
      <x:c r="R1393" t="str"/>
      <x:c r="S1393" t="str"/>
      <x:c r="T1393" t="str"/>
      <x:c r="U1393" t="str"/>
      <x:c r="V1393" t="str"/>
      <x:c r="W1393" t="str"/>
      <x:c r="X1393" t="str"/>
      <x:c r="Y1393" t="str">
        <x:v>https://data.ny.gov/Economic-Development/Active-Corporations-Beginning-1800/n9v6-gdp6</x:v>
      </x:c>
    </x:row>
    <x:row r="1394">
      <x:c r="A1394" t="str">
        <x:v>DOS-6-033</x:v>
      </x:c>
      <x:c r="B1394" t="n">
        <x:v>6</x:v>
      </x:c>
      <x:c r="C1394" t="str">
        <x:v>40-06  WARREN STREET, ELMHURST, NY, 11373, US | 40-06 WARREN STREET, ELMHURST, NY, 11373, US</x:v>
      </x:c>
      <x:c r="D1394" t="str">
        <x:v>FRANCIACORTA PROPERTIES LLC</x:v>
      </x:c>
      <x:c r="E1394" t="str">
        <x:v>FRANCIACORTA PROPERTIES LLC</x:v>
      </x:c>
      <x:c r="F1394" t="str">
        <x:v>Active name match</x:v>
      </x:c>
      <x:c r="G1394" t="n">
        <x:v>1</x:v>
      </x:c>
      <x:c r="H1394" t="n">
        <x:v>0</x:v>
      </x:c>
      <x:c r="I1394" t="str">
        <x:v>2136896</x:v>
      </x:c>
      <x:c r="J1394" t="str">
        <x:v>FRANCIACORTA PROPERTIES LLC</x:v>
      </x:c>
      <x:c r="K1394" s="55" t="n">
        <x:v>35544</x:v>
      </x:c>
      <x:c r="L1394" t="str">
        <x:v>Westchester</x:v>
      </x:c>
      <x:c r="M1394" t="str">
        <x:v>New York</x:v>
      </x:c>
      <x:c r="N1394" t="str">
        <x:v>DOMESTIC LIMITED LIABILITY COMPANY</x:v>
      </x:c>
      <x:c r="O1394" t="str">
        <x:v>FRANCIACORTA PROPERTIES LLC</x:v>
      </x:c>
      <x:c r="P1394" t="str">
        <x:v>800 CENTRAL PARK AVENUE, SCARSDALE, NY, 10583</x:v>
      </x:c>
      <x:c r="Q1394" t="str"/>
      <x:c r="R1394" t="str"/>
      <x:c r="S1394" t="str"/>
      <x:c r="T1394" t="str"/>
      <x:c r="U1394" t="str"/>
      <x:c r="V1394" t="str"/>
      <x:c r="W1394" t="str"/>
      <x:c r="X1394" t="str"/>
      <x:c r="Y1394" t="str">
        <x:v>https://data.ny.gov/Economic-Development/Active-Corporations-Beginning-1800/n9v6-gdp6</x:v>
      </x:c>
    </x:row>
    <x:row r="1395">
      <x:c r="A1395" t="str">
        <x:v>DOS-6-033</x:v>
      </x:c>
      <x:c r="B1395" t="n">
        <x:v>6</x:v>
      </x:c>
      <x:c r="C1395" t="str">
        <x:v>40-06  WARREN STREET, ELMHURST, NY, 11373, US | 40-06 WARREN STREET, ELMHURST, NY, 11373, US</x:v>
      </x:c>
      <x:c r="D1395" t="str">
        <x:v>PORTIA PROPERTIES II LLC</x:v>
      </x:c>
      <x:c r="E1395" t="str">
        <x:v>PORTIA PROPERTIES II LLC</x:v>
      </x:c>
      <x:c r="F1395" t="str">
        <x:v>Active name match</x:v>
      </x:c>
      <x:c r="G1395" t="n">
        <x:v>1</x:v>
      </x:c>
      <x:c r="H1395" t="n">
        <x:v>0</x:v>
      </x:c>
      <x:c r="I1395" t="str">
        <x:v>2837384</x:v>
      </x:c>
      <x:c r="J1395" t="str">
        <x:v>PORTIA PROPERTIES II LLC</x:v>
      </x:c>
      <x:c r="K1395" s="55" t="n">
        <x:v>37581</x:v>
      </x:c>
      <x:c r="L1395" t="str">
        <x:v>Queens</x:v>
      </x:c>
      <x:c r="M1395" t="str">
        <x:v>New York</x:v>
      </x:c>
      <x:c r="N1395" t="str">
        <x:v>DOMESTIC LIMITED LIABILITY COMPANY</x:v>
      </x:c>
      <x:c r="O1395" t="str">
        <x:v>PORTIA PROPERTIES II LLC</x:v>
      </x:c>
      <x:c r="P1395" t="str">
        <x:v>72-20 ASTORIA BOULEVARD, SUITE 50, EAST ELMHURST, NY, 11370</x:v>
      </x:c>
      <x:c r="Q1395" t="str"/>
      <x:c r="R1395" t="str"/>
      <x:c r="S1395" t="str"/>
      <x:c r="T1395" t="str"/>
      <x:c r="U1395" t="str"/>
      <x:c r="V1395" t="str"/>
      <x:c r="W1395" t="str"/>
      <x:c r="X1395" t="str"/>
      <x:c r="Y1395" t="str">
        <x:v>https://data.ny.gov/Economic-Development/Active-Corporations-Beginning-1800/n9v6-gdp6</x:v>
      </x:c>
    </x:row>
    <x:row r="1396">
      <x:c r="A1396" t="str">
        <x:v>DOS-6-033</x:v>
      </x:c>
      <x:c r="B1396" t="n">
        <x:v>6</x:v>
      </x:c>
      <x:c r="C1396" t="str">
        <x:v>40-06  WARREN STREET, ELMHURST, NY, 11373, US | 40-06 WARREN STREET, ELMHURST, NY, 11373, US</x:v>
      </x:c>
      <x:c r="D1396" t="str">
        <x:v>PORTIA PROPERTIES III LLC</x:v>
      </x:c>
      <x:c r="E1396" t="str">
        <x:v>PORTIA PROPERTIES III, LLC</x:v>
      </x:c>
      <x:c r="F1396" t="str">
        <x:v>Active name match</x:v>
      </x:c>
      <x:c r="G1396" t="n">
        <x:v>1</x:v>
      </x:c>
      <x:c r="H1396" t="n">
        <x:v>0</x:v>
      </x:c>
      <x:c r="I1396" t="str">
        <x:v>2950312</x:v>
      </x:c>
      <x:c r="J1396" t="str">
        <x:v>PORTIA PROPERTIES III LLC</x:v>
      </x:c>
      <x:c r="K1396" s="55" t="n">
        <x:v>37868</x:v>
      </x:c>
      <x:c r="L1396" t="str">
        <x:v>Queens</x:v>
      </x:c>
      <x:c r="M1396" t="str">
        <x:v>New York</x:v>
      </x:c>
      <x:c r="N1396" t="str">
        <x:v>DOMESTIC LIMITED LIABILITY COMPANY</x:v>
      </x:c>
      <x:c r="O1396" t="str">
        <x:v>PORTIA PROPERTIES III LLC</x:v>
      </x:c>
      <x:c r="P1396" t="str">
        <x:v>72-20 ASTORIA BOULEVARD, SUITE 50, EAST ELMHURST, NY, 11370</x:v>
      </x:c>
      <x:c r="Q1396" t="str"/>
      <x:c r="R1396" t="str"/>
      <x:c r="S1396" t="str"/>
      <x:c r="T1396" t="str"/>
      <x:c r="U1396" t="str"/>
      <x:c r="V1396" t="str"/>
      <x:c r="W1396" t="str"/>
      <x:c r="X1396" t="str"/>
      <x:c r="Y1396" t="str">
        <x:v>https://data.ny.gov/Economic-Development/Active-Corporations-Beginning-1800/n9v6-gdp6</x:v>
      </x:c>
    </x:row>
    <x:row r="1397">
      <x:c r="A1397" t="str">
        <x:v>DOS-6-033</x:v>
      </x:c>
      <x:c r="B1397" t="n">
        <x:v>6</x:v>
      </x:c>
      <x:c r="C1397" t="str">
        <x:v>40-06  WARREN STREET, ELMHURST, NY, 11373, US | 40-06 WARREN STREET, ELMHURST, NY, 11373, US</x:v>
      </x:c>
      <x:c r="D1397" t="str">
        <x:v>PORTIA PROPERTIES LLC</x:v>
      </x:c>
      <x:c r="E1397" t="str">
        <x:v>PORTIA PROPERTIES LLC</x:v>
      </x:c>
      <x:c r="F1397" t="str">
        <x:v>Active name match</x:v>
      </x:c>
      <x:c r="G1397" t="n">
        <x:v>1</x:v>
      </x:c>
      <x:c r="H1397" t="n">
        <x:v>0</x:v>
      </x:c>
      <x:c r="I1397" t="str">
        <x:v>2174146</x:v>
      </x:c>
      <x:c r="J1397" t="str">
        <x:v>PORTIA PROPERTIES LLC</x:v>
      </x:c>
      <x:c r="K1397" s="55" t="n">
        <x:v>35664</x:v>
      </x:c>
      <x:c r="L1397" t="str">
        <x:v>Queens</x:v>
      </x:c>
      <x:c r="M1397" t="str">
        <x:v>New York</x:v>
      </x:c>
      <x:c r="N1397" t="str">
        <x:v>DOMESTIC LIMITED LIABILITY COMPANY</x:v>
      </x:c>
      <x:c r="O1397" t="str">
        <x:v>PORTIA PROPERTIES LLC</x:v>
      </x:c>
      <x:c r="P1397" t="str">
        <x:v>75-20 ASTORIA BOULEVARD, SUITE 50, EAST ELMHURST, NY, 11370</x:v>
      </x:c>
      <x:c r="Q1397" t="str"/>
      <x:c r="R1397" t="str"/>
      <x:c r="S1397" t="str"/>
      <x:c r="T1397" t="str"/>
      <x:c r="U1397" t="str"/>
      <x:c r="V1397" t="str"/>
      <x:c r="W1397" t="str"/>
      <x:c r="X1397" t="str"/>
      <x:c r="Y1397" t="str">
        <x:v>https://data.ny.gov/Economic-Development/Active-Corporations-Beginning-1800/n9v6-gdp6</x:v>
      </x:c>
    </x:row>
    <x:row r="1398">
      <x:c r="A1398" t="str">
        <x:v>DOS-6-033</x:v>
      </x:c>
      <x:c r="B1398" t="n">
        <x:v>6</x:v>
      </x:c>
      <x:c r="C1398" t="str">
        <x:v>40-06  WARREN STREET, ELMHURST, NY, 11373, US | 40-06 WARREN STREET, ELMHURST, NY, 11373, US</x:v>
      </x:c>
      <x:c r="D1398" t="str">
        <x:v>VINTAGE 82 LLC</x:v>
      </x:c>
      <x:c r="E1398" t="str">
        <x:v>VINTAGE 82 LLC</x:v>
      </x:c>
      <x:c r="F1398" t="str">
        <x:v>Active name match</x:v>
      </x:c>
      <x:c r="G1398" t="n">
        <x:v>1</x:v>
      </x:c>
      <x:c r="H1398" t="n">
        <x:v>0</x:v>
      </x:c>
      <x:c r="I1398" t="str">
        <x:v>2715150</x:v>
      </x:c>
      <x:c r="J1398" t="str">
        <x:v>VINTAGE 82 LLC</x:v>
      </x:c>
      <x:c r="K1398" s="55" t="n">
        <x:v>37260</x:v>
      </x:c>
      <x:c r="L1398" t="str">
        <x:v>Queens</x:v>
      </x:c>
      <x:c r="M1398" t="str">
        <x:v>New York</x:v>
      </x:c>
      <x:c r="N1398" t="str">
        <x:v>DOMESTIC LIMITED LIABILITY COMPANY</x:v>
      </x:c>
      <x:c r="O1398" t="str">
        <x:v>VINTAGE 82 LLC</x:v>
      </x:c>
      <x:c r="P1398" t="str">
        <x:v>75-20 ASTORIA BOULEVARD, SUITE 50, EAST ELMHURST, NY, 11370</x:v>
      </x:c>
      <x:c r="Q1398" t="str"/>
      <x:c r="R1398" t="str"/>
      <x:c r="S1398" t="str"/>
      <x:c r="T1398" t="str"/>
      <x:c r="U1398" t="str"/>
      <x:c r="V1398" t="str"/>
      <x:c r="W1398" t="str"/>
      <x:c r="X1398" t="str"/>
      <x:c r="Y1398" t="str">
        <x:v>https://data.ny.gov/Economic-Development/Active-Corporations-Beginning-1800/n9v6-gdp6</x:v>
      </x:c>
    </x:row>
    <x:row r="1399">
      <x:c r="A1399" t="str">
        <x:v>DOS-6-033</x:v>
      </x:c>
      <x:c r="B1399" t="n">
        <x:v>6</x:v>
      </x:c>
      <x:c r="C1399" t="str">
        <x:v>40-06  WARREN STREET, ELMHURST, NY, 11373, US | 40-06 WARREN STREET, ELMHURST, NY, 11373, US</x:v>
      </x:c>
      <x:c r="D1399" t="str">
        <x:v>VINTAGE FARMERS LLC</x:v>
      </x:c>
      <x:c r="E1399" t="str">
        <x:v>VINTAGE FARMERS LLC</x:v>
      </x:c>
      <x:c r="F1399" t="str">
        <x:v>Active name match</x:v>
      </x:c>
      <x:c r="G1399" t="n">
        <x:v>1</x:v>
      </x:c>
      <x:c r="H1399" t="n">
        <x:v>0</x:v>
      </x:c>
      <x:c r="I1399" t="str">
        <x:v>4029974</x:v>
      </x:c>
      <x:c r="J1399" t="str">
        <x:v>VINTAGE FARMERS LLC</x:v>
      </x:c>
      <x:c r="K1399" s="55" t="n">
        <x:v>40525</x:v>
      </x:c>
      <x:c r="L1399" t="str">
        <x:v>Queens</x:v>
      </x:c>
      <x:c r="M1399" t="str">
        <x:v>New York</x:v>
      </x:c>
      <x:c r="N1399" t="str">
        <x:v>DOMESTIC LIMITED LIABILITY COMPANY</x:v>
      </x:c>
      <x:c r="O1399" t="str">
        <x:v>VINTAGE FARMERS LLC</x:v>
      </x:c>
      <x:c r="P1399" t="str">
        <x:v>75-20 ASTORIA BOULEVARD, SUITE 50, EAST ELMHURST, NY, 11370</x:v>
      </x:c>
      <x:c r="Q1399" t="str"/>
      <x:c r="R1399" t="str"/>
      <x:c r="S1399" t="str"/>
      <x:c r="T1399" t="str"/>
      <x:c r="U1399" t="str"/>
      <x:c r="V1399" t="str"/>
      <x:c r="W1399" t="str"/>
      <x:c r="X1399" t="str"/>
      <x:c r="Y1399" t="str">
        <x:v>https://data.ny.gov/Economic-Development/Active-Corporations-Beginning-1800/n9v6-gdp6</x:v>
      </x:c>
    </x:row>
    <x:row r="1400">
      <x:c r="A1400" t="str">
        <x:v>DOS-6-034</x:v>
      </x:c>
      <x:c r="B1400" t="n">
        <x:v>6</x:v>
      </x:c>
      <x:c r="C1400" t="str">
        <x:v>5414  NEW UTRECHT AVE, BKLYN, NY, US</x:v>
      </x:c>
      <x:c r="D1400" t="str">
        <x:v>163 REALTY LLC</x:v>
      </x:c>
      <x:c r="E1400" t="str">
        <x:v>163 REALTY LLC</x:v>
      </x:c>
      <x:c r="F1400" t="str">
        <x:v>Active name match</x:v>
      </x:c>
      <x:c r="G1400" t="n">
        <x:v>1</x:v>
      </x:c>
      <x:c r="H1400" t="n">
        <x:v>0</x:v>
      </x:c>
      <x:c r="I1400" t="str">
        <x:v>1998834</x:v>
      </x:c>
      <x:c r="J1400" t="str">
        <x:v>163 REALTY LLC</x:v>
      </x:c>
      <x:c r="K1400" s="55" t="n">
        <x:v>35104</x:v>
      </x:c>
      <x:c r="L1400" t="str">
        <x:v>Kings</x:v>
      </x:c>
      <x:c r="M1400" t="str">
        <x:v>New York</x:v>
      </x:c>
      <x:c r="N1400" t="str">
        <x:v>DOMESTIC LIMITED LIABILITY COMPANY</x:v>
      </x:c>
      <x:c r="O1400" t="str">
        <x:v>163 REALTY LLC</x:v>
      </x:c>
      <x:c r="P1400" t="str">
        <x:v>747 chestnut ridge road, suite 307, SPRING VALLEY, NY, 10977</x:v>
      </x:c>
      <x:c r="Q1400" t="str"/>
      <x:c r="R1400" t="str"/>
      <x:c r="S1400" t="str"/>
      <x:c r="T1400" t="str"/>
      <x:c r="U1400" t="str"/>
      <x:c r="V1400" t="str"/>
      <x:c r="W1400" t="str"/>
      <x:c r="X1400" t="str"/>
      <x:c r="Y1400" t="str">
        <x:v>https://data.ny.gov/Economic-Development/Active-Corporations-Beginning-1800/n9v6-gdp6</x:v>
      </x:c>
    </x:row>
    <x:row r="1401">
      <x:c r="A1401" t="str">
        <x:v>DOS-6-034</x:v>
      </x:c>
      <x:c r="B1401" t="n">
        <x:v>6</x:v>
      </x:c>
      <x:c r="C1401" t="str">
        <x:v>5414  NEW UTRECHT AVE, BKLYN, NY, US</x:v>
      </x:c>
      <x:c r="D1401" t="str">
        <x:v>1705 AND 1715 CATON ASSOCIATES LLC</x:v>
      </x:c>
      <x:c r="E1401" t="str">
        <x:v>1705 &amp; 1715 CATON ASSOCIATES LLC</x:v>
      </x:c>
      <x:c r="F1401" t="str">
        <x:v>Active name match</x:v>
      </x:c>
      <x:c r="G1401" t="n">
        <x:v>1</x:v>
      </x:c>
      <x:c r="H1401" t="n">
        <x:v>0</x:v>
      </x:c>
      <x:c r="I1401" t="str">
        <x:v>1921167</x:v>
      </x:c>
      <x:c r="J1401" t="str">
        <x:v>1705 &amp; 1715 CATON ASSOCIATES LLC</x:v>
      </x:c>
      <x:c r="K1401" s="55" t="n">
        <x:v>34830</x:v>
      </x:c>
      <x:c r="L1401" t="str">
        <x:v>Kings</x:v>
      </x:c>
      <x:c r="M1401" t="str">
        <x:v>New York</x:v>
      </x:c>
      <x:c r="N1401" t="str">
        <x:v>DOMESTIC LIMITED LIABILITY COMPANY</x:v>
      </x:c>
      <x:c r="O1401" t="str">
        <x:v>SAM FARKAS</x:v>
      </x:c>
      <x:c r="P1401" t="str">
        <x:v>5414 NEW UTRECHT AVE, BROOKLYN, NY, 11219</x:v>
      </x:c>
      <x:c r="Q1401" t="str"/>
      <x:c r="R1401" t="str"/>
      <x:c r="S1401" t="str"/>
      <x:c r="T1401" t="str"/>
      <x:c r="U1401" t="str"/>
      <x:c r="V1401" t="str"/>
      <x:c r="W1401" t="str"/>
      <x:c r="X1401" t="str"/>
      <x:c r="Y1401" t="str">
        <x:v>https://data.ny.gov/Economic-Development/Active-Corporations-Beginning-1800/n9v6-gdp6</x:v>
      </x:c>
    </x:row>
    <x:row r="1402">
      <x:c r="A1402" t="str">
        <x:v>DOS-6-034</x:v>
      </x:c>
      <x:c r="B1402" t="n">
        <x:v>6</x:v>
      </x:c>
      <x:c r="C1402" t="str">
        <x:v>5414  NEW UTRECHT AVE, BKLYN, NY, US</x:v>
      </x:c>
      <x:c r="D1402" t="str">
        <x:v>LENBED REALTIES LLC</x:v>
      </x:c>
      <x:c r="E1402" t="str">
        <x:v>LENBED REALTIES LLC</x:v>
      </x:c>
      <x:c r="F1402" t="str">
        <x:v>Active name match</x:v>
      </x:c>
      <x:c r="G1402" t="n">
        <x:v>1</x:v>
      </x:c>
      <x:c r="H1402" t="n">
        <x:v>0</x:v>
      </x:c>
      <x:c r="I1402" t="str">
        <x:v>1927053</x:v>
      </x:c>
      <x:c r="J1402" t="str">
        <x:v>LENBED REALTIES LLC</x:v>
      </x:c>
      <x:c r="K1402" s="55" t="n">
        <x:v>34851</x:v>
      </x:c>
      <x:c r="L1402" t="str">
        <x:v>Kings</x:v>
      </x:c>
      <x:c r="M1402" t="str">
        <x:v>New York</x:v>
      </x:c>
      <x:c r="N1402" t="str">
        <x:v>DOMESTIC LIMITED LIABILITY COMPANY</x:v>
      </x:c>
      <x:c r="O1402" t="str">
        <x:v>LENBED REALTIES LLC</x:v>
      </x:c>
      <x:c r="P1402" t="str">
        <x:v>5414 NEW UTRECHT AVENUE, BROOKLYN, NY, 11219</x:v>
      </x:c>
      <x:c r="Q1402" t="str"/>
      <x:c r="R1402" t="str"/>
      <x:c r="S1402" t="str"/>
      <x:c r="T1402" t="str"/>
      <x:c r="U1402" t="str"/>
      <x:c r="V1402" t="str"/>
      <x:c r="W1402" t="str"/>
      <x:c r="X1402" t="str"/>
      <x:c r="Y1402" t="str">
        <x:v>https://data.ny.gov/Economic-Development/Active-Corporations-Beginning-1800/n9v6-gdp6</x:v>
      </x:c>
    </x:row>
    <x:row r="1403">
      <x:c r="A1403" t="str">
        <x:v>DOS-6-034</x:v>
      </x:c>
      <x:c r="B1403" t="n">
        <x:v>6</x:v>
      </x:c>
      <x:c r="C1403" t="str">
        <x:v>5414  NEW UTRECHT AVE, BKLYN, NY, US</x:v>
      </x:c>
      <x:c r="D1403" t="str">
        <x:v>PARKBUSH REALTIES LLC</x:v>
      </x:c>
      <x:c r="E1403" t="str">
        <x:v>PARKBUSH REALTIES LLC</x:v>
      </x:c>
      <x:c r="F1403" t="str">
        <x:v>Active name match</x:v>
      </x:c>
      <x:c r="G1403" t="n">
        <x:v>1</x:v>
      </x:c>
      <x:c r="H1403" t="n">
        <x:v>0</x:v>
      </x:c>
      <x:c r="I1403" t="str">
        <x:v>1921171</x:v>
      </x:c>
      <x:c r="J1403" t="str">
        <x:v>PARKBUSH REALTIES LLC</x:v>
      </x:c>
      <x:c r="K1403" s="55" t="n">
        <x:v>34830</x:v>
      </x:c>
      <x:c r="L1403" t="str">
        <x:v>Kings</x:v>
      </x:c>
      <x:c r="M1403" t="str">
        <x:v>New York</x:v>
      </x:c>
      <x:c r="N1403" t="str">
        <x:v>DOMESTIC LIMITED LIABILITY COMPANY</x:v>
      </x:c>
      <x:c r="O1403" t="str">
        <x:v>PARKBUSH REALTIES LLC</x:v>
      </x:c>
      <x:c r="P1403" t="str">
        <x:v>5414 NEW UTRECHT AVENUE, BROOKLYN, NY, 11219</x:v>
      </x:c>
      <x:c r="Q1403" t="str"/>
      <x:c r="R1403" t="str"/>
      <x:c r="S1403" t="str"/>
      <x:c r="T1403" t="str"/>
      <x:c r="U1403" t="str"/>
      <x:c r="V1403" t="str"/>
      <x:c r="W1403" t="str"/>
      <x:c r="X1403" t="str"/>
      <x:c r="Y1403" t="str">
        <x:v>https://data.ny.gov/Economic-Development/Active-Corporations-Beginning-1800/n9v6-gdp6</x:v>
      </x:c>
    </x:row>
    <x:row r="1404">
      <x:c r="A1404" t="str">
        <x:v>DOS-6-034</x:v>
      </x:c>
      <x:c r="B1404" t="n">
        <x:v>6</x:v>
      </x:c>
      <x:c r="C1404" t="str">
        <x:v>5414  NEW UTRECHT AVE, BKLYN, NY, US</x:v>
      </x:c>
      <x:c r="D1404" t="str">
        <x:v>PEREZ REALTIES LLC</x:v>
      </x:c>
      <x:c r="E1404" t="str">
        <x:v>PEREZ REALTIES LLC</x:v>
      </x:c>
      <x:c r="F1404" t="str">
        <x:v>Active name match</x:v>
      </x:c>
      <x:c r="G1404" t="n">
        <x:v>1</x:v>
      </x:c>
      <x:c r="H1404" t="n">
        <x:v>0</x:v>
      </x:c>
      <x:c r="I1404" t="str">
        <x:v>1921238</x:v>
      </x:c>
      <x:c r="J1404" t="str">
        <x:v>PEREZ REALTIES LLC</x:v>
      </x:c>
      <x:c r="K1404" s="55" t="n">
        <x:v>34830</x:v>
      </x:c>
      <x:c r="L1404" t="str">
        <x:v>Kings</x:v>
      </x:c>
      <x:c r="M1404" t="str">
        <x:v>New York</x:v>
      </x:c>
      <x:c r="N1404" t="str">
        <x:v>DOMESTIC LIMITED LIABILITY COMPANY</x:v>
      </x:c>
      <x:c r="O1404" t="str">
        <x:v>PEREZ REALTIES LLC</x:v>
      </x:c>
      <x:c r="P1404" t="str">
        <x:v>5414 NEW UTRECHT AVENUE, BROOKLYN, NY, 11219</x:v>
      </x:c>
      <x:c r="Q1404" t="str"/>
      <x:c r="R1404" t="str"/>
      <x:c r="S1404" t="str"/>
      <x:c r="T1404" t="str"/>
      <x:c r="U1404" t="str"/>
      <x:c r="V1404" t="str"/>
      <x:c r="W1404" t="str"/>
      <x:c r="X1404" t="str"/>
      <x:c r="Y1404" t="str">
        <x:v>https://data.ny.gov/Economic-Development/Active-Corporations-Beginning-1800/n9v6-gdp6</x:v>
      </x:c>
    </x:row>
    <x:row r="1405">
      <x:c r="A1405" t="str">
        <x:v>DOS-6-034</x:v>
      </x:c>
      <x:c r="B1405" t="n">
        <x:v>6</x:v>
      </x:c>
      <x:c r="C1405" t="str">
        <x:v>5414  NEW UTRECHT AVE, BKLYN, NY, US</x:v>
      </x:c>
      <x:c r="D1405" t="str">
        <x:v>SAF ASSOCIATES LLC</x:v>
      </x:c>
      <x:c r="E1405" t="str">
        <x:v>SAF ASSOCIATES LLC</x:v>
      </x:c>
      <x:c r="F1405" t="str">
        <x:v>Active name match</x:v>
      </x:c>
      <x:c r="G1405" t="n">
        <x:v>1</x:v>
      </x:c>
      <x:c r="H1405" t="n">
        <x:v>0</x:v>
      </x:c>
      <x:c r="I1405" t="str">
        <x:v>2505125</x:v>
      </x:c>
      <x:c r="J1405" t="str">
        <x:v>SAF ASSOCIATES LLC</x:v>
      </x:c>
      <x:c r="K1405" s="55" t="n">
        <x:v>36648</x:v>
      </x:c>
      <x:c r="L1405" t="str">
        <x:v>Kings</x:v>
      </x:c>
      <x:c r="M1405" t="str">
        <x:v>New York</x:v>
      </x:c>
      <x:c r="N1405" t="str">
        <x:v>DOMESTIC LIMITED LIABILITY COMPANY</x:v>
      </x:c>
      <x:c r="O1405" t="str">
        <x:v>SAF ASSOCIATES LLC</x:v>
      </x:c>
      <x:c r="P1405" t="str">
        <x:v>5414 NEW UTRECHT AVENUE, BROOKLYN, NY, 11219</x:v>
      </x:c>
      <x:c r="Q1405" t="str"/>
      <x:c r="R1405" t="str"/>
      <x:c r="S1405" t="str"/>
      <x:c r="T1405" t="str"/>
      <x:c r="U1405" t="str"/>
      <x:c r="V1405" t="str"/>
      <x:c r="W1405" t="str"/>
      <x:c r="X1405" t="str"/>
      <x:c r="Y1405" t="str">
        <x:v>https://data.ny.gov/Economic-Development/Active-Corporations-Beginning-1800/n9v6-gdp6</x:v>
      </x:c>
    </x:row>
    <x:row r="1406">
      <x:c r="A1406" t="str">
        <x:v>DOS-6-035</x:v>
      </x:c>
      <x:c r="B1406" t="n">
        <x:v>6</x:v>
      </x:c>
      <x:c r="C1406" t="str">
        <x:v>579 FIFTH AVENUE, 4TH FLOOR, NEW YORK, NY, 10017, US</x:v>
      </x:c>
      <x:c r="D1406" t="str">
        <x:v>123 HOPE STREET LLC</x:v>
      </x:c>
      <x:c r="E1406" t="str">
        <x:v>123 HOPE STREET LLC</x:v>
      </x:c>
      <x:c r="F1406" t="str">
        <x:v>Active name match</x:v>
      </x:c>
      <x:c r="G1406" t="n">
        <x:v>1</x:v>
      </x:c>
      <x:c r="H1406" t="n">
        <x:v>0</x:v>
      </x:c>
      <x:c r="I1406" t="str">
        <x:v>5647549</x:v>
      </x:c>
      <x:c r="J1406" t="str">
        <x:v>123 HOPE STREET LLC</x:v>
      </x:c>
      <x:c r="K1406" s="55" t="n">
        <x:v>43768</x:v>
      </x:c>
      <x:c r="L1406" t="str">
        <x:v>New York</x:v>
      </x:c>
      <x:c r="M1406" t="str">
        <x:v>Delaware</x:v>
      </x:c>
      <x:c r="N1406" t="str">
        <x:v>FOREIGN LIMITED LIABILITY COMPANY</x:v>
      </x:c>
      <x:c r="O1406" t="str">
        <x:v>C/O GOLDFARB &amp; FLEECE LLP</x:v>
      </x:c>
      <x:c r="P1406" t="str">
        <x:v>560 LEXINGTON AVENUE, ATTN: DOUGLAS GLADSTONE, ESQ., NEW YORK, NY, 10022</x:v>
      </x:c>
      <x:c r="Q1406" t="str"/>
      <x:c r="R1406" t="str"/>
      <x:c r="S1406" t="str"/>
      <x:c r="T1406" t="str"/>
      <x:c r="U1406" t="str"/>
      <x:c r="V1406" t="str"/>
      <x:c r="W1406" t="str"/>
      <x:c r="X1406" t="str"/>
      <x:c r="Y1406" t="str">
        <x:v>https://data.ny.gov/Economic-Development/Active-Corporations-Beginning-1800/n9v6-gdp6</x:v>
      </x:c>
    </x:row>
    <x:row r="1407">
      <x:c r="A1407" t="str">
        <x:v>DOS-6-035</x:v>
      </x:c>
      <x:c r="B1407" t="n">
        <x:v>6</x:v>
      </x:c>
      <x:c r="C1407" t="str">
        <x:v>579 FIFTH AVENUE, 4TH FLOOR, NEW YORK, NY, 10017, US</x:v>
      </x:c>
      <x:c r="D1407" t="str">
        <x:v>124 SEVENTH AVE LLC</x:v>
      </x:c>
      <x:c r="E1407" t="str">
        <x:v>124 SEVENTH AVE LLC</x:v>
      </x:c>
      <x:c r="F1407" t="str">
        <x:v>Active name match</x:v>
      </x:c>
      <x:c r="G1407" t="n">
        <x:v>1</x:v>
      </x:c>
      <x:c r="H1407" t="n">
        <x:v>0</x:v>
      </x:c>
      <x:c r="I1407" t="str">
        <x:v>5994675</x:v>
      </x:c>
      <x:c r="J1407" t="str">
        <x:v>124 SEVENTH AVE LLC</x:v>
      </x:c>
      <x:c r="K1407" s="55" t="n">
        <x:v>44307</x:v>
      </x:c>
      <x:c r="L1407" t="str">
        <x:v>New York</x:v>
      </x:c>
      <x:c r="M1407" t="str">
        <x:v>New York</x:v>
      </x:c>
      <x:c r="N1407" t="str">
        <x:v>DOMESTIC LIMITED LIABILITY COMPANY</x:v>
      </x:c>
      <x:c r="O1407" t="str">
        <x:v>DOUGLAS GLADSTONE, ESQ., GOLDFARB &amp; FLEECE LLP</x:v>
      </x:c>
      <x:c r="P1407" t="str">
        <x:v>560 LEXINGTON AVENUE, NEW YORK, NY, 10022</x:v>
      </x:c>
      <x:c r="Q1407" t="str"/>
      <x:c r="R1407" t="str"/>
      <x:c r="S1407" t="str"/>
      <x:c r="T1407" t="str"/>
      <x:c r="U1407" t="str"/>
      <x:c r="V1407" t="str"/>
      <x:c r="W1407" t="str"/>
      <x:c r="X1407" t="str"/>
      <x:c r="Y1407" t="str">
        <x:v>https://data.ny.gov/Economic-Development/Active-Corporations-Beginning-1800/n9v6-gdp6</x:v>
      </x:c>
    </x:row>
    <x:row r="1408">
      <x:c r="A1408" t="str">
        <x:v>DOS-6-035</x:v>
      </x:c>
      <x:c r="B1408" t="n">
        <x:v>6</x:v>
      </x:c>
      <x:c r="C1408" t="str">
        <x:v>579 FIFTH AVENUE, 4TH FLOOR, NEW YORK, NY, 10017, US</x:v>
      </x:c>
      <x:c r="D1408" t="str">
        <x:v>186 188 FIRST AVE LLC</x:v>
      </x:c>
      <x:c r="E1408" t="str">
        <x:v>186-188 FIRST AVE LLC</x:v>
      </x:c>
      <x:c r="F1408" t="str">
        <x:v>Active name match</x:v>
      </x:c>
      <x:c r="G1408" t="n">
        <x:v>1</x:v>
      </x:c>
      <x:c r="H1408" t="n">
        <x:v>0</x:v>
      </x:c>
      <x:c r="I1408" t="str">
        <x:v>5239009</x:v>
      </x:c>
      <x:c r="J1408" t="str">
        <x:v>186-188 FIRST AVE LLC</x:v>
      </x:c>
      <x:c r="K1408" s="55" t="n">
        <x:v>43060</x:v>
      </x:c>
      <x:c r="L1408" t="str">
        <x:v>New York</x:v>
      </x:c>
      <x:c r="M1408" t="str">
        <x:v>New York</x:v>
      </x:c>
      <x:c r="N1408" t="str">
        <x:v>DOMESTIC LIMITED LIABILITY COMPANY</x:v>
      </x:c>
      <x:c r="O1408" t="str">
        <x:v>DOUGLAS GLADSTONE, ESQ.</x:v>
      </x:c>
      <x:c r="P1408" t="str">
        <x:v>GOLDFARB &amp; FLEECE LLP, 560 LEXINGTON AVENUE, NEW YORK, NY, 10022</x:v>
      </x:c>
      <x:c r="Q1408" t="str"/>
      <x:c r="R1408" t="str"/>
      <x:c r="S1408" t="str"/>
      <x:c r="T1408" t="str"/>
      <x:c r="U1408" t="str"/>
      <x:c r="V1408" t="str"/>
      <x:c r="W1408" t="str"/>
      <x:c r="X1408" t="str"/>
      <x:c r="Y1408" t="str">
        <x:v>https://data.ny.gov/Economic-Development/Active-Corporations-Beginning-1800/n9v6-gdp6</x:v>
      </x:c>
    </x:row>
    <x:row r="1409">
      <x:c r="A1409" t="str">
        <x:v>DOS-6-035</x:v>
      </x:c>
      <x:c r="B1409" t="n">
        <x:v>6</x:v>
      </x:c>
      <x:c r="C1409" t="str">
        <x:v>579 FIFTH AVENUE, 4TH FLOOR, NEW YORK, NY, 10017, US</x:v>
      </x:c>
      <x:c r="D1409" t="str">
        <x:v>202 NINTH AVE LLC</x:v>
      </x:c>
      <x:c r="E1409" t="str">
        <x:v>202 NINTH AVE LLC</x:v>
      </x:c>
      <x:c r="F1409" t="str">
        <x:v>Active name match</x:v>
      </x:c>
      <x:c r="G1409" t="n">
        <x:v>1</x:v>
      </x:c>
      <x:c r="H1409" t="n">
        <x:v>0</x:v>
      </x:c>
      <x:c r="I1409" t="str">
        <x:v>5601377</x:v>
      </x:c>
      <x:c r="J1409" t="str">
        <x:v>202 NINTH AVE LLC</x:v>
      </x:c>
      <x:c r="K1409" s="55" t="n">
        <x:v>43685</x:v>
      </x:c>
      <x:c r="L1409" t="str">
        <x:v>New York</x:v>
      </x:c>
      <x:c r="M1409" t="str">
        <x:v>Delaware</x:v>
      </x:c>
      <x:c r="N1409" t="str">
        <x:v>FOREIGN LIMITED LIABILITY COMPANY</x:v>
      </x:c>
      <x:c r="O1409" t="str">
        <x:v>C/O GOLDFARB &amp; FLEECE LLP</x:v>
      </x:c>
      <x:c r="P1409" t="str">
        <x:v>560 LEXINGTON AVENUE, ATTN: DOUGLAS GLADSTONE, ESQ., NEW YORK, NY, 10022</x:v>
      </x:c>
      <x:c r="Q1409" t="str"/>
      <x:c r="R1409" t="str"/>
      <x:c r="S1409" t="str"/>
      <x:c r="T1409" t="str"/>
      <x:c r="U1409" t="str"/>
      <x:c r="V1409" t="str"/>
      <x:c r="W1409" t="str"/>
      <x:c r="X1409" t="str"/>
      <x:c r="Y1409" t="str">
        <x:v>https://data.ny.gov/Economic-Development/Active-Corporations-Beginning-1800/n9v6-gdp6</x:v>
      </x:c>
    </x:row>
    <x:row r="1410">
      <x:c r="A1410" t="str">
        <x:v>DOS-6-035</x:v>
      </x:c>
      <x:c r="B1410" t="n">
        <x:v>6</x:v>
      </x:c>
      <x:c r="C1410" t="str">
        <x:v>579 FIFTH AVENUE, 4TH FLOOR, NEW YORK, NY, 10017, US</x:v>
      </x:c>
      <x:c r="D1410" t="str">
        <x:v>345 E 64TH ST LLC</x:v>
      </x:c>
      <x:c r="E1410" t="str">
        <x:v>345 E 64TH ST LLC</x:v>
      </x:c>
      <x:c r="F1410" t="str">
        <x:v>Active name match</x:v>
      </x:c>
      <x:c r="G1410" t="n">
        <x:v>1</x:v>
      </x:c>
      <x:c r="H1410" t="n">
        <x:v>0</x:v>
      </x:c>
      <x:c r="I1410" t="str">
        <x:v>7488568</x:v>
      </x:c>
      <x:c r="J1410" t="str">
        <x:v>345 E 64TH ST LLC</x:v>
      </x:c>
      <x:c r="K1410" s="55" t="n">
        <x:v>45643</x:v>
      </x:c>
      <x:c r="L1410" t="str">
        <x:v>New York</x:v>
      </x:c>
      <x:c r="M1410" t="str">
        <x:v>Delaware</x:v>
      </x:c>
      <x:c r="N1410" t="str">
        <x:v>FOREIGN LIMITED LIABILITY COMPANY</x:v>
      </x:c>
      <x:c r="O1410" t="str">
        <x:v>c/o goldfarb &amp; fleece llp</x:v>
      </x:c>
      <x:c r="P1410" t="str">
        <x:v>560 lexington avenue, attn: douglas gladstone, esq., NEW YORK, NY, 10022</x:v>
      </x:c>
      <x:c r="Q1410" t="str"/>
      <x:c r="R1410" t="str"/>
      <x:c r="S1410" t="str"/>
      <x:c r="T1410" t="str"/>
      <x:c r="U1410" t="str"/>
      <x:c r="V1410" t="str"/>
      <x:c r="W1410" t="str"/>
      <x:c r="X1410" t="str"/>
      <x:c r="Y1410" t="str">
        <x:v>https://data.ny.gov/Economic-Development/Active-Corporations-Beginning-1800/n9v6-gdp6</x:v>
      </x:c>
    </x:row>
    <x:row r="1411">
      <x:c r="A1411" t="str">
        <x:v>DOS-6-035</x:v>
      </x:c>
      <x:c r="B1411" t="n">
        <x:v>6</x:v>
      </x:c>
      <x:c r="C1411" t="str">
        <x:v>579 FIFTH AVENUE, 4TH FLOOR, NEW YORK, NY, 10017, US</x:v>
      </x:c>
      <x:c r="D1411" t="str">
        <x:v>592 598 NINTH AVE LLC</x:v>
      </x:c>
      <x:c r="E1411" t="str">
        <x:v>592-598 NINTH AVE LLC</x:v>
      </x:c>
      <x:c r="F1411" t="str">
        <x:v>Active name match</x:v>
      </x:c>
      <x:c r="G1411" t="n">
        <x:v>1</x:v>
      </x:c>
      <x:c r="H1411" t="n">
        <x:v>0</x:v>
      </x:c>
      <x:c r="I1411" t="str">
        <x:v>5478373</x:v>
      </x:c>
      <x:c r="J1411" t="str">
        <x:v>592-598 NINTH AVE LLC</x:v>
      </x:c>
      <x:c r="K1411" s="55" t="n">
        <x:v>43483</x:v>
      </x:c>
      <x:c r="L1411" t="str">
        <x:v>New York</x:v>
      </x:c>
      <x:c r="M1411" t="str">
        <x:v>New York</x:v>
      </x:c>
      <x:c r="N1411" t="str">
        <x:v>DOMESTIC LIMITED LIABILITY COMPANY</x:v>
      </x:c>
      <x:c r="O1411" t="str">
        <x:v>DOUGLAS GLADSTONE, ESQ.</x:v>
      </x:c>
      <x:c r="P1411" t="str">
        <x:v>GOLDFARB &amp; FLEECE LLP, 560 LEXINGTON AVENUE, NEW YORK, NY, 10022</x:v>
      </x:c>
      <x:c r="Q1411" t="str"/>
      <x:c r="R1411" t="str"/>
      <x:c r="S1411" t="str"/>
      <x:c r="T1411" t="str"/>
      <x:c r="U1411" t="str"/>
      <x:c r="V1411" t="str"/>
      <x:c r="W1411" t="str"/>
      <x:c r="X1411" t="str"/>
      <x:c r="Y1411" t="str">
        <x:v>https://data.ny.gov/Economic-Development/Active-Corporations-Beginning-1800/n9v6-gdp6</x:v>
      </x:c>
    </x:row>
    <x:row r="1412">
      <x:c r="A1412" t="str">
        <x:v>DOS-6-036</x:v>
      </x:c>
      <x:c r="B1412" t="n">
        <x:v>6</x:v>
      </x:c>
      <x:c r="C1412" t="str">
        <x:v>75-20 VLEIGH PLACE, FLUSHING, NY, 11367, US</x:v>
      </x:c>
      <x:c r="D1412" t="str">
        <x:v>DG 158 ROGERS LLC</x:v>
      </x:c>
      <x:c r="E1412" t="str">
        <x:v>DG 158 ROGERS LLC</x:v>
      </x:c>
      <x:c r="F1412" t="str">
        <x:v>Active name match</x:v>
      </x:c>
      <x:c r="G1412" t="n">
        <x:v>1</x:v>
      </x:c>
      <x:c r="H1412" t="n">
        <x:v>0</x:v>
      </x:c>
      <x:c r="I1412" t="str">
        <x:v>4410024</x:v>
      </x:c>
      <x:c r="J1412" t="str">
        <x:v>DG 158 ROGERS LLC</x:v>
      </x:c>
      <x:c r="K1412" s="55" t="n">
        <x:v>41423</x:v>
      </x:c>
      <x:c r="L1412" t="str">
        <x:v>Queens</x:v>
      </x:c>
      <x:c r="M1412" t="str">
        <x:v>New York</x:v>
      </x:c>
      <x:c r="N1412" t="str">
        <x:v>DOMESTIC LIMITED LIABILITY COMPANY</x:v>
      </x:c>
      <x:c r="O1412" t="str">
        <x:v>DG 158 ROGERS LLC</x:v>
      </x:c>
      <x:c r="P1412" t="str">
        <x:v>237 HANCOCK ST, SUITE 1L, BROOKLYN, NY, 11216</x:v>
      </x:c>
      <x:c r="Q1412" t="str"/>
      <x:c r="R1412" t="str"/>
      <x:c r="S1412" t="str"/>
      <x:c r="T1412" t="str"/>
      <x:c r="U1412" t="str"/>
      <x:c r="V1412" t="str"/>
      <x:c r="W1412" t="str"/>
      <x:c r="X1412" t="str"/>
      <x:c r="Y1412" t="str">
        <x:v>https://data.ny.gov/Economic-Development/Active-Corporations-Beginning-1800/n9v6-gdp6</x:v>
      </x:c>
    </x:row>
    <x:row r="1413">
      <x:c r="A1413" t="str">
        <x:v>DOS-6-036</x:v>
      </x:c>
      <x:c r="B1413" t="n">
        <x:v>6</x:v>
      </x:c>
      <x:c r="C1413" t="str">
        <x:v>75-20 VLEIGH PLACE, FLUSHING, NY, 11367, US</x:v>
      </x:c>
      <x:c r="D1413" t="str">
        <x:v>DG 401 CHAUNCY LLC</x:v>
      </x:c>
      <x:c r="E1413" t="str">
        <x:v>DG 401 CHAUNCY LLC</x:v>
      </x:c>
      <x:c r="F1413" t="str">
        <x:v>No active DOS match</x:v>
      </x:c>
      <x:c r="G1413" t="n">
        <x:v>0</x:v>
      </x:c>
      <x:c r="H1413" t="n">
        <x:v>0</x:v>
      </x:c>
      <x:c r="I1413" t="str"/>
      <x:c r="J1413" t="str"/>
      <x:c r="K1413" s="55" t="str"/>
      <x:c r="L1413" t="str"/>
      <x:c r="M1413" t="str"/>
      <x:c r="N1413" t="str"/>
      <x:c r="O1413" t="str"/>
      <x:c r="P1413" t="str"/>
      <x:c r="Q1413" t="str"/>
      <x:c r="R1413" t="str"/>
      <x:c r="S1413" t="str"/>
      <x:c r="T1413" t="str"/>
      <x:c r="U1413" t="str"/>
      <x:c r="V1413" t="str"/>
      <x:c r="W1413" t="str"/>
      <x:c r="X1413" t="str"/>
      <x:c r="Y1413" t="str">
        <x:v>https://data.ny.gov/Economic-Development/Active-Corporations-Beginning-1800/n9v6-gdp6</x:v>
      </x:c>
    </x:row>
    <x:row r="1414">
      <x:c r="A1414" t="str">
        <x:v>DOS-6-036</x:v>
      </x:c>
      <x:c r="B1414" t="n">
        <x:v>6</x:v>
      </x:c>
      <x:c r="C1414" t="str">
        <x:v>75-20 VLEIGH PLACE, FLUSHING, NY, 11367, US</x:v>
      </x:c>
      <x:c r="D1414" t="str">
        <x:v>HADAS ASSOCIATES LLC</x:v>
      </x:c>
      <x:c r="E1414" t="str">
        <x:v>HADAS ASSOCIATES, LLC</x:v>
      </x:c>
      <x:c r="F1414" t="str">
        <x:v>Address-corroborated active match</x:v>
      </x:c>
      <x:c r="G1414" t="n">
        <x:v>1</x:v>
      </x:c>
      <x:c r="H1414" t="n">
        <x:v>2</x:v>
      </x:c>
      <x:c r="I1414" t="str">
        <x:v>2662669</x:v>
      </x:c>
      <x:c r="J1414" t="str">
        <x:v>HADAS ASSOCIATES, LLC</x:v>
      </x:c>
      <x:c r="K1414" s="55" t="n">
        <x:v>37092</x:v>
      </x:c>
      <x:c r="L1414" t="str">
        <x:v>Nassau</x:v>
      </x:c>
      <x:c r="M1414" t="str">
        <x:v>New York</x:v>
      </x:c>
      <x:c r="N1414" t="str">
        <x:v>DOMESTIC LIMITED LIABILITY COMPANY</x:v>
      </x:c>
      <x:c r="O1414" t="str">
        <x:v>HADAS ASSOCIATES, LLC</x:v>
      </x:c>
      <x:c r="P1414" t="str">
        <x:v>75-20 VLEIGH PLACE, FLUSHING, NY, 11367</x:v>
      </x:c>
      <x:c r="Q1414" t="str"/>
      <x:c r="R1414" t="str"/>
      <x:c r="S1414" t="str"/>
      <x:c r="T1414" t="str"/>
      <x:c r="U1414" t="str"/>
      <x:c r="V1414" t="str"/>
      <x:c r="W1414" t="str"/>
      <x:c r="X1414" t="str"/>
      <x:c r="Y1414" t="str">
        <x:v>https://data.ny.gov/Economic-Development/Active-Corporations-Beginning-1800/n9v6-gdp6</x:v>
      </x:c>
    </x:row>
    <x:row r="1415">
      <x:c r="A1415" t="str">
        <x:v>DOS-6-036</x:v>
      </x:c>
      <x:c r="B1415" t="n">
        <x:v>6</x:v>
      </x:c>
      <x:c r="C1415" t="str">
        <x:v>75-20 VLEIGH PLACE, FLUSHING, NY, 11367, US</x:v>
      </x:c>
      <x:c r="D1415" t="str">
        <x:v>KCR LLC</x:v>
      </x:c>
      <x:c r="E1415" t="str">
        <x:v>KCR LLC</x:v>
      </x:c>
      <x:c r="F1415" t="str">
        <x:v>Address-corroborated active match</x:v>
      </x:c>
      <x:c r="G1415" t="n">
        <x:v>1</x:v>
      </x:c>
      <x:c r="H1415" t="n">
        <x:v>2</x:v>
      </x:c>
      <x:c r="I1415" t="str">
        <x:v>2781180</x:v>
      </x:c>
      <x:c r="J1415" t="str">
        <x:v>KCR LLC</x:v>
      </x:c>
      <x:c r="K1415" s="55" t="n">
        <x:v>37427</x:v>
      </x:c>
      <x:c r="L1415" t="str">
        <x:v>Nassau</x:v>
      </x:c>
      <x:c r="M1415" t="str">
        <x:v>New York</x:v>
      </x:c>
      <x:c r="N1415" t="str">
        <x:v>DOMESTIC LIMITED LIABILITY COMPANY</x:v>
      </x:c>
      <x:c r="O1415" t="str">
        <x:v>KCR LLC</x:v>
      </x:c>
      <x:c r="P1415" t="str">
        <x:v>75-20 VLEIGH PLACE, FLUSHING, NY, 11367</x:v>
      </x:c>
      <x:c r="Q1415" t="str"/>
      <x:c r="R1415" t="str"/>
      <x:c r="S1415" t="str"/>
      <x:c r="T1415" t="str"/>
      <x:c r="U1415" t="str"/>
      <x:c r="V1415" t="str"/>
      <x:c r="W1415" t="str"/>
      <x:c r="X1415" t="str"/>
      <x:c r="Y1415" t="str">
        <x:v>https://data.ny.gov/Economic-Development/Active-Corporations-Beginning-1800/n9v6-gdp6</x:v>
      </x:c>
    </x:row>
    <x:row r="1416">
      <x:c r="A1416" t="str">
        <x:v>DOS-6-036</x:v>
      </x:c>
      <x:c r="B1416" t="n">
        <x:v>6</x:v>
      </x:c>
      <x:c r="C1416" t="str">
        <x:v>75-20 VLEIGH PLACE, FLUSHING, NY, 11367, US</x:v>
      </x:c>
      <x:c r="D1416" t="str">
        <x:v>ROSENTHAL DEVELOPERS LLC</x:v>
      </x:c>
      <x:c r="E1416" t="str">
        <x:v>ROSENTHAL DEVELOPERS LLC</x:v>
      </x:c>
      <x:c r="F1416" t="str">
        <x:v>Address-corroborated active match</x:v>
      </x:c>
      <x:c r="G1416" t="n">
        <x:v>1</x:v>
      </x:c>
      <x:c r="H1416" t="n">
        <x:v>2</x:v>
      </x:c>
      <x:c r="I1416" t="str">
        <x:v>3432859</x:v>
      </x:c>
      <x:c r="J1416" t="str">
        <x:v>ROSENTHAL DEVELOPERS LLC</x:v>
      </x:c>
      <x:c r="K1416" s="55" t="n">
        <x:v>39024</x:v>
      </x:c>
      <x:c r="L1416" t="str">
        <x:v>Nassau</x:v>
      </x:c>
      <x:c r="M1416" t="str">
        <x:v>New York</x:v>
      </x:c>
      <x:c r="N1416" t="str">
        <x:v>DOMESTIC LIMITED LIABILITY COMPANY</x:v>
      </x:c>
      <x:c r="O1416" t="str">
        <x:v>ROSENTHAL DEVELOPERS LLC</x:v>
      </x:c>
      <x:c r="P1416" t="str">
        <x:v>75-20 VLEIGH PLACE, FLUSHING, NY, 11367</x:v>
      </x:c>
      <x:c r="Q1416" t="str"/>
      <x:c r="R1416" t="str"/>
      <x:c r="S1416" t="str"/>
      <x:c r="T1416" t="str"/>
      <x:c r="U1416" t="str"/>
      <x:c r="V1416" t="str"/>
      <x:c r="W1416" t="str"/>
      <x:c r="X1416" t="str"/>
      <x:c r="Y1416" t="str">
        <x:v>https://data.ny.gov/Economic-Development/Active-Corporations-Beginning-1800/n9v6-gdp6</x:v>
      </x:c>
    </x:row>
    <x:row r="1417">
      <x:c r="A1417" t="str">
        <x:v>DOS-6-036</x:v>
      </x:c>
      <x:c r="B1417" t="n">
        <x:v>6</x:v>
      </x:c>
      <x:c r="C1417" t="str">
        <x:v>75-20 VLEIGH PLACE, FLUSHING, NY, 11367, US</x:v>
      </x:c>
      <x:c r="D1417" t="str">
        <x:v>WATJEAN LLC</x:v>
      </x:c>
      <x:c r="E1417" t="str">
        <x:v>WATJEAN, LLC</x:v>
      </x:c>
      <x:c r="F1417" t="str">
        <x:v>Address-corroborated active match</x:v>
      </x:c>
      <x:c r="G1417" t="n">
        <x:v>1</x:v>
      </x:c>
      <x:c r="H1417" t="n">
        <x:v>2</x:v>
      </x:c>
      <x:c r="I1417" t="str">
        <x:v>2841699</x:v>
      </x:c>
      <x:c r="J1417" t="str">
        <x:v>WATJEAN LLC</x:v>
      </x:c>
      <x:c r="K1417" s="55" t="n">
        <x:v>37594</x:v>
      </x:c>
      <x:c r="L1417" t="str">
        <x:v>Nassau</x:v>
      </x:c>
      <x:c r="M1417" t="str">
        <x:v>New York</x:v>
      </x:c>
      <x:c r="N1417" t="str">
        <x:v>DOMESTIC LIMITED LIABILITY COMPANY</x:v>
      </x:c>
      <x:c r="O1417" t="str">
        <x:v>WATJEAN LLC</x:v>
      </x:c>
      <x:c r="P1417" t="str">
        <x:v>75-20 VLEIGH PLACE, FLUSHING, NY, 11367</x:v>
      </x:c>
      <x:c r="Q1417" t="str"/>
      <x:c r="R1417" t="str"/>
      <x:c r="S1417" t="str"/>
      <x:c r="T1417" t="str"/>
      <x:c r="U1417" t="str"/>
      <x:c r="V1417" t="str"/>
      <x:c r="W1417" t="str"/>
      <x:c r="X1417" t="str"/>
      <x:c r="Y1417" t="str">
        <x:v>https://data.ny.gov/Economic-Development/Active-Corporations-Beginning-1800/n9v6-gdp6</x:v>
      </x:c>
    </x:row>
    <x:row r="1418">
      <x:c r="A1418" t="str">
        <x:v>DOS-6-037</x:v>
      </x:c>
      <x:c r="B1418" t="n">
        <x:v>6</x:v>
      </x:c>
      <x:c r="C1418" t="str">
        <x:v>87-71 LEFFERTS BOULEVARD, RICHMOND HILL, NY, 11418, US</x:v>
      </x:c>
      <x:c r="D1418" t="str">
        <x:v>80 16 LIBERTY AVENUE LLC</x:v>
      </x:c>
      <x:c r="E1418" t="str">
        <x:v>80-16 LIBERTY AVENUE LLC</x:v>
      </x:c>
      <x:c r="F1418" t="str">
        <x:v>Address-corroborated active match</x:v>
      </x:c>
      <x:c r="G1418" t="n">
        <x:v>1</x:v>
      </x:c>
      <x:c r="H1418" t="n">
        <x:v>2</x:v>
      </x:c>
      <x:c r="I1418" t="str">
        <x:v>4703975</x:v>
      </x:c>
      <x:c r="J1418" t="str">
        <x:v>80-16 LIBERTY AVENUE LLC</x:v>
      </x:c>
      <x:c r="K1418" s="55" t="n">
        <x:v>42038</x:v>
      </x:c>
      <x:c r="L1418" t="str">
        <x:v>Queens</x:v>
      </x:c>
      <x:c r="M1418" t="str">
        <x:v>New York</x:v>
      </x:c>
      <x:c r="N1418" t="str">
        <x:v>DOMESTIC LIMITED LIABILITY COMPANY</x:v>
      </x:c>
      <x:c r="O1418" t="str">
        <x:v>80-16 LIBERTY AVENUE LLC</x:v>
      </x:c>
      <x:c r="P1418" t="str">
        <x:v>87-71 LEFFERTS BOULEVARD, RICHMOND HILL, NY, 11418</x:v>
      </x:c>
      <x:c r="Q1418" t="str"/>
      <x:c r="R1418" t="str"/>
      <x:c r="S1418" t="str"/>
      <x:c r="T1418" t="str"/>
      <x:c r="U1418" t="str"/>
      <x:c r="V1418" t="str"/>
      <x:c r="W1418" t="str"/>
      <x:c r="X1418" t="str"/>
      <x:c r="Y1418" t="str">
        <x:v>https://data.ny.gov/Economic-Development/Active-Corporations-Beginning-1800/n9v6-gdp6</x:v>
      </x:c>
    </x:row>
    <x:row r="1419">
      <x:c r="A1419" t="str">
        <x:v>DOS-6-037</x:v>
      </x:c>
      <x:c r="B1419" t="n">
        <x:v>6</x:v>
      </x:c>
      <x:c r="C1419" t="str">
        <x:v>87-71 LEFFERTS BOULEVARD, RICHMOND HILL, NY, 11418, US</x:v>
      </x:c>
      <x:c r="D1419" t="str">
        <x:v>87 71 LEFFERTS BOULEVARD LLC</x:v>
      </x:c>
      <x:c r="E1419" t="str">
        <x:v>87-71 LEFFERTS BOULEVARD, LLC</x:v>
      </x:c>
      <x:c r="F1419" t="str">
        <x:v>Address-corroborated active match</x:v>
      </x:c>
      <x:c r="G1419" t="n">
        <x:v>1</x:v>
      </x:c>
      <x:c r="H1419" t="n">
        <x:v>2</x:v>
      </x:c>
      <x:c r="I1419" t="str">
        <x:v>3603787</x:v>
      </x:c>
      <x:c r="J1419" t="str">
        <x:v>87-71 LEFFERTS BOULEVARD, LLC</x:v>
      </x:c>
      <x:c r="K1419" s="55" t="n">
        <x:v>39427</x:v>
      </x:c>
      <x:c r="L1419" t="str">
        <x:v>Queens</x:v>
      </x:c>
      <x:c r="M1419" t="str">
        <x:v>New York</x:v>
      </x:c>
      <x:c r="N1419" t="str">
        <x:v>DOMESTIC LIMITED LIABILITY COMPANY</x:v>
      </x:c>
      <x:c r="O1419" t="str">
        <x:v>87-71 LEFFERTS BOULEVARD, LLC</x:v>
      </x:c>
      <x:c r="P1419" t="str">
        <x:v>87-71 LEFFERTS BOULEVARD, RICHMOND HILL, NY, 11418</x:v>
      </x:c>
      <x:c r="Q1419" t="str"/>
      <x:c r="R1419" t="str"/>
      <x:c r="S1419" t="str"/>
      <x:c r="T1419" t="str"/>
      <x:c r="U1419" t="str"/>
      <x:c r="V1419" t="str"/>
      <x:c r="W1419" t="str"/>
      <x:c r="X1419" t="str"/>
      <x:c r="Y1419" t="str">
        <x:v>https://data.ny.gov/Economic-Development/Active-Corporations-Beginning-1800/n9v6-gdp6</x:v>
      </x:c>
    </x:row>
    <x:row r="1420">
      <x:c r="A1420" t="str">
        <x:v>DOS-6-037</x:v>
      </x:c>
      <x:c r="B1420" t="n">
        <x:v>6</x:v>
      </x:c>
      <x:c r="C1420" t="str">
        <x:v>87-71 LEFFERTS BOULEVARD, RICHMOND HILL, NY, 11418, US</x:v>
      </x:c>
      <x:c r="D1420" t="str">
        <x:v>87 80 120TH STREET LLC</x:v>
      </x:c>
      <x:c r="E1420" t="str">
        <x:v>87-80 120TH STREET LLC</x:v>
      </x:c>
      <x:c r="F1420" t="str">
        <x:v>Address-corroborated active match</x:v>
      </x:c>
      <x:c r="G1420" t="n">
        <x:v>1</x:v>
      </x:c>
      <x:c r="H1420" t="n">
        <x:v>2</x:v>
      </x:c>
      <x:c r="I1420" t="str">
        <x:v>4703971</x:v>
      </x:c>
      <x:c r="J1420" t="str">
        <x:v>87-80 120TH STREET LLC</x:v>
      </x:c>
      <x:c r="K1420" s="55" t="n">
        <x:v>42038</x:v>
      </x:c>
      <x:c r="L1420" t="str">
        <x:v>Queens</x:v>
      </x:c>
      <x:c r="M1420" t="str">
        <x:v>New York</x:v>
      </x:c>
      <x:c r="N1420" t="str">
        <x:v>DOMESTIC LIMITED LIABILITY COMPANY</x:v>
      </x:c>
      <x:c r="O1420" t="str">
        <x:v>87-80 120TH STREET LLC</x:v>
      </x:c>
      <x:c r="P1420" t="str">
        <x:v>87-71 LEFFERTS BOULEVARD, RICHMOND HILL, NY, 11418</x:v>
      </x:c>
      <x:c r="Q1420" t="str"/>
      <x:c r="R1420" t="str"/>
      <x:c r="S1420" t="str"/>
      <x:c r="T1420" t="str"/>
      <x:c r="U1420" t="str"/>
      <x:c r="V1420" t="str"/>
      <x:c r="W1420" t="str"/>
      <x:c r="X1420" t="str"/>
      <x:c r="Y1420" t="str">
        <x:v>https://data.ny.gov/Economic-Development/Active-Corporations-Beginning-1800/n9v6-gdp6</x:v>
      </x:c>
    </x:row>
    <x:row r="1421">
      <x:c r="A1421" t="str">
        <x:v>DOS-6-037</x:v>
      </x:c>
      <x:c r="B1421" t="n">
        <x:v>6</x:v>
      </x:c>
      <x:c r="C1421" t="str">
        <x:v>87-71 LEFFERTS BOULEVARD, RICHMOND HILL, NY, 11418, US</x:v>
      </x:c>
      <x:c r="D1421" t="str">
        <x:v>87 82 120TH STREET LLC</x:v>
      </x:c>
      <x:c r="E1421" t="str">
        <x:v>87-82 120TH STREET LLC</x:v>
      </x:c>
      <x:c r="F1421" t="str">
        <x:v>Address-corroborated active match</x:v>
      </x:c>
      <x:c r="G1421" t="n">
        <x:v>1</x:v>
      </x:c>
      <x:c r="H1421" t="n">
        <x:v>2</x:v>
      </x:c>
      <x:c r="I1421" t="str">
        <x:v>4703967</x:v>
      </x:c>
      <x:c r="J1421" t="str">
        <x:v>87-82 120TH STREET LLC</x:v>
      </x:c>
      <x:c r="K1421" s="55" t="n">
        <x:v>42038</x:v>
      </x:c>
      <x:c r="L1421" t="str">
        <x:v>Queens</x:v>
      </x:c>
      <x:c r="M1421" t="str">
        <x:v>New York</x:v>
      </x:c>
      <x:c r="N1421" t="str">
        <x:v>DOMESTIC LIMITED LIABILITY COMPANY</x:v>
      </x:c>
      <x:c r="O1421" t="str">
        <x:v>87-82 120TH STREET LLC</x:v>
      </x:c>
      <x:c r="P1421" t="str">
        <x:v>87-71 LEFFERTS BOULEVARD, RICHMOND HILL, NY, 11418</x:v>
      </x:c>
      <x:c r="Q1421" t="str"/>
      <x:c r="R1421" t="str"/>
      <x:c r="S1421" t="str"/>
      <x:c r="T1421" t="str"/>
      <x:c r="U1421" t="str"/>
      <x:c r="V1421" t="str"/>
      <x:c r="W1421" t="str"/>
      <x:c r="X1421" t="str"/>
      <x:c r="Y1421" t="str">
        <x:v>https://data.ny.gov/Economic-Development/Active-Corporations-Beginning-1800/n9v6-gdp6</x:v>
      </x:c>
    </x:row>
    <x:row r="1422">
      <x:c r="A1422" t="str">
        <x:v>DOS-6-037</x:v>
      </x:c>
      <x:c r="B1422" t="n">
        <x:v>6</x:v>
      </x:c>
      <x:c r="C1422" t="str">
        <x:v>87-71 LEFFERTS BOULEVARD, RICHMOND HILL, NY, 11418, US</x:v>
      </x:c>
      <x:c r="D1422" t="str">
        <x:v>87 84 120TH STREET LLC</x:v>
      </x:c>
      <x:c r="E1422" t="str">
        <x:v>87-84 120TH STREET LLC</x:v>
      </x:c>
      <x:c r="F1422" t="str">
        <x:v>Address-corroborated active match</x:v>
      </x:c>
      <x:c r="G1422" t="n">
        <x:v>1</x:v>
      </x:c>
      <x:c r="H1422" t="n">
        <x:v>2</x:v>
      </x:c>
      <x:c r="I1422" t="str">
        <x:v>4703946</x:v>
      </x:c>
      <x:c r="J1422" t="str">
        <x:v>87-84 120TH STREET LLC</x:v>
      </x:c>
      <x:c r="K1422" s="55" t="n">
        <x:v>42038</x:v>
      </x:c>
      <x:c r="L1422" t="str">
        <x:v>Queens</x:v>
      </x:c>
      <x:c r="M1422" t="str">
        <x:v>New York</x:v>
      </x:c>
      <x:c r="N1422" t="str">
        <x:v>DOMESTIC LIMITED LIABILITY COMPANY</x:v>
      </x:c>
      <x:c r="O1422" t="str">
        <x:v>87-84 120TH STREET LLC</x:v>
      </x:c>
      <x:c r="P1422" t="str">
        <x:v>87-71 LEFFERTS BOULEVARD, RICHMOND HILL, NY, 11418</x:v>
      </x:c>
      <x:c r="Q1422" t="str"/>
      <x:c r="R1422" t="str"/>
      <x:c r="S1422" t="str"/>
      <x:c r="T1422" t="str"/>
      <x:c r="U1422" t="str"/>
      <x:c r="V1422" t="str"/>
      <x:c r="W1422" t="str"/>
      <x:c r="X1422" t="str"/>
      <x:c r="Y1422" t="str">
        <x:v>https://data.ny.gov/Economic-Development/Active-Corporations-Beginning-1800/n9v6-gdp6</x:v>
      </x:c>
    </x:row>
    <x:row r="1423">
      <x:c r="A1423" t="str">
        <x:v>DOS-6-037</x:v>
      </x:c>
      <x:c r="B1423" t="n">
        <x:v>6</x:v>
      </x:c>
      <x:c r="C1423" t="str">
        <x:v>87-71 LEFFERTS BOULEVARD, RICHMOND HILL, NY, 11418, US</x:v>
      </x:c>
      <x:c r="D1423" t="str">
        <x:v>87 87 LEFFERTS BLVD LLC</x:v>
      </x:c>
      <x:c r="E1423" t="str">
        <x:v>87-87 LEFFERTS BLVD LLC</x:v>
      </x:c>
      <x:c r="F1423" t="str">
        <x:v>Address-corroborated active match</x:v>
      </x:c>
      <x:c r="G1423" t="n">
        <x:v>1</x:v>
      </x:c>
      <x:c r="H1423" t="n">
        <x:v>2</x:v>
      </x:c>
      <x:c r="I1423" t="str">
        <x:v>4703972</x:v>
      </x:c>
      <x:c r="J1423" t="str">
        <x:v>87-87 LEFFERTS BLVD LLC</x:v>
      </x:c>
      <x:c r="K1423" s="55" t="n">
        <x:v>42038</x:v>
      </x:c>
      <x:c r="L1423" t="str">
        <x:v>Queens</x:v>
      </x:c>
      <x:c r="M1423" t="str">
        <x:v>New York</x:v>
      </x:c>
      <x:c r="N1423" t="str">
        <x:v>DOMESTIC LIMITED LIABILITY COMPANY</x:v>
      </x:c>
      <x:c r="O1423" t="str">
        <x:v>87-87 LEFFERTS BLVD LLC</x:v>
      </x:c>
      <x:c r="P1423" t="str">
        <x:v>87-71 LEFFERTS BOULEVARD, RICHMOND HILL, NY, 11418</x:v>
      </x:c>
      <x:c r="Q1423" t="str"/>
      <x:c r="R1423" t="str"/>
      <x:c r="S1423" t="str"/>
      <x:c r="T1423" t="str"/>
      <x:c r="U1423" t="str"/>
      <x:c r="V1423" t="str"/>
      <x:c r="W1423" t="str"/>
      <x:c r="X1423" t="str"/>
      <x:c r="Y1423" t="str">
        <x:v>https://data.ny.gov/Economic-Development/Active-Corporations-Beginning-1800/n9v6-gdp6</x:v>
      </x:c>
    </x:row>
    <x:row r="1424">
      <x:c r="A1424" t="str">
        <x:v>DOS-6-038</x:v>
      </x:c>
      <x:c r="B1424" t="n">
        <x:v>6</x:v>
      </x:c>
      <x:c r="C1424" t="str">
        <x:v>89-10 145TH STREET, JAMAICA, NY, 11435, US</x:v>
      </x:c>
      <x:c r="D1424" t="str">
        <x:v>115 HOLDINGS LLC</x:v>
      </x:c>
      <x:c r="E1424" t="str">
        <x:v>115 HOLDINGS LLC</x:v>
      </x:c>
      <x:c r="F1424" t="str">
        <x:v>Active name match</x:v>
      </x:c>
      <x:c r="G1424" t="n">
        <x:v>1</x:v>
      </x:c>
      <x:c r="H1424" t="n">
        <x:v>1</x:v>
      </x:c>
      <x:c r="I1424" t="str">
        <x:v>7179368</x:v>
      </x:c>
      <x:c r="J1424" t="str">
        <x:v>115 HOLDINGS LLC</x:v>
      </x:c>
      <x:c r="K1424" s="55" t="n">
        <x:v>45239</x:v>
      </x:c>
      <x:c r="L1424" t="str">
        <x:v>Queens</x:v>
      </x:c>
      <x:c r="M1424" t="str">
        <x:v>New York</x:v>
      </x:c>
      <x:c r="N1424" t="str">
        <x:v>DOMESTIC LIMITED LIABILITY COMPANY</x:v>
      </x:c>
      <x:c r="O1424" t="str">
        <x:v>115 HOLDINGS LLC</x:v>
      </x:c>
      <x:c r="P1424" t="str">
        <x:v>8910 145 STREET, JAMAICA, NY, 11435</x:v>
      </x:c>
      <x:c r="Q1424" t="str"/>
      <x:c r="R1424" t="str"/>
      <x:c r="S1424" t="str"/>
      <x:c r="T1424" t="str"/>
      <x:c r="U1424" t="str"/>
      <x:c r="V1424" t="str"/>
      <x:c r="W1424" t="str"/>
      <x:c r="X1424" t="str"/>
      <x:c r="Y1424" t="str">
        <x:v>https://data.ny.gov/Economic-Development/Active-Corporations-Beginning-1800/n9v6-gdp6</x:v>
      </x:c>
    </x:row>
    <x:row r="1425">
      <x:c r="A1425" t="str">
        <x:v>DOS-6-038</x:v>
      </x:c>
      <x:c r="B1425" t="n">
        <x:v>6</x:v>
      </x:c>
      <x:c r="C1425" t="str">
        <x:v>89-10 145TH STREET, JAMAICA, NY, 11435, US</x:v>
      </x:c>
      <x:c r="D1425" t="str">
        <x:v>906 HOLDINGS LLC</x:v>
      </x:c>
      <x:c r="E1425" t="str">
        <x:v>906 HOLDINGS LLC</x:v>
      </x:c>
      <x:c r="F1425" t="str">
        <x:v>Address-corroborated active match</x:v>
      </x:c>
      <x:c r="G1425" t="n">
        <x:v>1</x:v>
      </x:c>
      <x:c r="H1425" t="n">
        <x:v>2</x:v>
      </x:c>
      <x:c r="I1425" t="str">
        <x:v>4208061</x:v>
      </x:c>
      <x:c r="J1425" t="str">
        <x:v>906 HOLDINGS LLC</x:v>
      </x:c>
      <x:c r="K1425" s="55" t="n">
        <x:v>40963</x:v>
      </x:c>
      <x:c r="L1425" t="str">
        <x:v>Queens</x:v>
      </x:c>
      <x:c r="M1425" t="str">
        <x:v>New York</x:v>
      </x:c>
      <x:c r="N1425" t="str">
        <x:v>DOMESTIC LIMITED LIABILITY COMPANY</x:v>
      </x:c>
      <x:c r="O1425" t="str">
        <x:v>906 HOLDINGS LLC</x:v>
      </x:c>
      <x:c r="P1425" t="str">
        <x:v>89-10 145TH STREET, JAMAICA, NY, 11435</x:v>
      </x:c>
      <x:c r="Q1425" t="str"/>
      <x:c r="R1425" t="str"/>
      <x:c r="S1425" t="str"/>
      <x:c r="T1425" t="str"/>
      <x:c r="U1425" t="str"/>
      <x:c r="V1425" t="str"/>
      <x:c r="W1425" t="str"/>
      <x:c r="X1425" t="str"/>
      <x:c r="Y1425" t="str">
        <x:v>https://data.ny.gov/Economic-Development/Active-Corporations-Beginning-1800/n9v6-gdp6</x:v>
      </x:c>
    </x:row>
    <x:row r="1426">
      <x:c r="A1426" t="str">
        <x:v>DOS-6-038</x:v>
      </x:c>
      <x:c r="B1426" t="n">
        <x:v>6</x:v>
      </x:c>
      <x:c r="C1426" t="str">
        <x:v>89-10 145TH STREET, JAMAICA, NY, 11435, US</x:v>
      </x:c>
      <x:c r="D1426" t="str">
        <x:v>JAMAICA 98 LLC</x:v>
      </x:c>
      <x:c r="E1426" t="str">
        <x:v>JAMAICA 98 LLC</x:v>
      </x:c>
      <x:c r="F1426" t="str">
        <x:v>Active name match</x:v>
      </x:c>
      <x:c r="G1426" t="n">
        <x:v>1</x:v>
      </x:c>
      <x:c r="H1426" t="n">
        <x:v>0</x:v>
      </x:c>
      <x:c r="I1426" t="str">
        <x:v>5062975</x:v>
      </x:c>
      <x:c r="J1426" t="str">
        <x:v>JAMAICA 98 LLC</x:v>
      </x:c>
      <x:c r="K1426" s="55" t="n">
        <x:v>42740</x:v>
      </x:c>
      <x:c r="L1426" t="str">
        <x:v>Queens</x:v>
      </x:c>
      <x:c r="M1426" t="str">
        <x:v>New York</x:v>
      </x:c>
      <x:c r="N1426" t="str">
        <x:v>DOMESTIC LIMITED LIABILITY COMPANY</x:v>
      </x:c>
      <x:c r="O1426" t="str">
        <x:v>SPIEGEL &amp; UTRERA, P.A., P.C.</x:v>
      </x:c>
      <x:c r="P1426" t="str">
        <x:v>1 MAIDEN LANE 5TH FL, NEW YORK, NY, 10038</x:v>
      </x:c>
      <x:c r="Q1426" t="str"/>
      <x:c r="R1426" t="str"/>
      <x:c r="S1426" t="str">
        <x:v>SPIEGEL &amp; UTRERA, P.A., P.C.</x:v>
      </x:c>
      <x:c r="T1426" t="str">
        <x:v>1 MAIDEN LANE 5TH FL, NEW YORK, NEW YORK, 10038</x:v>
      </x:c>
      <x:c r="U1426" t="str"/>
      <x:c r="V1426" t="str"/>
      <x:c r="W1426" t="str"/>
      <x:c r="X1426" t="str"/>
      <x:c r="Y1426" t="str">
        <x:v>https://data.ny.gov/Economic-Development/Active-Corporations-Beginning-1800/n9v6-gdp6</x:v>
      </x:c>
    </x:row>
    <x:row r="1427">
      <x:c r="A1427" t="str">
        <x:v>DOS-6-038</x:v>
      </x:c>
      <x:c r="B1427" t="n">
        <x:v>6</x:v>
      </x:c>
      <x:c r="C1427" t="str">
        <x:v>89-10 145TH STREET, JAMAICA, NY, 11435, US</x:v>
      </x:c>
      <x:c r="D1427" t="str">
        <x:v>LIBERTY 176 LLC</x:v>
      </x:c>
      <x:c r="E1427" t="str">
        <x:v>LIBERTY 176 LLC</x:v>
      </x:c>
      <x:c r="F1427" t="str">
        <x:v>Active name match</x:v>
      </x:c>
      <x:c r="G1427" t="n">
        <x:v>1</x:v>
      </x:c>
      <x:c r="H1427" t="n">
        <x:v>1</x:v>
      </x:c>
      <x:c r="I1427" t="str">
        <x:v>6764227</x:v>
      </x:c>
      <x:c r="J1427" t="str">
        <x:v>LIBERTY 176 LLC</x:v>
      </x:c>
      <x:c r="K1427" s="55" t="n">
        <x:v>44999</x:v>
      </x:c>
      <x:c r="L1427" t="str">
        <x:v>Queens</x:v>
      </x:c>
      <x:c r="M1427" t="str">
        <x:v>New York</x:v>
      </x:c>
      <x:c r="N1427" t="str">
        <x:v>DOMESTIC LIMITED LIABILITY COMPANY</x:v>
      </x:c>
      <x:c r="O1427" t="str">
        <x:v>LIBERTY 176 LLC</x:v>
      </x:c>
      <x:c r="P1427" t="str">
        <x:v>89-10 145 STREET, JAMAICA, NY, 11435</x:v>
      </x:c>
      <x:c r="Q1427" t="str"/>
      <x:c r="R1427" t="str"/>
      <x:c r="S1427" t="str"/>
      <x:c r="T1427" t="str"/>
      <x:c r="U1427" t="str"/>
      <x:c r="V1427" t="str"/>
      <x:c r="W1427" t="str"/>
      <x:c r="X1427" t="str"/>
      <x:c r="Y1427" t="str">
        <x:v>https://data.ny.gov/Economic-Development/Active-Corporations-Beginning-1800/n9v6-gdp6</x:v>
      </x:c>
    </x:row>
    <x:row r="1428">
      <x:c r="A1428" t="str">
        <x:v>DOS-6-038</x:v>
      </x:c>
      <x:c r="B1428" t="n">
        <x:v>6</x:v>
      </x:c>
      <x:c r="C1428" t="str">
        <x:v>89-10 145TH STREET, JAMAICA, NY, 11435, US</x:v>
      </x:c>
      <x:c r="D1428" t="str">
        <x:v>MIJAG HOLDINGS LLC</x:v>
      </x:c>
      <x:c r="E1428" t="str">
        <x:v>MIJAG HOLDINGS LLC</x:v>
      </x:c>
      <x:c r="F1428" t="str">
        <x:v>Active name match</x:v>
      </x:c>
      <x:c r="G1428" t="n">
        <x:v>1</x:v>
      </x:c>
      <x:c r="H1428" t="n">
        <x:v>1</x:v>
      </x:c>
      <x:c r="I1428" t="str">
        <x:v>7418604</x:v>
      </x:c>
      <x:c r="J1428" t="str">
        <x:v>MIJAG HOLDINGS LLC</x:v>
      </x:c>
      <x:c r="K1428" s="55" t="n">
        <x:v>45548</x:v>
      </x:c>
      <x:c r="L1428" t="str">
        <x:v>Queens</x:v>
      </x:c>
      <x:c r="M1428" t="str">
        <x:v>New York</x:v>
      </x:c>
      <x:c r="N1428" t="str">
        <x:v>DOMESTIC LIMITED LIABILITY COMPANY</x:v>
      </x:c>
      <x:c r="O1428" t="str">
        <x:v>MIJAG HOLDINGS LLC</x:v>
      </x:c>
      <x:c r="P1428" t="str">
        <x:v>8910 145 STREET, JAMAICA, NY, 11435</x:v>
      </x:c>
      <x:c r="Q1428" t="str"/>
      <x:c r="R1428" t="str"/>
      <x:c r="S1428" t="str"/>
      <x:c r="T1428" t="str"/>
      <x:c r="U1428" t="str"/>
      <x:c r="V1428" t="str"/>
      <x:c r="W1428" t="str"/>
      <x:c r="X1428" t="str"/>
      <x:c r="Y1428" t="str">
        <x:v>https://data.ny.gov/Economic-Development/Active-Corporations-Beginning-1800/n9v6-gdp6</x:v>
      </x:c>
    </x:row>
    <x:row r="1429">
      <x:c r="A1429" t="str">
        <x:v>DOS-6-038</x:v>
      </x:c>
      <x:c r="B1429" t="n">
        <x:v>6</x:v>
      </x:c>
      <x:c r="C1429" t="str">
        <x:v>89-10 145TH STREET, JAMAICA, NY, 11435, US</x:v>
      </x:c>
      <x:c r="D1429" t="str">
        <x:v>WPR 230 LLC</x:v>
      </x:c>
      <x:c r="E1429" t="str">
        <x:v>WPR 230 LLC</x:v>
      </x:c>
      <x:c r="F1429" t="str">
        <x:v>Active name match</x:v>
      </x:c>
      <x:c r="G1429" t="n">
        <x:v>1</x:v>
      </x:c>
      <x:c r="H1429" t="n">
        <x:v>0</x:v>
      </x:c>
      <x:c r="I1429" t="str">
        <x:v>5063812</x:v>
      </x:c>
      <x:c r="J1429" t="str">
        <x:v>WPR 230 LLC</x:v>
      </x:c>
      <x:c r="K1429" s="55" t="n">
        <x:v>42741</x:v>
      </x:c>
      <x:c r="L1429" t="str">
        <x:v>Queens</x:v>
      </x:c>
      <x:c r="M1429" t="str">
        <x:v>New York</x:v>
      </x:c>
      <x:c r="N1429" t="str">
        <x:v>DOMESTIC LIMITED LIABILITY COMPANY</x:v>
      </x:c>
      <x:c r="O1429" t="str">
        <x:v>SPIEGEL &amp; UTRERA, P.A., P.C.</x:v>
      </x:c>
      <x:c r="P1429" t="str">
        <x:v>1 MAIDEN LANE, 5TH FLOOR, NEW YORK, NY, 10038</x:v>
      </x:c>
      <x:c r="Q1429" t="str"/>
      <x:c r="R1429" t="str"/>
      <x:c r="S1429" t="str">
        <x:v>SPIEGEL &amp; UTRERA, P.A., P.C.</x:v>
      </x:c>
      <x:c r="T1429" t="str">
        <x:v>1 MAIDEN LANE, 5TH FLOOR, NEW YORK, NEW YORK, 10038</x:v>
      </x:c>
      <x:c r="U1429" t="str"/>
      <x:c r="V1429" t="str"/>
      <x:c r="W1429" t="str"/>
      <x:c r="X1429" t="str"/>
      <x:c r="Y1429" t="str">
        <x:v>https://data.ny.gov/Economic-Development/Active-Corporations-Beginning-1800/n9v6-gdp6</x:v>
      </x:c>
    </x:row>
    <x:row r="1430">
      <x:c r="A1430" t="str">
        <x:v>DOS-6-039</x:v>
      </x:c>
      <x:c r="B1430" t="n">
        <x:v>6</x:v>
      </x:c>
      <x:c r="C1430" t="str">
        <x:v>1015 SURF AVENUE, BROOKLYN, NY, 11224, US</x:v>
      </x:c>
      <x:c r="D1430" t="str">
        <x:v>AVENUE D REALTY LLC</x:v>
      </x:c>
      <x:c r="E1430" t="str">
        <x:v>AVENUE D REALTY LLC</x:v>
      </x:c>
      <x:c r="F1430" t="str">
        <x:v>Active name match</x:v>
      </x:c>
      <x:c r="G1430" t="n">
        <x:v>1</x:v>
      </x:c>
      <x:c r="H1430" t="n">
        <x:v>1</x:v>
      </x:c>
      <x:c r="I1430" t="str">
        <x:v>3177457</x:v>
      </x:c>
      <x:c r="J1430" t="str">
        <x:v>AVENUE D REALTY LLC</x:v>
      </x:c>
      <x:c r="K1430" s="55" t="n">
        <x:v>38426</x:v>
      </x:c>
      <x:c r="L1430" t="str">
        <x:v>Kings</x:v>
      </x:c>
      <x:c r="M1430" t="str">
        <x:v>New York</x:v>
      </x:c>
      <x:c r="N1430" t="str">
        <x:v>DOMESTIC LIMITED LIABILITY COMPANY</x:v>
      </x:c>
      <x:c r="O1430" t="str">
        <x:v>AVENUE D REALTY LLC</x:v>
      </x:c>
      <x:c r="P1430" t="str">
        <x:v>2310 AVE D, BROOKLYN, NY, 11224</x:v>
      </x:c>
      <x:c r="Q1430" t="str"/>
      <x:c r="R1430" t="str"/>
      <x:c r="S1430" t="str"/>
      <x:c r="T1430" t="str"/>
      <x:c r="U1430" t="str"/>
      <x:c r="V1430" t="str"/>
      <x:c r="W1430" t="str"/>
      <x:c r="X1430" t="str"/>
      <x:c r="Y1430" t="str">
        <x:v>https://data.ny.gov/Economic-Development/Active-Corporations-Beginning-1800/n9v6-gdp6</x:v>
      </x:c>
    </x:row>
    <x:row r="1431">
      <x:c r="A1431" t="str">
        <x:v>DOS-6-039</x:v>
      </x:c>
      <x:c r="B1431" t="n">
        <x:v>6</x:v>
      </x:c>
      <x:c r="C1431" t="str">
        <x:v>1015 SURF AVENUE, BROOKLYN, NY, 11224, US</x:v>
      </x:c>
      <x:c r="D1431" t="str">
        <x:v>BAWABEH GOOD WILL LLC</x:v>
      </x:c>
      <x:c r="E1431" t="str">
        <x:v>BAWABEH GOOD WILL LLC</x:v>
      </x:c>
      <x:c r="F1431" t="str">
        <x:v>Address-corroborated active match</x:v>
      </x:c>
      <x:c r="G1431" t="n">
        <x:v>1</x:v>
      </x:c>
      <x:c r="H1431" t="n">
        <x:v>2</x:v>
      </x:c>
      <x:c r="I1431" t="str">
        <x:v>4024289</x:v>
      </x:c>
      <x:c r="J1431" t="str">
        <x:v>BAWABEH GOOD WILL LLC</x:v>
      </x:c>
      <x:c r="K1431" s="55" t="n">
        <x:v>40511</x:v>
      </x:c>
      <x:c r="L1431" t="str">
        <x:v>Kings</x:v>
      </x:c>
      <x:c r="M1431" t="str">
        <x:v>New York</x:v>
      </x:c>
      <x:c r="N1431" t="str">
        <x:v>DOMESTIC LIMITED LIABILITY COMPANY</x:v>
      </x:c>
      <x:c r="O1431" t="str">
        <x:v>BAWABEH GOOD WILL LLC</x:v>
      </x:c>
      <x:c r="P1431" t="str">
        <x:v>1015 SURF AVE, BROOKLYN, NY, 11224</x:v>
      </x:c>
      <x:c r="Q1431" t="str"/>
      <x:c r="R1431" t="str"/>
      <x:c r="S1431" t="str"/>
      <x:c r="T1431" t="str"/>
      <x:c r="U1431" t="str"/>
      <x:c r="V1431" t="str"/>
      <x:c r="W1431" t="str"/>
      <x:c r="X1431" t="str"/>
      <x:c r="Y1431" t="str">
        <x:v>https://data.ny.gov/Economic-Development/Active-Corporations-Beginning-1800/n9v6-gdp6</x:v>
      </x:c>
    </x:row>
    <x:row r="1432">
      <x:c r="A1432" t="str">
        <x:v>DOS-6-039</x:v>
      </x:c>
      <x:c r="B1432" t="n">
        <x:v>6</x:v>
      </x:c>
      <x:c r="C1432" t="str">
        <x:v>1015 SURF AVENUE, BROOKLYN, NY, 11224, US</x:v>
      </x:c>
      <x:c r="D1432" t="str">
        <x:v>KAJ BUILDINGS LLC</x:v>
      </x:c>
      <x:c r="E1432" t="str">
        <x:v>KAJ BUILDINGS LLC</x:v>
      </x:c>
      <x:c r="F1432" t="str">
        <x:v>Address-corroborated active match</x:v>
      </x:c>
      <x:c r="G1432" t="n">
        <x:v>1</x:v>
      </x:c>
      <x:c r="H1432" t="n">
        <x:v>2</x:v>
      </x:c>
      <x:c r="I1432" t="str">
        <x:v>3587922</x:v>
      </x:c>
      <x:c r="J1432" t="str">
        <x:v>KAJ BUILDINGS LLC</x:v>
      </x:c>
      <x:c r="K1432" s="55" t="n">
        <x:v>39387</x:v>
      </x:c>
      <x:c r="L1432" t="str">
        <x:v>Kings</x:v>
      </x:c>
      <x:c r="M1432" t="str">
        <x:v>New York</x:v>
      </x:c>
      <x:c r="N1432" t="str">
        <x:v>DOMESTIC LIMITED LIABILITY COMPANY</x:v>
      </x:c>
      <x:c r="O1432" t="str">
        <x:v>KAJ BUILDINGS LLC</x:v>
      </x:c>
      <x:c r="P1432" t="str">
        <x:v>1015 SURF AVENUE, BROOKLYN, NY, 11224</x:v>
      </x:c>
      <x:c r="Q1432" t="str"/>
      <x:c r="R1432" t="str"/>
      <x:c r="S1432" t="str"/>
      <x:c r="T1432" t="str"/>
      <x:c r="U1432" t="str"/>
      <x:c r="V1432" t="str"/>
      <x:c r="W1432" t="str"/>
      <x:c r="X1432" t="str"/>
      <x:c r="Y1432" t="str">
        <x:v>https://data.ny.gov/Economic-Development/Active-Corporations-Beginning-1800/n9v6-gdp6</x:v>
      </x:c>
    </x:row>
    <x:row r="1433">
      <x:c r="A1433" t="str">
        <x:v>DOS-6-039</x:v>
      </x:c>
      <x:c r="B1433" t="n">
        <x:v>6</x:v>
      </x:c>
      <x:c r="C1433" t="str">
        <x:v>1015 SURF AVENUE, BROOKLYN, NY, 11224, US</x:v>
      </x:c>
      <x:c r="D1433" t="str">
        <x:v>KASTEX REALTY LLC</x:v>
      </x:c>
      <x:c r="E1433" t="str">
        <x:v>KASTEX REALTY, LLC</x:v>
      </x:c>
      <x:c r="F1433" t="str">
        <x:v>Active name match</x:v>
      </x:c>
      <x:c r="G1433" t="n">
        <x:v>1</x:v>
      </x:c>
      <x:c r="H1433" t="n">
        <x:v>0</x:v>
      </x:c>
      <x:c r="I1433" t="str">
        <x:v>2979803</x:v>
      </x:c>
      <x:c r="J1433" t="str">
        <x:v>KASTEX REALTY, LLC</x:v>
      </x:c>
      <x:c r="K1433" s="55" t="n">
        <x:v>37945</x:v>
      </x:c>
      <x:c r="L1433" t="str">
        <x:v>Kings</x:v>
      </x:c>
      <x:c r="M1433" t="str">
        <x:v>New York</x:v>
      </x:c>
      <x:c r="N1433" t="str">
        <x:v>DOMESTIC LIMITED LIABILITY COMPANY</x:v>
      </x:c>
      <x:c r="O1433" t="str">
        <x:v>KASTEX REALTY, LLC</x:v>
      </x:c>
      <x:c r="P1433" t="str">
        <x:v>950 FLATBUSH AVE, BROOKLYN, NY, 11226</x:v>
      </x:c>
      <x:c r="Q1433" t="str"/>
      <x:c r="R1433" t="str"/>
      <x:c r="S1433" t="str"/>
      <x:c r="T1433" t="str"/>
      <x:c r="U1433" t="str"/>
      <x:c r="V1433" t="str"/>
      <x:c r="W1433" t="str"/>
      <x:c r="X1433" t="str"/>
      <x:c r="Y1433" t="str">
        <x:v>https://data.ny.gov/Economic-Development/Active-Corporations-Beginning-1800/n9v6-gdp6</x:v>
      </x:c>
    </x:row>
    <x:row r="1434">
      <x:c r="A1434" t="str">
        <x:v>DOS-6-039</x:v>
      </x:c>
      <x:c r="B1434" t="n">
        <x:v>6</x:v>
      </x:c>
      <x:c r="C1434" t="str">
        <x:v>1015 SURF AVENUE, BROOKLYN, NY, 11224, US</x:v>
      </x:c>
      <x:c r="D1434" t="str">
        <x:v>KATEX REALTY LLC</x:v>
      </x:c>
      <x:c r="E1434" t="str">
        <x:v>KATEX REALTY, LLC</x:v>
      </x:c>
      <x:c r="F1434" t="str">
        <x:v>No active DOS match</x:v>
      </x:c>
      <x:c r="G1434" t="n">
        <x:v>0</x:v>
      </x:c>
      <x:c r="H1434" t="n">
        <x:v>0</x:v>
      </x:c>
      <x:c r="I1434" t="str"/>
      <x:c r="J1434" t="str"/>
      <x:c r="K1434" s="55" t="str"/>
      <x:c r="L1434" t="str"/>
      <x:c r="M1434" t="str"/>
      <x:c r="N1434" t="str"/>
      <x:c r="O1434" t="str"/>
      <x:c r="P1434" t="str"/>
      <x:c r="Q1434" t="str"/>
      <x:c r="R1434" t="str"/>
      <x:c r="S1434" t="str"/>
      <x:c r="T1434" t="str"/>
      <x:c r="U1434" t="str"/>
      <x:c r="V1434" t="str"/>
      <x:c r="W1434" t="str"/>
      <x:c r="X1434" t="str"/>
      <x:c r="Y1434" t="str">
        <x:v>https://data.ny.gov/Economic-Development/Active-Corporations-Beginning-1800/n9v6-gdp6</x:v>
      </x:c>
    </x:row>
    <x:row r="1435">
      <x:c r="A1435" t="str">
        <x:v>DOS-6-039</x:v>
      </x:c>
      <x:c r="B1435" t="n">
        <x:v>6</x:v>
      </x:c>
      <x:c r="C1435" t="str">
        <x:v>1015 SURF AVENUE, BROOKLYN, NY, 11224, US</x:v>
      </x:c>
      <x:c r="D1435" t="str">
        <x:v>LANDLOT PROPERTY LLC</x:v>
      </x:c>
      <x:c r="E1435" t="str">
        <x:v>LANDLOT PROPERTY LLC</x:v>
      </x:c>
      <x:c r="F1435" t="str">
        <x:v>Address-corroborated active match</x:v>
      </x:c>
      <x:c r="G1435" t="n">
        <x:v>1</x:v>
      </x:c>
      <x:c r="H1435" t="n">
        <x:v>2</x:v>
      </x:c>
      <x:c r="I1435" t="str">
        <x:v>3218939</x:v>
      </x:c>
      <x:c r="J1435" t="str">
        <x:v>LANDLOT PROPERTY, LLC</x:v>
      </x:c>
      <x:c r="K1435" s="55" t="n">
        <x:v>38518</x:v>
      </x:c>
      <x:c r="L1435" t="str">
        <x:v>Kings</x:v>
      </x:c>
      <x:c r="M1435" t="str">
        <x:v>New York</x:v>
      </x:c>
      <x:c r="N1435" t="str">
        <x:v>DOMESTIC LIMITED LIABILITY COMPANY</x:v>
      </x:c>
      <x:c r="O1435" t="str">
        <x:v>LANDLOT PROPERTY, LLC</x:v>
      </x:c>
      <x:c r="P1435" t="str">
        <x:v>1015 SURF AVE, BROOKLYN, NY, 11224</x:v>
      </x:c>
      <x:c r="Q1435" t="str"/>
      <x:c r="R1435" t="str"/>
      <x:c r="S1435" t="str"/>
      <x:c r="T1435" t="str"/>
      <x:c r="U1435" t="str"/>
      <x:c r="V1435" t="str"/>
      <x:c r="W1435" t="str"/>
      <x:c r="X1435" t="str"/>
      <x:c r="Y1435" t="str">
        <x:v>https://data.ny.gov/Economic-Development/Active-Corporations-Beginning-1800/n9v6-gdp6</x:v>
      </x:c>
    </x:row>
    <x:row r="1436">
      <x:c r="A1436" t="str">
        <x:v>DOS-6-040</x:v>
      </x:c>
      <x:c r="B1436" t="n">
        <x:v>6</x:v>
      </x:c>
      <x:c r="C1436" t="str">
        <x:v>1085 EAST 12TH STREET, BROOKLYN, NY, 11230, US</x:v>
      </x:c>
      <x:c r="D1436" t="str">
        <x:v>138 SHARP REALTY LLC</x:v>
      </x:c>
      <x:c r="E1436" t="str">
        <x:v>138-SHARP REALTY LLC</x:v>
      </x:c>
      <x:c r="F1436" t="str">
        <x:v>Active name match</x:v>
      </x:c>
      <x:c r="G1436" t="n">
        <x:v>1</x:v>
      </x:c>
      <x:c r="H1436" t="n">
        <x:v>0</x:v>
      </x:c>
      <x:c r="I1436" t="str">
        <x:v>2721055</x:v>
      </x:c>
      <x:c r="J1436" t="str">
        <x:v>138-SHARP REALTY LLC</x:v>
      </x:c>
      <x:c r="K1436" s="55" t="n">
        <x:v>37274</x:v>
      </x:c>
      <x:c r="L1436" t="str">
        <x:v>Kings</x:v>
      </x:c>
      <x:c r="M1436" t="str">
        <x:v>New York</x:v>
      </x:c>
      <x:c r="N1436" t="str">
        <x:v>DOMESTIC LIMITED LIABILITY COMPANY</x:v>
      </x:c>
      <x:c r="O1436" t="str">
        <x:v>138-SHARP REALTY LLC</x:v>
      </x:c>
      <x:c r="P1436" t="str">
        <x:v>2365 NOSTRAND AVENUE, 2ND FLOOR, BROOKLYN, NY, 11210</x:v>
      </x:c>
      <x:c r="Q1436" t="str"/>
      <x:c r="R1436" t="str"/>
      <x:c r="S1436" t="str"/>
      <x:c r="T1436" t="str"/>
      <x:c r="U1436" t="str"/>
      <x:c r="V1436" t="str"/>
      <x:c r="W1436" t="str"/>
      <x:c r="X1436" t="str"/>
      <x:c r="Y1436" t="str">
        <x:v>https://data.ny.gov/Economic-Development/Active-Corporations-Beginning-1800/n9v6-gdp6</x:v>
      </x:c>
    </x:row>
    <x:row r="1437">
      <x:c r="A1437" t="str">
        <x:v>DOS-6-040</x:v>
      </x:c>
      <x:c r="B1437" t="n">
        <x:v>6</x:v>
      </x:c>
      <x:c r="C1437" t="str">
        <x:v>1085 EAST 12TH STREET, BROOKLYN, NY, 11230, US</x:v>
      </x:c>
      <x:c r="D1437" t="str">
        <x:v>2095 MOHEGAN REALTY LLC</x:v>
      </x:c>
      <x:c r="E1437" t="str">
        <x:v>2095 MOHEGAN REALTY LLC</x:v>
      </x:c>
      <x:c r="F1437" t="str">
        <x:v>Active name match</x:v>
      </x:c>
      <x:c r="G1437" t="n">
        <x:v>1</x:v>
      </x:c>
      <x:c r="H1437" t="n">
        <x:v>0</x:v>
      </x:c>
      <x:c r="I1437" t="str">
        <x:v>4115924</x:v>
      </x:c>
      <x:c r="J1437" t="str">
        <x:v>2095 MOHEGAN REALTY LLC</x:v>
      </x:c>
      <x:c r="K1437" s="55" t="n">
        <x:v>40732</x:v>
      </x:c>
      <x:c r="L1437" t="str">
        <x:v>Suffolk</x:v>
      </x:c>
      <x:c r="M1437" t="str">
        <x:v>New York</x:v>
      </x:c>
      <x:c r="N1437" t="str">
        <x:v>DOMESTIC LIMITED LIABILITY COMPANY</x:v>
      </x:c>
      <x:c r="O1437" t="str">
        <x:v>MARTIN KIRZNER</x:v>
      </x:c>
      <x:c r="P1437" t="str">
        <x:v>2365 NOSTRAND AVENUE, 2ND FLOOR, BROOKLYN, NY, 11210</x:v>
      </x:c>
      <x:c r="Q1437" t="str"/>
      <x:c r="R1437" t="str"/>
      <x:c r="S1437" t="str"/>
      <x:c r="T1437" t="str"/>
      <x:c r="U1437" t="str"/>
      <x:c r="V1437" t="str"/>
      <x:c r="W1437" t="str"/>
      <x:c r="X1437" t="str"/>
      <x:c r="Y1437" t="str">
        <x:v>https://data.ny.gov/Economic-Development/Active-Corporations-Beginning-1800/n9v6-gdp6</x:v>
      </x:c>
    </x:row>
    <x:row r="1438">
      <x:c r="A1438" t="str">
        <x:v>DOS-6-040</x:v>
      </x:c>
      <x:c r="B1438" t="n">
        <x:v>6</x:v>
      </x:c>
      <x:c r="C1438" t="str">
        <x:v>1085 EAST 12TH STREET, BROOKLYN, NY, 11230, US</x:v>
      </x:c>
      <x:c r="D1438" t="str">
        <x:v>2737 WEBB REALTY LLC</x:v>
      </x:c>
      <x:c r="E1438" t="str">
        <x:v>2737 WEBB REALTY LLC</x:v>
      </x:c>
      <x:c r="F1438" t="str">
        <x:v>Active name match</x:v>
      </x:c>
      <x:c r="G1438" t="n">
        <x:v>1</x:v>
      </x:c>
      <x:c r="H1438" t="n">
        <x:v>0</x:v>
      </x:c>
      <x:c r="I1438" t="str">
        <x:v>4106684</x:v>
      </x:c>
      <x:c r="J1438" t="str">
        <x:v>2737 WEBB REALTY LLC</x:v>
      </x:c>
      <x:c r="K1438" s="55" t="n">
        <x:v>40708</x:v>
      </x:c>
      <x:c r="L1438" t="str">
        <x:v>Suffolk</x:v>
      </x:c>
      <x:c r="M1438" t="str">
        <x:v>New York</x:v>
      </x:c>
      <x:c r="N1438" t="str">
        <x:v>DOMESTIC LIMITED LIABILITY COMPANY</x:v>
      </x:c>
      <x:c r="O1438" t="str">
        <x:v>2737 WEBB REALTY LLC</x:v>
      </x:c>
      <x:c r="P1438" t="str">
        <x:v>2365 NOSTRAND AVENUE, 2ND FLOOR, BROOKLYN, NY, 11210</x:v>
      </x:c>
      <x:c r="Q1438" t="str"/>
      <x:c r="R1438" t="str"/>
      <x:c r="S1438" t="str"/>
      <x:c r="T1438" t="str"/>
      <x:c r="U1438" t="str"/>
      <x:c r="V1438" t="str"/>
      <x:c r="W1438" t="str"/>
      <x:c r="X1438" t="str"/>
      <x:c r="Y1438" t="str">
        <x:v>https://data.ny.gov/Economic-Development/Active-Corporations-Beginning-1800/n9v6-gdp6</x:v>
      </x:c>
    </x:row>
    <x:row r="1439">
      <x:c r="A1439" t="str">
        <x:v>DOS-6-040</x:v>
      </x:c>
      <x:c r="B1439" t="n">
        <x:v>6</x:v>
      </x:c>
      <x:c r="C1439" t="str">
        <x:v>1085 EAST 12TH STREET, BROOKLYN, NY, 11230, US</x:v>
      </x:c>
      <x:c r="D1439" t="str">
        <x:v>BROADHURST WILLOW APTS LLC</x:v>
      </x:c>
      <x:c r="E1439" t="str">
        <x:v>BROADHURST WILLOW APTS LLC</x:v>
      </x:c>
      <x:c r="F1439" t="str">
        <x:v>No active DOS match</x:v>
      </x:c>
      <x:c r="G1439" t="n">
        <x:v>0</x:v>
      </x:c>
      <x:c r="H1439" t="n">
        <x:v>0</x:v>
      </x:c>
      <x:c r="I1439" t="str"/>
      <x:c r="J1439" t="str"/>
      <x:c r="K1439" s="55" t="str"/>
      <x:c r="L1439" t="str"/>
      <x:c r="M1439" t="str"/>
      <x:c r="N1439" t="str"/>
      <x:c r="O1439" t="str"/>
      <x:c r="P1439" t="str"/>
      <x:c r="Q1439" t="str"/>
      <x:c r="R1439" t="str"/>
      <x:c r="S1439" t="str"/>
      <x:c r="T1439" t="str"/>
      <x:c r="U1439" t="str"/>
      <x:c r="V1439" t="str"/>
      <x:c r="W1439" t="str"/>
      <x:c r="X1439" t="str"/>
      <x:c r="Y1439" t="str">
        <x:v>https://data.ny.gov/Economic-Development/Active-Corporations-Beginning-1800/n9v6-gdp6</x:v>
      </x:c>
    </x:row>
    <x:row r="1440">
      <x:c r="A1440" t="str">
        <x:v>DOS-6-040</x:v>
      </x:c>
      <x:c r="B1440" t="n">
        <x:v>6</x:v>
      </x:c>
      <x:c r="C1440" t="str">
        <x:v>1085 EAST 12TH STREET, BROOKLYN, NY, 11230, US</x:v>
      </x:c>
      <x:c r="D1440" t="str">
        <x:v>BRONX SHARP REALTY LLC</x:v>
      </x:c>
      <x:c r="E1440" t="str">
        <x:v>BRONX SHARP REALTY LLC</x:v>
      </x:c>
      <x:c r="F1440" t="str">
        <x:v>Active name match</x:v>
      </x:c>
      <x:c r="G1440" t="n">
        <x:v>1</x:v>
      </x:c>
      <x:c r="H1440" t="n">
        <x:v>0</x:v>
      </x:c>
      <x:c r="I1440" t="str">
        <x:v>4256865</x:v>
      </x:c>
      <x:c r="J1440" t="str">
        <x:v>BRONX SHARP REALTY LLC</x:v>
      </x:c>
      <x:c r="K1440" s="55" t="n">
        <x:v>41071</x:v>
      </x:c>
      <x:c r="L1440" t="str">
        <x:v>Kings</x:v>
      </x:c>
      <x:c r="M1440" t="str">
        <x:v>New York</x:v>
      </x:c>
      <x:c r="N1440" t="str">
        <x:v>DOMESTIC LIMITED LIABILITY COMPANY</x:v>
      </x:c>
      <x:c r="O1440" t="str">
        <x:v>MARTIN KIRZNER</x:v>
      </x:c>
      <x:c r="P1440" t="str">
        <x:v>2365 NOSTRAND AVENUE, 2ND FLOOR, BROOKLYN, NY, 11210</x:v>
      </x:c>
      <x:c r="Q1440" t="str"/>
      <x:c r="R1440" t="str"/>
      <x:c r="S1440" t="str"/>
      <x:c r="T1440" t="str"/>
      <x:c r="U1440" t="str"/>
      <x:c r="V1440" t="str"/>
      <x:c r="W1440" t="str"/>
      <x:c r="X1440" t="str"/>
      <x:c r="Y1440" t="str">
        <x:v>https://data.ny.gov/Economic-Development/Active-Corporations-Beginning-1800/n9v6-gdp6</x:v>
      </x:c>
    </x:row>
    <x:row r="1441">
      <x:c r="A1441" t="str">
        <x:v>DOS-6-040</x:v>
      </x:c>
      <x:c r="B1441" t="n">
        <x:v>6</x:v>
      </x:c>
      <x:c r="C1441" t="str">
        <x:v>1085 EAST 12TH STREET, BROOKLYN, NY, 11230, US</x:v>
      </x:c>
      <x:c r="D1441" t="str">
        <x:v>TRINITY SHARP REALTY LLC</x:v>
      </x:c>
      <x:c r="E1441" t="str">
        <x:v>TRINITY SHARP REALTY LLC</x:v>
      </x:c>
      <x:c r="F1441" t="str">
        <x:v>Active name match</x:v>
      </x:c>
      <x:c r="G1441" t="n">
        <x:v>1</x:v>
      </x:c>
      <x:c r="H1441" t="n">
        <x:v>0</x:v>
      </x:c>
      <x:c r="I1441" t="str">
        <x:v>4459882</x:v>
      </x:c>
      <x:c r="J1441" t="str">
        <x:v>TRINITY SHARP REALTY LLC</x:v>
      </x:c>
      <x:c r="K1441" s="55" t="n">
        <x:v>41534</x:v>
      </x:c>
      <x:c r="L1441" t="str">
        <x:v>Westchester</x:v>
      </x:c>
      <x:c r="M1441" t="str">
        <x:v>New York</x:v>
      </x:c>
      <x:c r="N1441" t="str">
        <x:v>DOMESTIC LIMITED LIABILITY COMPANY</x:v>
      </x:c>
      <x:c r="O1441" t="str">
        <x:v>SHARP MANAGEMENT</x:v>
      </x:c>
      <x:c r="P1441" t="str">
        <x:v>2365 NOSTRAND AVE 2 FL, BROOKLYN, NY, 11210</x:v>
      </x:c>
      <x:c r="Q1441" t="str"/>
      <x:c r="R1441" t="str"/>
      <x:c r="S1441" t="str"/>
      <x:c r="T1441" t="str"/>
      <x:c r="U1441" t="str"/>
      <x:c r="V1441" t="str"/>
      <x:c r="W1441" t="str"/>
      <x:c r="X1441" t="str"/>
      <x:c r="Y1441" t="str">
        <x:v>https://data.ny.gov/Economic-Development/Active-Corporations-Beginning-1800/n9v6-gdp6</x:v>
      </x:c>
    </x:row>
    <x:row r="1442">
      <x:c r="A1442" t="str">
        <x:v>DOS-6-041</x:v>
      </x:c>
      <x:c r="B1442" t="n">
        <x:v>6</x:v>
      </x:c>
      <x:c r="C1442" t="str">
        <x:v>173 WEST SHORE ROAD, GREAT NECK, NY, 11024, US</x:v>
      </x:c>
      <x:c r="D1442" t="str">
        <x:v>3 COVERT LLC</x:v>
      </x:c>
      <x:c r="E1442" t="str">
        <x:v>3 COVERT LLC</x:v>
      </x:c>
      <x:c r="F1442" t="str">
        <x:v>Active name match</x:v>
      </x:c>
      <x:c r="G1442" t="n">
        <x:v>1</x:v>
      </x:c>
      <x:c r="H1442" t="n">
        <x:v>0</x:v>
      </x:c>
      <x:c r="I1442" t="str">
        <x:v>3700073</x:v>
      </x:c>
      <x:c r="J1442" t="str">
        <x:v>3 COVERT LLC</x:v>
      </x:c>
      <x:c r="K1442" s="55" t="n">
        <x:v>39653</x:v>
      </x:c>
      <x:c r="L1442" t="str">
        <x:v>Kings</x:v>
      </x:c>
      <x:c r="M1442" t="str">
        <x:v>New York</x:v>
      </x:c>
      <x:c r="N1442" t="str">
        <x:v>DOMESTIC LIMITED LIABILITY COMPANY</x:v>
      </x:c>
      <x:c r="O1442" t="str">
        <x:v>3 COVERT LLC</x:v>
      </x:c>
      <x:c r="P1442" t="str">
        <x:v>P.O. Box 231259, GREAT NECK, NY, 11023</x:v>
      </x:c>
      <x:c r="Q1442" t="str"/>
      <x:c r="R1442" t="str"/>
      <x:c r="S1442" t="str"/>
      <x:c r="T1442" t="str"/>
      <x:c r="U1442" t="str"/>
      <x:c r="V1442" t="str"/>
      <x:c r="W1442" t="str"/>
      <x:c r="X1442" t="str"/>
      <x:c r="Y1442" t="str">
        <x:v>https://data.ny.gov/Economic-Development/Active-Corporations-Beginning-1800/n9v6-gdp6</x:v>
      </x:c>
    </x:row>
    <x:row r="1443">
      <x:c r="A1443" t="str">
        <x:v>DOS-6-041</x:v>
      </x:c>
      <x:c r="B1443" t="n">
        <x:v>6</x:v>
      </x:c>
      <x:c r="C1443" t="str">
        <x:v>173 WEST SHORE ROAD, GREAT NECK, NY, 11024, US</x:v>
      </x:c>
      <x:c r="D1443" t="str">
        <x:v>CROWN 160 STERLING LLC</x:v>
      </x:c>
      <x:c r="E1443" t="str">
        <x:v>CROWN 160 STERLING LLC</x:v>
      </x:c>
      <x:c r="F1443" t="str">
        <x:v>Address-corroborated active match</x:v>
      </x:c>
      <x:c r="G1443" t="n">
        <x:v>1</x:v>
      </x:c>
      <x:c r="H1443" t="n">
        <x:v>2</x:v>
      </x:c>
      <x:c r="I1443" t="str">
        <x:v>6011941</x:v>
      </x:c>
      <x:c r="J1443" t="str">
        <x:v>CROWN 160 STERLING LLC</x:v>
      </x:c>
      <x:c r="K1443" s="55" t="n">
        <x:v>44328</x:v>
      </x:c>
      <x:c r="L1443" t="str">
        <x:v>Nassau</x:v>
      </x:c>
      <x:c r="M1443" t="str">
        <x:v>New York</x:v>
      </x:c>
      <x:c r="N1443" t="str">
        <x:v>DOMESTIC LIMITED LIABILITY COMPANY</x:v>
      </x:c>
      <x:c r="O1443" t="str">
        <x:v>CROWN 160 STERLING LLC</x:v>
      </x:c>
      <x:c r="P1443" t="str">
        <x:v>173 WEST SHORE ROAD, GREAT NECK, NY, 11024</x:v>
      </x:c>
      <x:c r="Q1443" t="str"/>
      <x:c r="R1443" t="str"/>
      <x:c r="S1443" t="str"/>
      <x:c r="T1443" t="str"/>
      <x:c r="U1443" t="str"/>
      <x:c r="V1443" t="str"/>
      <x:c r="W1443" t="str"/>
      <x:c r="X1443" t="str"/>
      <x:c r="Y1443" t="str">
        <x:v>https://data.ny.gov/Economic-Development/Active-Corporations-Beginning-1800/n9v6-gdp6</x:v>
      </x:c>
    </x:row>
    <x:row r="1444">
      <x:c r="A1444" t="str">
        <x:v>DOS-6-041</x:v>
      </x:c>
      <x:c r="B1444" t="n">
        <x:v>6</x:v>
      </x:c>
      <x:c r="C1444" t="str">
        <x:v>173 WEST SHORE ROAD, GREAT NECK, NY, 11024, US</x:v>
      </x:c>
      <x:c r="D1444" t="str">
        <x:v>CROWN 347 LLC</x:v>
      </x:c>
      <x:c r="E1444" t="str">
        <x:v>CROWN 347, LLC</x:v>
      </x:c>
      <x:c r="F1444" t="str">
        <x:v>Address-corroborated active match</x:v>
      </x:c>
      <x:c r="G1444" t="n">
        <x:v>1</x:v>
      </x:c>
      <x:c r="H1444" t="n">
        <x:v>2</x:v>
      </x:c>
      <x:c r="I1444" t="str">
        <x:v>7078213</x:v>
      </x:c>
      <x:c r="J1444" t="str">
        <x:v>CROWN 347, LLC</x:v>
      </x:c>
      <x:c r="K1444" s="55" t="n">
        <x:v>45182</x:v>
      </x:c>
      <x:c r="L1444" t="str">
        <x:v>Suffolk</x:v>
      </x:c>
      <x:c r="M1444" t="str">
        <x:v>New York</x:v>
      </x:c>
      <x:c r="N1444" t="str">
        <x:v>DOMESTIC LIMITED LIABILITY COMPANY</x:v>
      </x:c>
      <x:c r="O1444" t="str">
        <x:v>THE LIMITED LIABILITY COMPANY</x:v>
      </x:c>
      <x:c r="P1444" t="str">
        <x:v>173 WEST SHORE ROAD, KINGS POINT, NY, 11024</x:v>
      </x:c>
      <x:c r="Q1444" t="str"/>
      <x:c r="R1444" t="str"/>
      <x:c r="S1444" t="str"/>
      <x:c r="T1444" t="str"/>
      <x:c r="U1444" t="str"/>
      <x:c r="V1444" t="str"/>
      <x:c r="W1444" t="str"/>
      <x:c r="X1444" t="str"/>
      <x:c r="Y1444" t="str">
        <x:v>https://data.ny.gov/Economic-Development/Active-Corporations-Beginning-1800/n9v6-gdp6</x:v>
      </x:c>
    </x:row>
    <x:row r="1445">
      <x:c r="A1445" t="str">
        <x:v>DOS-6-041</x:v>
      </x:c>
      <x:c r="B1445" t="n">
        <x:v>6</x:v>
      </x:c>
      <x:c r="C1445" t="str">
        <x:v>173 WEST SHORE ROAD, GREAT NECK, NY, 11024, US</x:v>
      </x:c>
      <x:c r="D1445" t="str">
        <x:v>HALSEY PARK 18 LLC</x:v>
      </x:c>
      <x:c r="E1445" t="str">
        <x:v>HALSEY PARK 18, LLC</x:v>
      </x:c>
      <x:c r="F1445" t="str">
        <x:v>Address-corroborated active match</x:v>
      </x:c>
      <x:c r="G1445" t="n">
        <x:v>1</x:v>
      </x:c>
      <x:c r="H1445" t="n">
        <x:v>2</x:v>
      </x:c>
      <x:c r="I1445" t="str">
        <x:v>5145551</x:v>
      </x:c>
      <x:c r="J1445" t="str">
        <x:v>HALSEY PARK 18, LLC</x:v>
      </x:c>
      <x:c r="K1445" s="55" t="n">
        <x:v>42885</x:v>
      </x:c>
      <x:c r="L1445" t="str">
        <x:v>Nassau</x:v>
      </x:c>
      <x:c r="M1445" t="str">
        <x:v>New York</x:v>
      </x:c>
      <x:c r="N1445" t="str">
        <x:v>DOMESTIC LIMITED LIABILITY COMPANY</x:v>
      </x:c>
      <x:c r="O1445" t="str">
        <x:v>HALSEY PARK 18, LLC</x:v>
      </x:c>
      <x:c r="P1445" t="str">
        <x:v>173 WEST SHORE ROAD, KINGS POINT, NY, 11024</x:v>
      </x:c>
      <x:c r="Q1445" t="str"/>
      <x:c r="R1445" t="str"/>
      <x:c r="S1445" t="str"/>
      <x:c r="T1445" t="str"/>
      <x:c r="U1445" t="str"/>
      <x:c r="V1445" t="str"/>
      <x:c r="W1445" t="str"/>
      <x:c r="X1445" t="str"/>
      <x:c r="Y1445" t="str">
        <x:v>https://data.ny.gov/Economic-Development/Active-Corporations-Beginning-1800/n9v6-gdp6</x:v>
      </x:c>
    </x:row>
    <x:row r="1446">
      <x:c r="A1446" t="str">
        <x:v>DOS-6-041</x:v>
      </x:c>
      <x:c r="B1446" t="n">
        <x:v>6</x:v>
      </x:c>
      <x:c r="C1446" t="str">
        <x:v>173 WEST SHORE ROAD, GREAT NECK, NY, 11024, US</x:v>
      </x:c>
      <x:c r="D1446" t="str">
        <x:v>HALSEY PARK 20 LLC</x:v>
      </x:c>
      <x:c r="E1446" t="str">
        <x:v>HALSEY PARK 20, LLC</x:v>
      </x:c>
      <x:c r="F1446" t="str">
        <x:v>Address-corroborated active match</x:v>
      </x:c>
      <x:c r="G1446" t="n">
        <x:v>1</x:v>
      </x:c>
      <x:c r="H1446" t="n">
        <x:v>2</x:v>
      </x:c>
      <x:c r="I1446" t="str">
        <x:v>6235795</x:v>
      </x:c>
      <x:c r="J1446" t="str">
        <x:v>HALSEY PARK 20, LLC</x:v>
      </x:c>
      <x:c r="K1446" s="55" t="n">
        <x:v>44412</x:v>
      </x:c>
      <x:c r="L1446" t="str">
        <x:v>Nassau</x:v>
      </x:c>
      <x:c r="M1446" t="str">
        <x:v>New York</x:v>
      </x:c>
      <x:c r="N1446" t="str">
        <x:v>DOMESTIC LIMITED LIABILITY COMPANY</x:v>
      </x:c>
      <x:c r="O1446" t="str">
        <x:v>THE LIMITED LIABILITY COMPANY</x:v>
      </x:c>
      <x:c r="P1446" t="str">
        <x:v>173 WEST SHORE ROAD, KINGS POINT, NY, 11024</x:v>
      </x:c>
      <x:c r="Q1446" t="str"/>
      <x:c r="R1446" t="str"/>
      <x:c r="S1446" t="str"/>
      <x:c r="T1446" t="str"/>
      <x:c r="U1446" t="str"/>
      <x:c r="V1446" t="str"/>
      <x:c r="W1446" t="str"/>
      <x:c r="X1446" t="str"/>
      <x:c r="Y1446" t="str">
        <x:v>https://data.ny.gov/Economic-Development/Active-Corporations-Beginning-1800/n9v6-gdp6</x:v>
      </x:c>
    </x:row>
    <x:row r="1447">
      <x:c r="A1447" t="str">
        <x:v>DOS-6-041</x:v>
      </x:c>
      <x:c r="B1447" t="n">
        <x:v>6</x:v>
      </x:c>
      <x:c r="C1447" t="str">
        <x:v>173 WEST SHORE ROAD, GREAT NECK, NY, 11024, US</x:v>
      </x:c>
      <x:c r="D1447" t="str">
        <x:v>HIGGINS AVENUE LLC</x:v>
      </x:c>
      <x:c r="E1447" t="str">
        <x:v>HIGGINS AVENUE LLC</x:v>
      </x:c>
      <x:c r="F1447" t="str">
        <x:v>No active DOS match</x:v>
      </x:c>
      <x:c r="G1447" t="n">
        <x:v>0</x:v>
      </x:c>
      <x:c r="H1447" t="n">
        <x:v>0</x:v>
      </x:c>
      <x:c r="I1447" t="str"/>
      <x:c r="J1447" t="str"/>
      <x:c r="K1447" s="55" t="str"/>
      <x:c r="L1447" t="str"/>
      <x:c r="M1447" t="str"/>
      <x:c r="N1447" t="str"/>
      <x:c r="O1447" t="str"/>
      <x:c r="P1447" t="str"/>
      <x:c r="Q1447" t="str"/>
      <x:c r="R1447" t="str"/>
      <x:c r="S1447" t="str"/>
      <x:c r="T1447" t="str"/>
      <x:c r="U1447" t="str"/>
      <x:c r="V1447" t="str"/>
      <x:c r="W1447" t="str"/>
      <x:c r="X1447" t="str"/>
      <x:c r="Y1447" t="str">
        <x:v>https://data.ny.gov/Economic-Development/Active-Corporations-Beginning-1800/n9v6-gdp6</x:v>
      </x:c>
    </x:row>
    <x:row r="1448">
      <x:c r="A1448" t="str">
        <x:v>DOS-6-042</x:v>
      </x:c>
      <x:c r="B1448" t="n">
        <x:v>6</x:v>
      </x:c>
      <x:c r="C1448" t="str">
        <x:v>207 ROCKAWAY TURNPIKE, FLOOR 3, UNIT CT, LAWRENCE, NY, 11559, US</x:v>
      </x:c>
      <x:c r="D1448" t="str">
        <x:v>1030 PARK PROPERTY LLC</x:v>
      </x:c>
      <x:c r="E1448" t="str">
        <x:v>1030 PARK PROPERTY LLC</x:v>
      </x:c>
      <x:c r="F1448" t="str">
        <x:v>Active name match</x:v>
      </x:c>
      <x:c r="G1448" t="n">
        <x:v>1</x:v>
      </x:c>
      <x:c r="H1448" t="n">
        <x:v>0</x:v>
      </x:c>
      <x:c r="I1448" t="str">
        <x:v>4356041</x:v>
      </x:c>
      <x:c r="J1448" t="str">
        <x:v>1030 PARK PROPERTY LLC</x:v>
      </x:c>
      <x:c r="K1448" s="55" t="n">
        <x:v>41310</x:v>
      </x:c>
      <x:c r="L1448" t="str">
        <x:v>New York</x:v>
      </x:c>
      <x:c r="M1448" t="str">
        <x:v>New York</x:v>
      </x:c>
      <x:c r="N1448" t="str">
        <x:v>DOMESTIC LIMITED LIABILITY COMPANY</x:v>
      </x:c>
      <x:c r="O1448" t="str">
        <x:v>1030 PARK PROPERTY LLC</x:v>
      </x:c>
      <x:c r="P1448" t="str">
        <x:v>PO BOX 179, CEDARHURST, NY, 11516</x:v>
      </x:c>
      <x:c r="Q1448" t="str"/>
      <x:c r="R1448" t="str"/>
      <x:c r="S1448" t="str"/>
      <x:c r="T1448" t="str"/>
      <x:c r="U1448" t="str"/>
      <x:c r="V1448" t="str"/>
      <x:c r="W1448" t="str"/>
      <x:c r="X1448" t="str"/>
      <x:c r="Y1448" t="str">
        <x:v>https://data.ny.gov/Economic-Development/Active-Corporations-Beginning-1800/n9v6-gdp6</x:v>
      </x:c>
    </x:row>
    <x:row r="1449">
      <x:c r="A1449" t="str">
        <x:v>DOS-6-042</x:v>
      </x:c>
      <x:c r="B1449" t="n">
        <x:v>6</x:v>
      </x:c>
      <x:c r="C1449" t="str">
        <x:v>207 ROCKAWAY TURNPIKE, FLOOR 3, UNIT CT, LAWRENCE, NY, 11559, US</x:v>
      </x:c>
      <x:c r="D1449" t="str">
        <x:v>46 54 WADSWORTH PROPERTY LLC</x:v>
      </x:c>
      <x:c r="E1449" t="str">
        <x:v>46-54 WADSWORTH PROPERTY LLC</x:v>
      </x:c>
      <x:c r="F1449" t="str">
        <x:v>Active name match</x:v>
      </x:c>
      <x:c r="G1449" t="n">
        <x:v>1</x:v>
      </x:c>
      <x:c r="H1449" t="n">
        <x:v>0</x:v>
      </x:c>
      <x:c r="I1449" t="str">
        <x:v>4356155</x:v>
      </x:c>
      <x:c r="J1449" t="str">
        <x:v>46-54 WADSWORTH PROPERTY LLC</x:v>
      </x:c>
      <x:c r="K1449" s="55" t="n">
        <x:v>41310</x:v>
      </x:c>
      <x:c r="L1449" t="str">
        <x:v>New York</x:v>
      </x:c>
      <x:c r="M1449" t="str">
        <x:v>New York</x:v>
      </x:c>
      <x:c r="N1449" t="str">
        <x:v>DOMESTIC LIMITED LIABILITY COMPANY</x:v>
      </x:c>
      <x:c r="O1449" t="str">
        <x:v>46-54 WADSWORTH PROPERTY LLC</x:v>
      </x:c>
      <x:c r="P1449" t="str">
        <x:v>2-30 Beach 102nd St, Suite 4b, Rockaway Park, NY, 11694</x:v>
      </x:c>
      <x:c r="Q1449" t="str"/>
      <x:c r="R1449" t="str"/>
      <x:c r="S1449" t="str"/>
      <x:c r="T1449" t="str"/>
      <x:c r="U1449" t="str"/>
      <x:c r="V1449" t="str"/>
      <x:c r="W1449" t="str"/>
      <x:c r="X1449" t="str"/>
      <x:c r="Y1449" t="str">
        <x:v>https://data.ny.gov/Economic-Development/Active-Corporations-Beginning-1800/n9v6-gdp6</x:v>
      </x:c>
    </x:row>
    <x:row r="1450">
      <x:c r="A1450" t="str">
        <x:v>DOS-6-042</x:v>
      </x:c>
      <x:c r="B1450" t="n">
        <x:v>6</x:v>
      </x:c>
      <x:c r="C1450" t="str">
        <x:v>207 ROCKAWAY TURNPIKE, FLOOR 3, UNIT CT, LAWRENCE, NY, 11559, US</x:v>
      </x:c>
      <x:c r="D1450" t="str">
        <x:v>5 WESTMINSTER PROPERTY LLC</x:v>
      </x:c>
      <x:c r="E1450" t="str">
        <x:v>5 WESTMINSTER PROPERTY LLC</x:v>
      </x:c>
      <x:c r="F1450" t="str">
        <x:v>Active name match</x:v>
      </x:c>
      <x:c r="G1450" t="n">
        <x:v>1</x:v>
      </x:c>
      <x:c r="H1450" t="n">
        <x:v>0</x:v>
      </x:c>
      <x:c r="I1450" t="str">
        <x:v>4355988</x:v>
      </x:c>
      <x:c r="J1450" t="str">
        <x:v>5 WESTMINSTER PROPERTY LLC</x:v>
      </x:c>
      <x:c r="K1450" s="55" t="n">
        <x:v>41310</x:v>
      </x:c>
      <x:c r="L1450" t="str">
        <x:v>New York</x:v>
      </x:c>
      <x:c r="M1450" t="str">
        <x:v>New York</x:v>
      </x:c>
      <x:c r="N1450" t="str">
        <x:v>DOMESTIC LIMITED LIABILITY COMPANY</x:v>
      </x:c>
      <x:c r="O1450" t="str">
        <x:v>5 WESTMINSTER PROPERTY LLC</x:v>
      </x:c>
      <x:c r="P1450" t="str">
        <x:v>2-30 Beach 102nd St, Suite 4b, Rockaway Park, NY, 11694</x:v>
      </x:c>
      <x:c r="Q1450" t="str"/>
      <x:c r="R1450" t="str"/>
      <x:c r="S1450" t="str"/>
      <x:c r="T1450" t="str"/>
      <x:c r="U1450" t="str"/>
      <x:c r="V1450" t="str"/>
      <x:c r="W1450" t="str"/>
      <x:c r="X1450" t="str"/>
      <x:c r="Y1450" t="str">
        <x:v>https://data.ny.gov/Economic-Development/Active-Corporations-Beginning-1800/n9v6-gdp6</x:v>
      </x:c>
    </x:row>
    <x:row r="1451">
      <x:c r="A1451" t="str">
        <x:v>DOS-6-042</x:v>
      </x:c>
      <x:c r="B1451" t="n">
        <x:v>6</x:v>
      </x:c>
      <x:c r="C1451" t="str">
        <x:v>207 ROCKAWAY TURNPIKE, FLOOR 3, UNIT CT, LAWRENCE, NY, 11559, US</x:v>
      </x:c>
      <x:c r="D1451" t="str">
        <x:v>551 565 WEST 190 PROPERTY LLC</x:v>
      </x:c>
      <x:c r="E1451" t="str">
        <x:v>551-565 WEST 190 PROPERTY LLC</x:v>
      </x:c>
      <x:c r="F1451" t="str">
        <x:v>Active name match</x:v>
      </x:c>
      <x:c r="G1451" t="n">
        <x:v>1</x:v>
      </x:c>
      <x:c r="H1451" t="n">
        <x:v>0</x:v>
      </x:c>
      <x:c r="I1451" t="str">
        <x:v>4356980</x:v>
      </x:c>
      <x:c r="J1451" t="str">
        <x:v>551-565 WEST 190 PROPERTY LLC</x:v>
      </x:c>
      <x:c r="K1451" s="55" t="n">
        <x:v>41311</x:v>
      </x:c>
      <x:c r="L1451" t="str">
        <x:v>New York</x:v>
      </x:c>
      <x:c r="M1451" t="str">
        <x:v>New York</x:v>
      </x:c>
      <x:c r="N1451" t="str">
        <x:v>DOMESTIC LIMITED LIABILITY COMPANY</x:v>
      </x:c>
      <x:c r="O1451" t="str">
        <x:v>551-565 WEST 190 PROPERTY LLC</x:v>
      </x:c>
      <x:c r="P1451" t="str">
        <x:v>2-30 Beach 102nd St, Suite 4b, Rockaway, NY, 11694</x:v>
      </x:c>
      <x:c r="Q1451" t="str"/>
      <x:c r="R1451" t="str"/>
      <x:c r="S1451" t="str"/>
      <x:c r="T1451" t="str"/>
      <x:c r="U1451" t="str"/>
      <x:c r="V1451" t="str"/>
      <x:c r="W1451" t="str"/>
      <x:c r="X1451" t="str"/>
      <x:c r="Y1451" t="str">
        <x:v>https://data.ny.gov/Economic-Development/Active-Corporations-Beginning-1800/n9v6-gdp6</x:v>
      </x:c>
    </x:row>
    <x:row r="1452">
      <x:c r="A1452" t="str">
        <x:v>DOS-6-042</x:v>
      </x:c>
      <x:c r="B1452" t="n">
        <x:v>6</x:v>
      </x:c>
      <x:c r="C1452" t="str">
        <x:v>207 ROCKAWAY TURNPIKE, FLOOR 3, UNIT CT, LAWRENCE, NY, 11559, US</x:v>
      </x:c>
      <x:c r="D1452" t="str">
        <x:v>590 OCEAN PROPERTY LLC</x:v>
      </x:c>
      <x:c r="E1452" t="str">
        <x:v>590 OCEAN PROPERTY LLC</x:v>
      </x:c>
      <x:c r="F1452" t="str">
        <x:v>Active name match</x:v>
      </x:c>
      <x:c r="G1452" t="n">
        <x:v>1</x:v>
      </x:c>
      <x:c r="H1452" t="n">
        <x:v>0</x:v>
      </x:c>
      <x:c r="I1452" t="str">
        <x:v>4355847</x:v>
      </x:c>
      <x:c r="J1452" t="str">
        <x:v>590 OCEAN PROPERTY LLC</x:v>
      </x:c>
      <x:c r="K1452" s="55" t="n">
        <x:v>41310</x:v>
      </x:c>
      <x:c r="L1452" t="str">
        <x:v>New York</x:v>
      </x:c>
      <x:c r="M1452" t="str">
        <x:v>New York</x:v>
      </x:c>
      <x:c r="N1452" t="str">
        <x:v>DOMESTIC LIMITED LIABILITY COMPANY</x:v>
      </x:c>
      <x:c r="O1452" t="str">
        <x:v>590 OCEAN PROPERTY LLC</x:v>
      </x:c>
      <x:c r="P1452" t="str">
        <x:v>2-30 Beach 102nd St, Suite 4b, Rockaway Park, NY, 11694</x:v>
      </x:c>
      <x:c r="Q1452" t="str"/>
      <x:c r="R1452" t="str"/>
      <x:c r="S1452" t="str"/>
      <x:c r="T1452" t="str"/>
      <x:c r="U1452" t="str"/>
      <x:c r="V1452" t="str"/>
      <x:c r="W1452" t="str"/>
      <x:c r="X1452" t="str"/>
      <x:c r="Y1452" t="str">
        <x:v>https://data.ny.gov/Economic-Development/Active-Corporations-Beginning-1800/n9v6-gdp6</x:v>
      </x:c>
    </x:row>
    <x:row r="1453">
      <x:c r="A1453" t="str">
        <x:v>DOS-6-042</x:v>
      </x:c>
      <x:c r="B1453" t="n">
        <x:v>6</x:v>
      </x:c>
      <x:c r="C1453" t="str">
        <x:v>207 ROCKAWAY TURNPIKE, FLOOR 3, UNIT CT, LAWRENCE, NY, 11559, US</x:v>
      </x:c>
      <x:c r="D1453" t="str">
        <x:v>75 ELLWOOD PROPERTY LLC</x:v>
      </x:c>
      <x:c r="E1453" t="str">
        <x:v>75 ELLWOOD PROPERTY LLC</x:v>
      </x:c>
      <x:c r="F1453" t="str">
        <x:v>Active name match</x:v>
      </x:c>
      <x:c r="G1453" t="n">
        <x:v>1</x:v>
      </x:c>
      <x:c r="H1453" t="n">
        <x:v>0</x:v>
      </x:c>
      <x:c r="I1453" t="str">
        <x:v>4356001</x:v>
      </x:c>
      <x:c r="J1453" t="str">
        <x:v>75 ELLWOOD PROPERTY LLC</x:v>
      </x:c>
      <x:c r="K1453" s="55" t="n">
        <x:v>41310</x:v>
      </x:c>
      <x:c r="L1453" t="str">
        <x:v>New York</x:v>
      </x:c>
      <x:c r="M1453" t="str">
        <x:v>New York</x:v>
      </x:c>
      <x:c r="N1453" t="str">
        <x:v>DOMESTIC LIMITED LIABILITY COMPANY</x:v>
      </x:c>
      <x:c r="O1453" t="str">
        <x:v>75 ELLWOOD PROPERTY LLC</x:v>
      </x:c>
      <x:c r="P1453" t="str">
        <x:v>2-30 Beach 102nd St, Suite 4b, Rockaway Park, NY, 11694</x:v>
      </x:c>
      <x:c r="Q1453" t="str"/>
      <x:c r="R1453" t="str"/>
      <x:c r="S1453" t="str"/>
      <x:c r="T1453" t="str"/>
      <x:c r="U1453" t="str"/>
      <x:c r="V1453" t="str"/>
      <x:c r="W1453" t="str"/>
      <x:c r="X1453" t="str"/>
      <x:c r="Y1453" t="str">
        <x:v>https://data.ny.gov/Economic-Development/Active-Corporations-Beginning-1800/n9v6-gdp6</x:v>
      </x:c>
    </x:row>
    <x:row r="1454">
      <x:c r="A1454" t="str">
        <x:v>DOS-6-043</x:v>
      </x:c>
      <x:c r="B1454" t="n">
        <x:v>6</x:v>
      </x:c>
      <x:c r="C1454" t="str">
        <x:v>31-07 FARRINGTON STREET, FLUSHING, NY, 11354, US</x:v>
      </x:c>
      <x:c r="D1454" t="str">
        <x:v>15 09 127TH STREET LLC</x:v>
      </x:c>
      <x:c r="E1454" t="str">
        <x:v>15-09 127TH STREET LLC</x:v>
      </x:c>
      <x:c r="F1454" t="str">
        <x:v>Active name match</x:v>
      </x:c>
      <x:c r="G1454" t="n">
        <x:v>1</x:v>
      </x:c>
      <x:c r="H1454" t="n">
        <x:v>1</x:v>
      </x:c>
      <x:c r="I1454" t="str">
        <x:v>3895649</x:v>
      </x:c>
      <x:c r="J1454" t="str">
        <x:v>15-09 127TH STREET, LLC</x:v>
      </x:c>
      <x:c r="K1454" s="55" t="n">
        <x:v>40183</x:v>
      </x:c>
      <x:c r="L1454" t="str">
        <x:v>Queens</x:v>
      </x:c>
      <x:c r="M1454" t="str">
        <x:v>New York</x:v>
      </x:c>
      <x:c r="N1454" t="str">
        <x:v>DOMESTIC LIMITED LIABILITY COMPANY</x:v>
      </x:c>
      <x:c r="O1454" t="str">
        <x:v>15-09 127TH STREET, LLC</x:v>
      </x:c>
      <x:c r="P1454" t="str">
        <x:v>ATT: ANNAMARIA OPPEDISANO, 31-07 FARRINGTON STREET, FLUSHING, NY, 11354</x:v>
      </x:c>
      <x:c r="Q1454" t="str"/>
      <x:c r="R1454" t="str"/>
      <x:c r="S1454" t="str"/>
      <x:c r="T1454" t="str"/>
      <x:c r="U1454" t="str"/>
      <x:c r="V1454" t="str"/>
      <x:c r="W1454" t="str"/>
      <x:c r="X1454" t="str"/>
      <x:c r="Y1454" t="str">
        <x:v>https://data.ny.gov/Economic-Development/Active-Corporations-Beginning-1800/n9v6-gdp6</x:v>
      </x:c>
    </x:row>
    <x:row r="1455">
      <x:c r="A1455" t="str">
        <x:v>DOS-6-043</x:v>
      </x:c>
      <x:c r="B1455" t="n">
        <x:v>6</x:v>
      </x:c>
      <x:c r="C1455" t="str">
        <x:v>31-07 FARRINGTON STREET, FLUSHING, NY, 11354, US</x:v>
      </x:c>
      <x:c r="D1455" t="str">
        <x:v>150 50 11TH AVE LLC</x:v>
      </x:c>
      <x:c r="E1455" t="str">
        <x:v>150-50 11TH AVE LLC</x:v>
      </x:c>
      <x:c r="F1455" t="str">
        <x:v>Address-corroborated active match</x:v>
      </x:c>
      <x:c r="G1455" t="n">
        <x:v>1</x:v>
      </x:c>
      <x:c r="H1455" t="n">
        <x:v>2</x:v>
      </x:c>
      <x:c r="I1455" t="str">
        <x:v>7834090</x:v>
      </x:c>
      <x:c r="J1455" t="str">
        <x:v>150-50 11TH AVE LLC</x:v>
      </x:c>
      <x:c r="K1455" s="55" t="n">
        <x:v>46066</x:v>
      </x:c>
      <x:c r="L1455" t="str">
        <x:v>Queens</x:v>
      </x:c>
      <x:c r="M1455" t="str">
        <x:v>New York</x:v>
      </x:c>
      <x:c r="N1455" t="str">
        <x:v>DOMESTIC LIMITED LIABILITY COMPANY</x:v>
      </x:c>
      <x:c r="O1455" t="str">
        <x:v>150-50 11TH AVE LLC</x:v>
      </x:c>
      <x:c r="P1455" t="str">
        <x:v>31-07 Farrington Street, Flushing, NY, 11354</x:v>
      </x:c>
      <x:c r="Q1455" t="str"/>
      <x:c r="R1455" t="str"/>
      <x:c r="S1455" t="str"/>
      <x:c r="T1455" t="str"/>
      <x:c r="U1455" t="str"/>
      <x:c r="V1455" t="str"/>
      <x:c r="W1455" t="str"/>
      <x:c r="X1455" t="str"/>
      <x:c r="Y1455" t="str">
        <x:v>https://data.ny.gov/Economic-Development/Active-Corporations-Beginning-1800/n9v6-gdp6</x:v>
      </x:c>
    </x:row>
    <x:row r="1456">
      <x:c r="A1456" t="str">
        <x:v>DOS-6-043</x:v>
      </x:c>
      <x:c r="B1456" t="n">
        <x:v>6</x:v>
      </x:c>
      <x:c r="C1456" t="str">
        <x:v>31-07 FARRINGTON STREET, FLUSHING, NY, 11354, US</x:v>
      </x:c>
      <x:c r="D1456" t="str">
        <x:v>34 16 REALTY HOLDINGS LLC</x:v>
      </x:c>
      <x:c r="E1456" t="str">
        <x:v>34-16 REALTY HOLDINGS LLC</x:v>
      </x:c>
      <x:c r="F1456" t="str">
        <x:v>Address-corroborated active match</x:v>
      </x:c>
      <x:c r="G1456" t="n">
        <x:v>1</x:v>
      </x:c>
      <x:c r="H1456" t="n">
        <x:v>2</x:v>
      </x:c>
      <x:c r="I1456" t="str">
        <x:v>5862936</x:v>
      </x:c>
      <x:c r="J1456" t="str">
        <x:v>34-16 REALTY HOLDINGS LLC</x:v>
      </x:c>
      <x:c r="K1456" s="55" t="n">
        <x:v>44126</x:v>
      </x:c>
      <x:c r="L1456" t="str">
        <x:v>Queens</x:v>
      </x:c>
      <x:c r="M1456" t="str">
        <x:v>New York</x:v>
      </x:c>
      <x:c r="N1456" t="str">
        <x:v>DOMESTIC LIMITED LIABILITY COMPANY</x:v>
      </x:c>
      <x:c r="O1456" t="str">
        <x:v>34-16 REALTY HOLDINGS LLC</x:v>
      </x:c>
      <x:c r="P1456" t="str">
        <x:v>31-07 FARRINGTON STREET, FLUSHING, NY, 11354</x:v>
      </x:c>
      <x:c r="Q1456" t="str"/>
      <x:c r="R1456" t="str"/>
      <x:c r="S1456" t="str"/>
      <x:c r="T1456" t="str"/>
      <x:c r="U1456" t="str"/>
      <x:c r="V1456" t="str"/>
      <x:c r="W1456" t="str"/>
      <x:c r="X1456" t="str"/>
      <x:c r="Y1456" t="str">
        <x:v>https://data.ny.gov/Economic-Development/Active-Corporations-Beginning-1800/n9v6-gdp6</x:v>
      </x:c>
    </x:row>
    <x:row r="1457">
      <x:c r="A1457" t="str">
        <x:v>DOS-6-043</x:v>
      </x:c>
      <x:c r="B1457" t="n">
        <x:v>6</x:v>
      </x:c>
      <x:c r="C1457" t="str">
        <x:v>31-07 FARRINGTON STREET, FLUSHING, NY, 11354, US</x:v>
      </x:c>
      <x:c r="D1457" t="str">
        <x:v>59 25 FRESH MEADOWS LLC</x:v>
      </x:c>
      <x:c r="E1457" t="str">
        <x:v>59-25 FRESH MEADOWS LLC</x:v>
      </x:c>
      <x:c r="F1457" t="str">
        <x:v>Address-corroborated active match</x:v>
      </x:c>
      <x:c r="G1457" t="n">
        <x:v>1</x:v>
      </x:c>
      <x:c r="H1457" t="n">
        <x:v>2</x:v>
      </x:c>
      <x:c r="I1457" t="str">
        <x:v>5768714</x:v>
      </x:c>
      <x:c r="J1457" t="str">
        <x:v>59-25 FRESH MEADOWS LLC</x:v>
      </x:c>
      <x:c r="K1457" s="55" t="n">
        <x:v>43998</x:v>
      </x:c>
      <x:c r="L1457" t="str">
        <x:v>Queens</x:v>
      </x:c>
      <x:c r="M1457" t="str">
        <x:v>New York</x:v>
      </x:c>
      <x:c r="N1457" t="str">
        <x:v>DOMESTIC LIMITED LIABILITY COMPANY</x:v>
      </x:c>
      <x:c r="O1457" t="str">
        <x:v>59-25 FRESH MEADOWS LLC</x:v>
      </x:c>
      <x:c r="P1457" t="str">
        <x:v>31-07 FARRINGTON STREET, FLUSHING, NY, 11354</x:v>
      </x:c>
      <x:c r="Q1457" t="str"/>
      <x:c r="R1457" t="str"/>
      <x:c r="S1457" t="str"/>
      <x:c r="T1457" t="str"/>
      <x:c r="U1457" t="str"/>
      <x:c r="V1457" t="str"/>
      <x:c r="W1457" t="str"/>
      <x:c r="X1457" t="str"/>
      <x:c r="Y1457" t="str">
        <x:v>https://data.ny.gov/Economic-Development/Active-Corporations-Beginning-1800/n9v6-gdp6</x:v>
      </x:c>
    </x:row>
    <x:row r="1458">
      <x:c r="A1458" t="str">
        <x:v>DOS-6-043</x:v>
      </x:c>
      <x:c r="B1458" t="n">
        <x:v>6</x:v>
      </x:c>
      <x:c r="C1458" t="str">
        <x:v>31-07 FARRINGTON STREET, FLUSHING, NY, 11354, US</x:v>
      </x:c>
      <x:c r="D1458" t="str">
        <x:v>FLUSHING AIRPORT HOLDINGS LLC</x:v>
      </x:c>
      <x:c r="E1458" t="str">
        <x:v>FLUSHING AIRPORT HOLDINGS LLC</x:v>
      </x:c>
      <x:c r="F1458" t="str">
        <x:v>Address-corroborated active match</x:v>
      </x:c>
      <x:c r="G1458" t="n">
        <x:v>1</x:v>
      </x:c>
      <x:c r="H1458" t="n">
        <x:v>2</x:v>
      </x:c>
      <x:c r="I1458" t="str">
        <x:v>3130611</x:v>
      </x:c>
      <x:c r="J1458" t="str">
        <x:v>FLUSHING AIRPORT HOLDINGS LLC</x:v>
      </x:c>
      <x:c r="K1458" s="55" t="n">
        <x:v>38317</x:v>
      </x:c>
      <x:c r="L1458" t="str">
        <x:v>Queens</x:v>
      </x:c>
      <x:c r="M1458" t="str">
        <x:v>New York</x:v>
      </x:c>
      <x:c r="N1458" t="str">
        <x:v>DOMESTIC LIMITED LIABILITY COMPANY</x:v>
      </x:c>
      <x:c r="O1458" t="str">
        <x:v>FLUSHING AIRPORT HOLDINGS LLC</x:v>
      </x:c>
      <x:c r="P1458" t="str">
        <x:v>31-07 FARRINGTON STREET, FLUSHING, NY, 11354</x:v>
      </x:c>
      <x:c r="Q1458" t="str"/>
      <x:c r="R1458" t="str"/>
      <x:c r="S1458" t="str"/>
      <x:c r="T1458" t="str"/>
      <x:c r="U1458" t="str"/>
      <x:c r="V1458" t="str"/>
      <x:c r="W1458" t="str"/>
      <x:c r="X1458" t="str"/>
      <x:c r="Y1458" t="str">
        <x:v>https://data.ny.gov/Economic-Development/Active-Corporations-Beginning-1800/n9v6-gdp6</x:v>
      </x:c>
    </x:row>
    <x:row r="1459">
      <x:c r="A1459" t="str">
        <x:v>DOS-6-043</x:v>
      </x:c>
      <x:c r="B1459" t="n">
        <x:v>6</x:v>
      </x:c>
      <x:c r="C1459" t="str">
        <x:v>31-07 FARRINGTON STREET, FLUSHING, NY, 11354, US</x:v>
      </x:c>
      <x:c r="D1459" t="str">
        <x:v>ROCKAWAY BOULEVARD REALTY LLC</x:v>
      </x:c>
      <x:c r="E1459" t="str">
        <x:v>ROCKAWAY BOULEVARD REALTY LLC</x:v>
      </x:c>
      <x:c r="F1459" t="str">
        <x:v>Active name match</x:v>
      </x:c>
      <x:c r="G1459" t="n">
        <x:v>1</x:v>
      </x:c>
      <x:c r="H1459" t="n">
        <x:v>0</x:v>
      </x:c>
      <x:c r="I1459" t="str">
        <x:v>2985745</x:v>
      </x:c>
      <x:c r="J1459" t="str">
        <x:v>ROCKAWAY BOULEVARD REALTY LLC</x:v>
      </x:c>
      <x:c r="K1459" s="55" t="n">
        <x:v>37960</x:v>
      </x:c>
      <x:c r="L1459" t="str">
        <x:v>Queens</x:v>
      </x:c>
      <x:c r="M1459" t="str">
        <x:v>New York</x:v>
      </x:c>
      <x:c r="N1459" t="str">
        <x:v>DOMESTIC LIMITED LIABILITY COMPANY</x:v>
      </x:c>
      <x:c r="O1459" t="str">
        <x:v>ROCKAWAY BOULEVARD REALTY LLC</x:v>
      </x:c>
      <x:c r="P1459" t="str">
        <x:v>9-15 MALBA DRIVE, WHITESTONE, NY, 11357</x:v>
      </x:c>
      <x:c r="Q1459" t="str"/>
      <x:c r="R1459" t="str"/>
      <x:c r="S1459" t="str"/>
      <x:c r="T1459" t="str"/>
      <x:c r="U1459" t="str"/>
      <x:c r="V1459" t="str"/>
      <x:c r="W1459" t="str"/>
      <x:c r="X1459" t="str"/>
      <x:c r="Y1459" t="str">
        <x:v>https://data.ny.gov/Economic-Development/Active-Corporations-Beginning-1800/n9v6-gdp6</x:v>
      </x:c>
    </x:row>
    <x:row r="1460">
      <x:c r="A1460" t="str">
        <x:v>DOS-6-044</x:v>
      </x:c>
      <x:c r="B1460" t="n">
        <x:v>6</x:v>
      </x:c>
      <x:c r="C1460" t="str">
        <x:v>425  EAST 61ST STREET, NEW YORK, NY, US</x:v>
      </x:c>
      <x:c r="D1460" t="str">
        <x:v>BEDFORD EQUITIES LLC</x:v>
      </x:c>
      <x:c r="E1460" t="str">
        <x:v>BEDFORD EQUITIES LLC</x:v>
      </x:c>
      <x:c r="F1460" t="str">
        <x:v>Active name match</x:v>
      </x:c>
      <x:c r="G1460" t="n">
        <x:v>1</x:v>
      </x:c>
      <x:c r="H1460" t="n">
        <x:v>0</x:v>
      </x:c>
      <x:c r="I1460" t="str">
        <x:v>1922837</x:v>
      </x:c>
      <x:c r="J1460" t="str">
        <x:v>BEDFORD EQUITIES, LLC</x:v>
      </x:c>
      <x:c r="K1460" s="55" t="n">
        <x:v>34836</x:v>
      </x:c>
      <x:c r="L1460" t="str">
        <x:v>New York</x:v>
      </x:c>
      <x:c r="M1460" t="str">
        <x:v>New York</x:v>
      </x:c>
      <x:c r="N1460" t="str">
        <x:v>DOMESTIC LIMITED LIABILITY COMPANY</x:v>
      </x:c>
      <x:c r="O1460" t="str">
        <x:v>BEDFORD EQUITIES, LLC</x:v>
      </x:c>
      <x:c r="P1460" t="str">
        <x:v>3 W 57TH STREET / 7TH FL, NEW YORK, NY, 10019</x:v>
      </x:c>
      <x:c r="Q1460" t="str"/>
      <x:c r="R1460" t="str"/>
      <x:c r="S1460" t="str"/>
      <x:c r="T1460" t="str"/>
      <x:c r="U1460" t="str"/>
      <x:c r="V1460" t="str"/>
      <x:c r="W1460" t="str"/>
      <x:c r="X1460" t="str"/>
      <x:c r="Y1460" t="str">
        <x:v>https://data.ny.gov/Economic-Development/Active-Corporations-Beginning-1800/n9v6-gdp6</x:v>
      </x:c>
    </x:row>
    <x:row r="1461">
      <x:c r="A1461" t="str">
        <x:v>DOS-6-044</x:v>
      </x:c>
      <x:c r="B1461" t="n">
        <x:v>6</x:v>
      </x:c>
      <x:c r="C1461" t="str">
        <x:v>425  EAST 61ST STREET, NEW YORK, NY, US</x:v>
      </x:c>
      <x:c r="D1461" t="str">
        <x:v>ELJO COMPANY LLC</x:v>
      </x:c>
      <x:c r="E1461" t="str">
        <x:v>ELJO COMPANY, LLC</x:v>
      </x:c>
      <x:c r="F1461" t="str">
        <x:v>Active name match</x:v>
      </x:c>
      <x:c r="G1461" t="n">
        <x:v>1</x:v>
      </x:c>
      <x:c r="H1461" t="n">
        <x:v>0</x:v>
      </x:c>
      <x:c r="I1461" t="str">
        <x:v>1923107</x:v>
      </x:c>
      <x:c r="J1461" t="str">
        <x:v>ELJO COMPANY, LLC</x:v>
      </x:c>
      <x:c r="K1461" s="55" t="n">
        <x:v>34836</x:v>
      </x:c>
      <x:c r="L1461" t="str">
        <x:v>New York</x:v>
      </x:c>
      <x:c r="M1461" t="str">
        <x:v>New York</x:v>
      </x:c>
      <x:c r="N1461" t="str">
        <x:v>DOMESTIC LIMITED LIABILITY COMPANY</x:v>
      </x:c>
      <x:c r="O1461" t="str">
        <x:v>ELJO COMPANY, LLC</x:v>
      </x:c>
      <x:c r="P1461" t="str">
        <x:v>3 W 57TH ST, 7TH FL, NEW YORK, NY, 10019</x:v>
      </x:c>
      <x:c r="Q1461" t="str"/>
      <x:c r="R1461" t="str"/>
      <x:c r="S1461" t="str"/>
      <x:c r="T1461" t="str"/>
      <x:c r="U1461" t="str"/>
      <x:c r="V1461" t="str"/>
      <x:c r="W1461" t="str"/>
      <x:c r="X1461" t="str"/>
      <x:c r="Y1461" t="str">
        <x:v>https://data.ny.gov/Economic-Development/Active-Corporations-Beginning-1800/n9v6-gdp6</x:v>
      </x:c>
    </x:row>
    <x:row r="1462">
      <x:c r="A1462" t="str">
        <x:v>DOS-6-044</x:v>
      </x:c>
      <x:c r="B1462" t="n">
        <x:v>6</x:v>
      </x:c>
      <x:c r="C1462" t="str">
        <x:v>425  EAST 61ST STREET, NEW YORK, NY, US</x:v>
      </x:c>
      <x:c r="D1462" t="str">
        <x:v>ELLIANA 65 LLC</x:v>
      </x:c>
      <x:c r="E1462" t="str">
        <x:v>ELLIANA 65 LLC</x:v>
      </x:c>
      <x:c r="F1462" t="str">
        <x:v>Active name match</x:v>
      </x:c>
      <x:c r="G1462" t="n">
        <x:v>1</x:v>
      </x:c>
      <x:c r="H1462" t="n">
        <x:v>0</x:v>
      </x:c>
      <x:c r="I1462" t="str">
        <x:v>2328483</x:v>
      </x:c>
      <x:c r="J1462" t="str">
        <x:v>ELLIANA 65 LLC</x:v>
      </x:c>
      <x:c r="K1462" s="55" t="n">
        <x:v>36153</x:v>
      </x:c>
      <x:c r="L1462" t="str">
        <x:v>New York</x:v>
      </x:c>
      <x:c r="M1462" t="str">
        <x:v>New York</x:v>
      </x:c>
      <x:c r="N1462" t="str">
        <x:v>DOMESTIC LIMITED LIABILITY COMPANY</x:v>
      </x:c>
      <x:c r="O1462" t="str">
        <x:v>ELLIANA 65 LLC</x:v>
      </x:c>
      <x:c r="P1462" t="str">
        <x:v>3 WET 57TH STREET, FL 7, NEW YORK, NY, 10019</x:v>
      </x:c>
      <x:c r="Q1462" t="str"/>
      <x:c r="R1462" t="str"/>
      <x:c r="S1462" t="str"/>
      <x:c r="T1462" t="str"/>
      <x:c r="U1462" t="str"/>
      <x:c r="V1462" t="str"/>
      <x:c r="W1462" t="str"/>
      <x:c r="X1462" t="str"/>
      <x:c r="Y1462" t="str">
        <x:v>https://data.ny.gov/Economic-Development/Active-Corporations-Beginning-1800/n9v6-gdp6</x:v>
      </x:c>
    </x:row>
    <x:row r="1463">
      <x:c r="A1463" t="str">
        <x:v>DOS-6-044</x:v>
      </x:c>
      <x:c r="B1463" t="n">
        <x:v>6</x:v>
      </x:c>
      <x:c r="C1463" t="str">
        <x:v>425  EAST 61ST STREET, NEW YORK, NY, US</x:v>
      </x:c>
      <x:c r="D1463" t="str">
        <x:v>ELLIANA 76 LLC</x:v>
      </x:c>
      <x:c r="E1463" t="str">
        <x:v>ELLIANA 76 LLC</x:v>
      </x:c>
      <x:c r="F1463" t="str">
        <x:v>Active name match</x:v>
      </x:c>
      <x:c r="G1463" t="n">
        <x:v>1</x:v>
      </x:c>
      <x:c r="H1463" t="n">
        <x:v>0</x:v>
      </x:c>
      <x:c r="I1463" t="str">
        <x:v>2328472</x:v>
      </x:c>
      <x:c r="J1463" t="str">
        <x:v>ELLIANA 76 LLC</x:v>
      </x:c>
      <x:c r="K1463" s="55" t="n">
        <x:v>36153</x:v>
      </x:c>
      <x:c r="L1463" t="str">
        <x:v>New York</x:v>
      </x:c>
      <x:c r="M1463" t="str">
        <x:v>New York</x:v>
      </x:c>
      <x:c r="N1463" t="str">
        <x:v>DOMESTIC LIMITED LIABILITY COMPANY</x:v>
      </x:c>
      <x:c r="O1463" t="str">
        <x:v>ELLIANA 76 LLC</x:v>
      </x:c>
      <x:c r="P1463" t="str">
        <x:v>3 WET 57TH STREET, FL 7, NEW YORK, NY, 10019</x:v>
      </x:c>
      <x:c r="Q1463" t="str"/>
      <x:c r="R1463" t="str"/>
      <x:c r="S1463" t="str"/>
      <x:c r="T1463" t="str"/>
      <x:c r="U1463" t="str"/>
      <x:c r="V1463" t="str"/>
      <x:c r="W1463" t="str"/>
      <x:c r="X1463" t="str"/>
      <x:c r="Y1463" t="str">
        <x:v>https://data.ny.gov/Economic-Development/Active-Corporations-Beginning-1800/n9v6-gdp6</x:v>
      </x:c>
    </x:row>
    <x:row r="1464">
      <x:c r="A1464" t="str">
        <x:v>DOS-6-044</x:v>
      </x:c>
      <x:c r="B1464" t="n">
        <x:v>6</x:v>
      </x:c>
      <x:c r="C1464" t="str">
        <x:v>425  EAST 61ST STREET, NEW YORK, NY, US</x:v>
      </x:c>
      <x:c r="D1464" t="str">
        <x:v>ELLIANA 90 LLC</x:v>
      </x:c>
      <x:c r="E1464" t="str">
        <x:v>ELLIANA 90 LLC</x:v>
      </x:c>
      <x:c r="F1464" t="str">
        <x:v>Active name match</x:v>
      </x:c>
      <x:c r="G1464" t="n">
        <x:v>1</x:v>
      </x:c>
      <x:c r="H1464" t="n">
        <x:v>0</x:v>
      </x:c>
      <x:c r="I1464" t="str">
        <x:v>2328476</x:v>
      </x:c>
      <x:c r="J1464" t="str">
        <x:v>ELLIANA 90 LLC</x:v>
      </x:c>
      <x:c r="K1464" s="55" t="n">
        <x:v>36153</x:v>
      </x:c>
      <x:c r="L1464" t="str">
        <x:v>New York</x:v>
      </x:c>
      <x:c r="M1464" t="str">
        <x:v>New York</x:v>
      </x:c>
      <x:c r="N1464" t="str">
        <x:v>DOMESTIC LIMITED LIABILITY COMPANY</x:v>
      </x:c>
      <x:c r="O1464" t="str">
        <x:v>ELLIANA 90 LLC</x:v>
      </x:c>
      <x:c r="P1464" t="str">
        <x:v>3 WEST 57TH STREET, FL 7, NEW YORK, NY, 10019</x:v>
      </x:c>
      <x:c r="Q1464" t="str"/>
      <x:c r="R1464" t="str"/>
      <x:c r="S1464" t="str"/>
      <x:c r="T1464" t="str"/>
      <x:c r="U1464" t="str"/>
      <x:c r="V1464" t="str"/>
      <x:c r="W1464" t="str"/>
      <x:c r="X1464" t="str"/>
      <x:c r="Y1464" t="str">
        <x:v>https://data.ny.gov/Economic-Development/Active-Corporations-Beginning-1800/n9v6-gdp6</x:v>
      </x:c>
    </x:row>
    <x:row r="1465">
      <x:c r="A1465" t="str">
        <x:v>DOS-6-044</x:v>
      </x:c>
      <x:c r="B1465" t="n">
        <x:v>6</x:v>
      </x:c>
      <x:c r="C1465" t="str">
        <x:v>425  EAST 61ST STREET, NEW YORK, NY, US</x:v>
      </x:c>
      <x:c r="D1465" t="str">
        <x:v>NYCA REALTY LLC</x:v>
      </x:c>
      <x:c r="E1465" t="str">
        <x:v>NYCA REALTY LLC</x:v>
      </x:c>
      <x:c r="F1465" t="str">
        <x:v>Active name match</x:v>
      </x:c>
      <x:c r="G1465" t="n">
        <x:v>1</x:v>
      </x:c>
      <x:c r="H1465" t="n">
        <x:v>0</x:v>
      </x:c>
      <x:c r="I1465" t="str">
        <x:v>2322235</x:v>
      </x:c>
      <x:c r="J1465" t="str">
        <x:v>NYCA REALTY, LLC</x:v>
      </x:c>
      <x:c r="K1465" s="55" t="n">
        <x:v>36136</x:v>
      </x:c>
      <x:c r="L1465" t="str">
        <x:v>New York</x:v>
      </x:c>
      <x:c r="M1465" t="str">
        <x:v>New York</x:v>
      </x:c>
      <x:c r="N1465" t="str">
        <x:v>DOMESTIC LIMITED LIABILITY COMPANY</x:v>
      </x:c>
      <x:c r="O1465" t="str">
        <x:v>NYCA REALTY, LLC</x:v>
      </x:c>
      <x:c r="P1465" t="str">
        <x:v>425 E 61ST STREET / 6TH FL, NEW YORK, NY, 10065</x:v>
      </x:c>
      <x:c r="Q1465" t="str"/>
      <x:c r="R1465" t="str"/>
      <x:c r="S1465" t="str"/>
      <x:c r="T1465" t="str"/>
      <x:c r="U1465" t="str"/>
      <x:c r="V1465" t="str"/>
      <x:c r="W1465" t="str"/>
      <x:c r="X1465" t="str"/>
      <x:c r="Y1465" t="str">
        <x:v>https://data.ny.gov/Economic-Development/Active-Corporations-Beginning-1800/n9v6-gdp6</x:v>
      </x:c>
    </x:row>
    <x:row r="1466">
      <x:c r="A1466" t="str">
        <x:v>DOS-6-045</x:v>
      </x:c>
      <x:c r="B1466" t="n">
        <x:v>6</x:v>
      </x:c>
      <x:c r="C1466" t="str">
        <x:v>475 CLINTON AVENUE, BROOKLYN, NY, 11238, US</x:v>
      </x:c>
      <x:c r="D1466" t="str">
        <x:v>1200 UTICA AVE REALTY LLC</x:v>
      </x:c>
      <x:c r="E1466" t="str">
        <x:v>1200 UTICA AVE REALTY LLC</x:v>
      </x:c>
      <x:c r="F1466" t="str">
        <x:v>Address-corroborated active match</x:v>
      </x:c>
      <x:c r="G1466" t="n">
        <x:v>1</x:v>
      </x:c>
      <x:c r="H1466" t="n">
        <x:v>2</x:v>
      </x:c>
      <x:c r="I1466" t="str">
        <x:v>5030832</x:v>
      </x:c>
      <x:c r="J1466" t="str">
        <x:v>1200 UTICA AVE REALTY LLC</x:v>
      </x:c>
      <x:c r="K1466" s="55" t="n">
        <x:v>42674</x:v>
      </x:c>
      <x:c r="L1466" t="str">
        <x:v>Kings</x:v>
      </x:c>
      <x:c r="M1466" t="str">
        <x:v>New York</x:v>
      </x:c>
      <x:c r="N1466" t="str">
        <x:v>DOMESTIC LIMITED LIABILITY COMPANY</x:v>
      </x:c>
      <x:c r="O1466" t="str">
        <x:v>1200 UTICA AVE REALTY LLC</x:v>
      </x:c>
      <x:c r="P1466" t="str">
        <x:v>475 CLINTON AVENUE, BROOKLYN, NY, 11238</x:v>
      </x:c>
      <x:c r="Q1466" t="str"/>
      <x:c r="R1466" t="str"/>
      <x:c r="S1466" t="str"/>
      <x:c r="T1466" t="str"/>
      <x:c r="U1466" t="str"/>
      <x:c r="V1466" t="str"/>
      <x:c r="W1466" t="str"/>
      <x:c r="X1466" t="str"/>
      <x:c r="Y1466" t="str">
        <x:v>https://data.ny.gov/Economic-Development/Active-Corporations-Beginning-1800/n9v6-gdp6</x:v>
      </x:c>
    </x:row>
    <x:row r="1467">
      <x:c r="A1467" t="str">
        <x:v>DOS-6-045</x:v>
      </x:c>
      <x:c r="B1467" t="n">
        <x:v>6</x:v>
      </x:c>
      <x:c r="C1467" t="str">
        <x:v>475 CLINTON AVENUE, BROOKLYN, NY, 11238, US</x:v>
      </x:c>
      <x:c r="D1467" t="str">
        <x:v>351 353 LLC</x:v>
      </x:c>
      <x:c r="E1467" t="str">
        <x:v>351-353 LLC</x:v>
      </x:c>
      <x:c r="F1467" t="str">
        <x:v>Address-corroborated active match</x:v>
      </x:c>
      <x:c r="G1467" t="n">
        <x:v>1</x:v>
      </x:c>
      <x:c r="H1467" t="n">
        <x:v>2</x:v>
      </x:c>
      <x:c r="I1467" t="str">
        <x:v>4333492</x:v>
      </x:c>
      <x:c r="J1467" t="str">
        <x:v>351-353 LLC</x:v>
      </x:c>
      <x:c r="K1467" s="55" t="n">
        <x:v>41260</x:v>
      </x:c>
      <x:c r="L1467" t="str">
        <x:v>Kings</x:v>
      </x:c>
      <x:c r="M1467" t="str">
        <x:v>New York</x:v>
      </x:c>
      <x:c r="N1467" t="str">
        <x:v>DOMESTIC LIMITED LIABILITY COMPANY</x:v>
      </x:c>
      <x:c r="O1467" t="str">
        <x:v>351-353 LLC</x:v>
      </x:c>
      <x:c r="P1467" t="str">
        <x:v>475 CLINTON AVENUE, BROOKLYN, NY, 11238</x:v>
      </x:c>
      <x:c r="Q1467" t="str"/>
      <x:c r="R1467" t="str"/>
      <x:c r="S1467" t="str"/>
      <x:c r="T1467" t="str"/>
      <x:c r="U1467" t="str"/>
      <x:c r="V1467" t="str"/>
      <x:c r="W1467" t="str"/>
      <x:c r="X1467" t="str"/>
      <x:c r="Y1467" t="str">
        <x:v>https://data.ny.gov/Economic-Development/Active-Corporations-Beginning-1800/n9v6-gdp6</x:v>
      </x:c>
    </x:row>
    <x:row r="1468">
      <x:c r="A1468" t="str">
        <x:v>DOS-6-045</x:v>
      </x:c>
      <x:c r="B1468" t="n">
        <x:v>6</x:v>
      </x:c>
      <x:c r="C1468" t="str">
        <x:v>475 CLINTON AVENUE, BROOKLYN, NY, 11238, US</x:v>
      </x:c>
      <x:c r="D1468" t="str">
        <x:v>376 GRAND AVE REALTY LLC</x:v>
      </x:c>
      <x:c r="E1468" t="str">
        <x:v>376 GRAND AVE REALTY LLC</x:v>
      </x:c>
      <x:c r="F1468" t="str">
        <x:v>Address-corroborated active match</x:v>
      </x:c>
      <x:c r="G1468" t="n">
        <x:v>1</x:v>
      </x:c>
      <x:c r="H1468" t="n">
        <x:v>2</x:v>
      </x:c>
      <x:c r="I1468" t="str">
        <x:v>4333465</x:v>
      </x:c>
      <x:c r="J1468" t="str">
        <x:v>376 GRAND AVE REALTY LLC</x:v>
      </x:c>
      <x:c r="K1468" s="55" t="n">
        <x:v>41260</x:v>
      </x:c>
      <x:c r="L1468" t="str">
        <x:v>Kings</x:v>
      </x:c>
      <x:c r="M1468" t="str">
        <x:v>New York</x:v>
      </x:c>
      <x:c r="N1468" t="str">
        <x:v>DOMESTIC LIMITED LIABILITY COMPANY</x:v>
      </x:c>
      <x:c r="O1468" t="str">
        <x:v>376 GRAND AVE REALTY                                                                                                                               LLC</x:v>
      </x:c>
      <x:c r="P1468" t="str">
        <x:v>475 CLINTON AVENUE, BROOKLYN, NY, 11238</x:v>
      </x:c>
      <x:c r="Q1468" t="str"/>
      <x:c r="R1468" t="str"/>
      <x:c r="S1468" t="str"/>
      <x:c r="T1468" t="str"/>
      <x:c r="U1468" t="str"/>
      <x:c r="V1468" t="str"/>
      <x:c r="W1468" t="str"/>
      <x:c r="X1468" t="str"/>
      <x:c r="Y1468" t="str">
        <x:v>https://data.ny.gov/Economic-Development/Active-Corporations-Beginning-1800/n9v6-gdp6</x:v>
      </x:c>
    </x:row>
    <x:row r="1469">
      <x:c r="A1469" t="str">
        <x:v>DOS-6-045</x:v>
      </x:c>
      <x:c r="B1469" t="n">
        <x:v>6</x:v>
      </x:c>
      <x:c r="C1469" t="str">
        <x:v>475 CLINTON AVENUE, BROOKLYN, NY, 11238, US</x:v>
      </x:c>
      <x:c r="D1469" t="str">
        <x:v>469 CLINTON AVE REALTY LLC</x:v>
      </x:c>
      <x:c r="E1469" t="str">
        <x:v>469 CLINTON AVE REALTY LLC</x:v>
      </x:c>
      <x:c r="F1469" t="str">
        <x:v>Address-corroborated active match</x:v>
      </x:c>
      <x:c r="G1469" t="n">
        <x:v>1</x:v>
      </x:c>
      <x:c r="H1469" t="n">
        <x:v>2</x:v>
      </x:c>
      <x:c r="I1469" t="str">
        <x:v>4333467</x:v>
      </x:c>
      <x:c r="J1469" t="str">
        <x:v>469 CLINTON AVE REALTY LLC</x:v>
      </x:c>
      <x:c r="K1469" s="55" t="n">
        <x:v>41260</x:v>
      </x:c>
      <x:c r="L1469" t="str">
        <x:v>Kings</x:v>
      </x:c>
      <x:c r="M1469" t="str">
        <x:v>New York</x:v>
      </x:c>
      <x:c r="N1469" t="str">
        <x:v>DOMESTIC LIMITED LIABILITY COMPANY</x:v>
      </x:c>
      <x:c r="O1469" t="str">
        <x:v>469 CLINTON AVE REALTY LLC</x:v>
      </x:c>
      <x:c r="P1469" t="str">
        <x:v>475 CLINTON AVENUE, BROOKLYN, NY, 11238</x:v>
      </x:c>
      <x:c r="Q1469" t="str"/>
      <x:c r="R1469" t="str"/>
      <x:c r="S1469" t="str"/>
      <x:c r="T1469" t="str"/>
      <x:c r="U1469" t="str"/>
      <x:c r="V1469" t="str"/>
      <x:c r="W1469" t="str"/>
      <x:c r="X1469" t="str"/>
      <x:c r="Y1469" t="str">
        <x:v>https://data.ny.gov/Economic-Development/Active-Corporations-Beginning-1800/n9v6-gdp6</x:v>
      </x:c>
    </x:row>
    <x:row r="1470">
      <x:c r="A1470" t="str">
        <x:v>DOS-6-045</x:v>
      </x:c>
      <x:c r="B1470" t="n">
        <x:v>6</x:v>
      </x:c>
      <x:c r="C1470" t="str">
        <x:v>475 CLINTON AVENUE, BROOKLYN, NY, 11238, US</x:v>
      </x:c>
      <x:c r="D1470" t="str">
        <x:v>50 56 HANCOCK ST LLC</x:v>
      </x:c>
      <x:c r="E1470" t="str">
        <x:v>50-56 HANCOCK ST LLC</x:v>
      </x:c>
      <x:c r="F1470" t="str">
        <x:v>Address-corroborated active match</x:v>
      </x:c>
      <x:c r="G1470" t="n">
        <x:v>1</x:v>
      </x:c>
      <x:c r="H1470" t="n">
        <x:v>2</x:v>
      </x:c>
      <x:c r="I1470" t="str">
        <x:v>4501339</x:v>
      </x:c>
      <x:c r="J1470" t="str">
        <x:v>50-56 HANCOCK ST LLC</x:v>
      </x:c>
      <x:c r="K1470" s="55" t="n">
        <x:v>41624</x:v>
      </x:c>
      <x:c r="L1470" t="str">
        <x:v>Kings</x:v>
      </x:c>
      <x:c r="M1470" t="str">
        <x:v>New York</x:v>
      </x:c>
      <x:c r="N1470" t="str">
        <x:v>DOMESTIC LIMITED LIABILITY COMPANY</x:v>
      </x:c>
      <x:c r="O1470" t="str">
        <x:v>50-56 HANCOCK ST LLC</x:v>
      </x:c>
      <x:c r="P1470" t="str">
        <x:v>475 CLINTON AVENUE, BROOKLYN, NY, 11238</x:v>
      </x:c>
      <x:c r="Q1470" t="str"/>
      <x:c r="R1470" t="str"/>
      <x:c r="S1470" t="str"/>
      <x:c r="T1470" t="str"/>
      <x:c r="U1470" t="str"/>
      <x:c r="V1470" t="str"/>
      <x:c r="W1470" t="str"/>
      <x:c r="X1470" t="str"/>
      <x:c r="Y1470" t="str">
        <x:v>https://data.ny.gov/Economic-Development/Active-Corporations-Beginning-1800/n9v6-gdp6</x:v>
      </x:c>
    </x:row>
    <x:row r="1471">
      <x:c r="A1471" t="str">
        <x:v>DOS-6-045</x:v>
      </x:c>
      <x:c r="B1471" t="n">
        <x:v>6</x:v>
      </x:c>
      <x:c r="C1471" t="str">
        <x:v>475 CLINTON AVENUE, BROOKLYN, NY, 11238, US</x:v>
      </x:c>
      <x:c r="D1471" t="str">
        <x:v>6 ST FELIX REALTY LLC</x:v>
      </x:c>
      <x:c r="E1471" t="str">
        <x:v>6 ST. FELIX REALTY LLC</x:v>
      </x:c>
      <x:c r="F1471" t="str">
        <x:v>Address-corroborated active match</x:v>
      </x:c>
      <x:c r="G1471" t="n">
        <x:v>1</x:v>
      </x:c>
      <x:c r="H1471" t="n">
        <x:v>2</x:v>
      </x:c>
      <x:c r="I1471" t="str">
        <x:v>4333494</x:v>
      </x:c>
      <x:c r="J1471" t="str">
        <x:v>6 ST. FELIX REALTY LLC</x:v>
      </x:c>
      <x:c r="K1471" s="55" t="n">
        <x:v>41260</x:v>
      </x:c>
      <x:c r="L1471" t="str">
        <x:v>Kings</x:v>
      </x:c>
      <x:c r="M1471" t="str">
        <x:v>New York</x:v>
      </x:c>
      <x:c r="N1471" t="str">
        <x:v>DOMESTIC LIMITED LIABILITY COMPANY</x:v>
      </x:c>
      <x:c r="O1471" t="str">
        <x:v>6 ST. FELIX REALTY LLC</x:v>
      </x:c>
      <x:c r="P1471" t="str">
        <x:v>475 CLINTON AVENUE, BROOKLYN, NY, 11238</x:v>
      </x:c>
      <x:c r="Q1471" t="str"/>
      <x:c r="R1471" t="str"/>
      <x:c r="S1471" t="str"/>
      <x:c r="T1471" t="str"/>
      <x:c r="U1471" t="str"/>
      <x:c r="V1471" t="str"/>
      <x:c r="W1471" t="str"/>
      <x:c r="X1471" t="str"/>
      <x:c r="Y1471" t="str">
        <x:v>https://data.ny.gov/Economic-Development/Active-Corporations-Beginning-1800/n9v6-gdp6</x:v>
      </x:c>
    </x:row>
    <x:row r="1472">
      <x:c r="A1472" t="str">
        <x:v>DOS-6-046</x:v>
      </x:c>
      <x:c r="B1472" t="n">
        <x:v>6</x:v>
      </x:c>
      <x:c r="C1472" t="str">
        <x:v>50 HAMILTON AVENUE, VALLEY STREAM, NY, 11580, US</x:v>
      </x:c>
      <x:c r="D1472" t="str">
        <x:v>105 04 37 AVENUE LLC</x:v>
      </x:c>
      <x:c r="E1472" t="str">
        <x:v>105-04 37 AVENUE LLC.</x:v>
      </x:c>
      <x:c r="F1472" t="str">
        <x:v>Active name match</x:v>
      </x:c>
      <x:c r="G1472" t="n">
        <x:v>1</x:v>
      </x:c>
      <x:c r="H1472" t="n">
        <x:v>0</x:v>
      </x:c>
      <x:c r="I1472" t="str">
        <x:v>4714429</x:v>
      </x:c>
      <x:c r="J1472" t="str">
        <x:v>105-04 37 AVENUE LLC</x:v>
      </x:c>
      <x:c r="K1472" s="55" t="n">
        <x:v>42058</x:v>
      </x:c>
      <x:c r="L1472" t="str">
        <x:v>Queens</x:v>
      </x:c>
      <x:c r="M1472" t="str">
        <x:v>New York</x:v>
      </x:c>
      <x:c r="N1472" t="str">
        <x:v>DOMESTIC LIMITED LIABILITY COMPANY</x:v>
      </x:c>
      <x:c r="O1472" t="str">
        <x:v>ROTHKRUG ROTHKRUG &amp; SPECTOR, LLP</x:v>
      </x:c>
      <x:c r="P1472" t="str">
        <x:v>55 WATERMILL LANE, GREAT NECK, NY, 11021</x:v>
      </x:c>
      <x:c r="Q1472" t="str"/>
      <x:c r="R1472" t="str"/>
      <x:c r="S1472" t="str"/>
      <x:c r="T1472" t="str"/>
      <x:c r="U1472" t="str"/>
      <x:c r="V1472" t="str"/>
      <x:c r="W1472" t="str"/>
      <x:c r="X1472" t="str"/>
      <x:c r="Y1472" t="str">
        <x:v>https://data.ny.gov/Economic-Development/Active-Corporations-Beginning-1800/n9v6-gdp6</x:v>
      </x:c>
    </x:row>
    <x:row r="1473">
      <x:c r="A1473" t="str">
        <x:v>DOS-6-046</x:v>
      </x:c>
      <x:c r="B1473" t="n">
        <x:v>6</x:v>
      </x:c>
      <x:c r="C1473" t="str">
        <x:v>50 HAMILTON AVENUE, VALLEY STREAM, NY, 11580, US</x:v>
      </x:c>
      <x:c r="D1473" t="str">
        <x:v>108 01 ATLANTIC AVENUE LLC</x:v>
      </x:c>
      <x:c r="E1473" t="str">
        <x:v>108-01 ATLANTIC AVENUE LLC</x:v>
      </x:c>
      <x:c r="F1473" t="str">
        <x:v>Address-corroborated active match</x:v>
      </x:c>
      <x:c r="G1473" t="n">
        <x:v>1</x:v>
      </x:c>
      <x:c r="H1473" t="n">
        <x:v>2</x:v>
      </x:c>
      <x:c r="I1473" t="str">
        <x:v>6318402</x:v>
      </x:c>
      <x:c r="J1473" t="str">
        <x:v>108-01 ATLANTIC AVENUE LLC</x:v>
      </x:c>
      <x:c r="K1473" s="55" t="n">
        <x:v>44503</x:v>
      </x:c>
      <x:c r="L1473" t="str">
        <x:v>Nassau</x:v>
      </x:c>
      <x:c r="M1473" t="str">
        <x:v>New York</x:v>
      </x:c>
      <x:c r="N1473" t="str">
        <x:v>DOMESTIC LIMITED LIABILITY COMPANY</x:v>
      </x:c>
      <x:c r="O1473" t="str">
        <x:v>HARBANS SINGH</x:v>
      </x:c>
      <x:c r="P1473" t="str">
        <x:v>50 HAMILTON AVE., VALLEY STREAM, NY, 11580</x:v>
      </x:c>
      <x:c r="Q1473" t="str"/>
      <x:c r="R1473" t="str"/>
      <x:c r="S1473" t="str"/>
      <x:c r="T1473" t="str"/>
      <x:c r="U1473" t="str"/>
      <x:c r="V1473" t="str"/>
      <x:c r="W1473" t="str"/>
      <x:c r="X1473" t="str"/>
      <x:c r="Y1473" t="str">
        <x:v>https://data.ny.gov/Economic-Development/Active-Corporations-Beginning-1800/n9v6-gdp6</x:v>
      </x:c>
    </x:row>
    <x:row r="1474">
      <x:c r="A1474" t="str">
        <x:v>DOS-6-046</x:v>
      </x:c>
      <x:c r="B1474" t="n">
        <x:v>6</x:v>
      </x:c>
      <x:c r="C1474" t="str">
        <x:v>50 HAMILTON AVENUE, VALLEY STREAM, NY, 11580, US</x:v>
      </x:c>
      <x:c r="D1474" t="str">
        <x:v>114 13 ATLANTIC AVENUE LLC</x:v>
      </x:c>
      <x:c r="E1474" t="str">
        <x:v>114-13 ATLANTIC AVENUE LLC</x:v>
      </x:c>
      <x:c r="F1474" t="str">
        <x:v>Address-corroborated active match</x:v>
      </x:c>
      <x:c r="G1474" t="n">
        <x:v>1</x:v>
      </x:c>
      <x:c r="H1474" t="n">
        <x:v>2</x:v>
      </x:c>
      <x:c r="I1474" t="str">
        <x:v>5563036</x:v>
      </x:c>
      <x:c r="J1474" t="str">
        <x:v>114-13 ATLANTIC AVENUE LLC</x:v>
      </x:c>
      <x:c r="K1474" s="55" t="n">
        <x:v>43619</x:v>
      </x:c>
      <x:c r="L1474" t="str">
        <x:v>Nassau</x:v>
      </x:c>
      <x:c r="M1474" t="str">
        <x:v>New York</x:v>
      </x:c>
      <x:c r="N1474" t="str">
        <x:v>DOMESTIC LIMITED LIABILITY COMPANY</x:v>
      </x:c>
      <x:c r="O1474" t="str">
        <x:v>114-13 ATLANTIC AVENUE LLC</x:v>
      </x:c>
      <x:c r="P1474" t="str">
        <x:v>50 HAMILTON AVENUE, VALLEY STREAM, NY, 11580</x:v>
      </x:c>
      <x:c r="Q1474" t="str"/>
      <x:c r="R1474" t="str"/>
      <x:c r="S1474" t="str"/>
      <x:c r="T1474" t="str"/>
      <x:c r="U1474" t="str"/>
      <x:c r="V1474" t="str"/>
      <x:c r="W1474" t="str"/>
      <x:c r="X1474" t="str"/>
      <x:c r="Y1474" t="str">
        <x:v>https://data.ny.gov/Economic-Development/Active-Corporations-Beginning-1800/n9v6-gdp6</x:v>
      </x:c>
    </x:row>
    <x:row r="1475">
      <x:c r="A1475" t="str">
        <x:v>DOS-6-046</x:v>
      </x:c>
      <x:c r="B1475" t="n">
        <x:v>6</x:v>
      </x:c>
      <x:c r="C1475" t="str">
        <x:v>50 HAMILTON AVENUE, VALLEY STREAM, NY, 11580, US</x:v>
      </x:c>
      <x:c r="D1475" t="str">
        <x:v>3601 164 LLC</x:v>
      </x:c>
      <x:c r="E1475" t="str">
        <x:v>3601 164 LLC</x:v>
      </x:c>
      <x:c r="F1475" t="str">
        <x:v>Address-corroborated active match</x:v>
      </x:c>
      <x:c r="G1475" t="n">
        <x:v>1</x:v>
      </x:c>
      <x:c r="H1475" t="n">
        <x:v>2</x:v>
      </x:c>
      <x:c r="I1475" t="str">
        <x:v>7192443</x:v>
      </x:c>
      <x:c r="J1475" t="str">
        <x:v>3601 164 LLC</x:v>
      </x:c>
      <x:c r="K1475" s="55" t="n">
        <x:v>45258</x:v>
      </x:c>
      <x:c r="L1475" t="str">
        <x:v>Nassau</x:v>
      </x:c>
      <x:c r="M1475" t="str">
        <x:v>New York</x:v>
      </x:c>
      <x:c r="N1475" t="str">
        <x:v>DOMESTIC LIMITED LIABILITY COMPANY</x:v>
      </x:c>
      <x:c r="O1475" t="str">
        <x:v>C/O The LLC</x:v>
      </x:c>
      <x:c r="P1475" t="str">
        <x:v>50 Hamilton Avenue, Valley Stream, NY, 11580</x:v>
      </x:c>
      <x:c r="Q1475" t="str"/>
      <x:c r="R1475" t="str"/>
      <x:c r="S1475" t="str"/>
      <x:c r="T1475" t="str"/>
      <x:c r="U1475" t="str"/>
      <x:c r="V1475" t="str"/>
      <x:c r="W1475" t="str"/>
      <x:c r="X1475" t="str"/>
      <x:c r="Y1475" t="str">
        <x:v>https://data.ny.gov/Economic-Development/Active-Corporations-Beginning-1800/n9v6-gdp6</x:v>
      </x:c>
    </x:row>
    <x:row r="1476">
      <x:c r="A1476" t="str">
        <x:v>DOS-6-046</x:v>
      </x:c>
      <x:c r="B1476" t="n">
        <x:v>6</x:v>
      </x:c>
      <x:c r="C1476" t="str">
        <x:v>50 HAMILTON AVENUE, VALLEY STREAM, NY, 11580, US</x:v>
      </x:c>
      <x:c r="D1476" t="str">
        <x:v>GHOTRA PROPERTY LLC</x:v>
      </x:c>
      <x:c r="E1476" t="str">
        <x:v>GHOTRA PROPERTY, LLC</x:v>
      </x:c>
      <x:c r="F1476" t="str">
        <x:v>Active name match</x:v>
      </x:c>
      <x:c r="G1476" t="n">
        <x:v>1</x:v>
      </x:c>
      <x:c r="H1476" t="n">
        <x:v>0</x:v>
      </x:c>
      <x:c r="I1476" t="str">
        <x:v>2531750</x:v>
      </x:c>
      <x:c r="J1476" t="str">
        <x:v>GHOTRA PROPERTY LLC</x:v>
      </x:c>
      <x:c r="K1476" s="55" t="n">
        <x:v>36724</x:v>
      </x:c>
      <x:c r="L1476" t="str">
        <x:v>Queens</x:v>
      </x:c>
      <x:c r="M1476" t="str">
        <x:v>New York</x:v>
      </x:c>
      <x:c r="N1476" t="str">
        <x:v>DOMESTIC LIMITED LIABILITY COMPANY</x:v>
      </x:c>
      <x:c r="O1476" t="str">
        <x:v>GHOTRA PROPERTY LLC</x:v>
      </x:c>
      <x:c r="P1476" t="str">
        <x:v>86-11 101 AVENUE, RICHMOND HILL, NY, 11419</x:v>
      </x:c>
      <x:c r="Q1476" t="str"/>
      <x:c r="R1476" t="str"/>
      <x:c r="S1476" t="str"/>
      <x:c r="T1476" t="str"/>
      <x:c r="U1476" t="str"/>
      <x:c r="V1476" t="str"/>
      <x:c r="W1476" t="str"/>
      <x:c r="X1476" t="str"/>
      <x:c r="Y1476" t="str">
        <x:v>https://data.ny.gov/Economic-Development/Active-Corporations-Beginning-1800/n9v6-gdp6</x:v>
      </x:c>
    </x:row>
    <x:row r="1477">
      <x:c r="A1477" t="str">
        <x:v>DOS-6-046</x:v>
      </x:c>
      <x:c r="B1477" t="n">
        <x:v>6</x:v>
      </x:c>
      <x:c r="C1477" t="str">
        <x:v>50 HAMILTON AVENUE, VALLEY STREAM, NY, 11580, US</x:v>
      </x:c>
      <x:c r="D1477" t="str">
        <x:v>THREE LOTS LLC</x:v>
      </x:c>
      <x:c r="E1477" t="str">
        <x:v>THREE LOTS LLC</x:v>
      </x:c>
      <x:c r="F1477" t="str">
        <x:v>Address-corroborated active match</x:v>
      </x:c>
      <x:c r="G1477" t="n">
        <x:v>1</x:v>
      </x:c>
      <x:c r="H1477" t="n">
        <x:v>2</x:v>
      </x:c>
      <x:c r="I1477" t="str">
        <x:v>4599827</x:v>
      </x:c>
      <x:c r="J1477" t="str">
        <x:v>THREE LOTS LLC</x:v>
      </x:c>
      <x:c r="K1477" s="55" t="n">
        <x:v>41820</x:v>
      </x:c>
      <x:c r="L1477" t="str">
        <x:v>Nassau</x:v>
      </x:c>
      <x:c r="M1477" t="str">
        <x:v>New York</x:v>
      </x:c>
      <x:c r="N1477" t="str">
        <x:v>DOMESTIC LIMITED LIABILITY COMPANY</x:v>
      </x:c>
      <x:c r="O1477" t="str">
        <x:v>HARBANS SINGH</x:v>
      </x:c>
      <x:c r="P1477" t="str">
        <x:v>50 HAMILTON AVENUE, VALLEY STREAM, NY, 11580</x:v>
      </x:c>
      <x:c r="Q1477" t="str"/>
      <x:c r="R1477" t="str"/>
      <x:c r="S1477" t="str"/>
      <x:c r="T1477" t="str"/>
      <x:c r="U1477" t="str"/>
      <x:c r="V1477" t="str"/>
      <x:c r="W1477" t="str"/>
      <x:c r="X1477" t="str"/>
      <x:c r="Y1477" t="str">
        <x:v>https://data.ny.gov/Economic-Development/Active-Corporations-Beginning-1800/n9v6-gdp6</x:v>
      </x:c>
    </x:row>
    <x:row r="1478">
      <x:c r="A1478" t="str">
        <x:v>DOS-6-047</x:v>
      </x:c>
      <x:c r="B1478" t="n">
        <x:v>6</x:v>
      </x:c>
      <x:c r="C1478" t="str">
        <x:v>543 BEDFORD AVENUE SUITE 264, BROOKLYN, NY, 11211, US | 543 BEDFORD AVENUE, SUITE 264, BROOKLYN, NY, 11211, US</x:v>
      </x:c>
      <x:c r="D1478" t="str">
        <x:v>196 MIDDLETON USA LLC</x:v>
      </x:c>
      <x:c r="E1478" t="str">
        <x:v>196 MIDDLETON USA LLC</x:v>
      </x:c>
      <x:c r="F1478" t="str">
        <x:v>Active name match</x:v>
      </x:c>
      <x:c r="G1478" t="n">
        <x:v>1</x:v>
      </x:c>
      <x:c r="H1478" t="n">
        <x:v>1</x:v>
      </x:c>
      <x:c r="I1478" t="str">
        <x:v>4570041</x:v>
      </x:c>
      <x:c r="J1478" t="str">
        <x:v>196 MIDDLETON USA LLC</x:v>
      </x:c>
      <x:c r="K1478" s="55" t="n">
        <x:v>41759</x:v>
      </x:c>
      <x:c r="L1478" t="str">
        <x:v>Kings</x:v>
      </x:c>
      <x:c r="M1478" t="str">
        <x:v>New York</x:v>
      </x:c>
      <x:c r="N1478" t="str">
        <x:v>DOMESTIC LIMITED LIABILITY COMPANY</x:v>
      </x:c>
      <x:c r="O1478" t="str">
        <x:v>196 MIDDLETON USA LLC</x:v>
      </x:c>
      <x:c r="P1478" t="str">
        <x:v>543 BEDFORD AVENUE #264, BROOKLYN, NY, 11211</x:v>
      </x:c>
      <x:c r="Q1478" t="str"/>
      <x:c r="R1478" t="str"/>
      <x:c r="S1478" t="str"/>
      <x:c r="T1478" t="str"/>
      <x:c r="U1478" t="str"/>
      <x:c r="V1478" t="str"/>
      <x:c r="W1478" t="str"/>
      <x:c r="X1478" t="str"/>
      <x:c r="Y1478" t="str">
        <x:v>https://data.ny.gov/Economic-Development/Active-Corporations-Beginning-1800/n9v6-gdp6</x:v>
      </x:c>
    </x:row>
    <x:row r="1479">
      <x:c r="A1479" t="str">
        <x:v>DOS-6-047</x:v>
      </x:c>
      <x:c r="B1479" t="n">
        <x:v>6</x:v>
      </x:c>
      <x:c r="C1479" t="str">
        <x:v>543 BEDFORD AVENUE SUITE 264, BROOKLYN, NY, 11211, US | 543 BEDFORD AVENUE, SUITE 264, BROOKLYN, NY, 11211, US</x:v>
      </x:c>
      <x:c r="D1479" t="str">
        <x:v>583 589 KNICKERBOCKER AVE PARTNERS LLC</x:v>
      </x:c>
      <x:c r="E1479" t="str">
        <x:v>583-589 KNICKERBOCKER AVE PARTNERS LLC</x:v>
      </x:c>
      <x:c r="F1479" t="str">
        <x:v>Address-corroborated active match</x:v>
      </x:c>
      <x:c r="G1479" t="n">
        <x:v>1</x:v>
      </x:c>
      <x:c r="H1479" t="n">
        <x:v>2</x:v>
      </x:c>
      <x:c r="I1479" t="str">
        <x:v>7454036</x:v>
      </x:c>
      <x:c r="J1479" t="str">
        <x:v>583-589 KNICKERBOCKER AVE PARTNERS LLC</x:v>
      </x:c>
      <x:c r="K1479" s="55" t="n">
        <x:v>45596</x:v>
      </x:c>
      <x:c r="L1479" t="str">
        <x:v>Kings</x:v>
      </x:c>
      <x:c r="M1479" t="str">
        <x:v>New York</x:v>
      </x:c>
      <x:c r="N1479" t="str">
        <x:v>DOMESTIC LIMITED LIABILITY COMPANY</x:v>
      </x:c>
      <x:c r="O1479" t="str">
        <x:v>583-589 Knickerbocker Ave Partners LLC</x:v>
      </x:c>
      <x:c r="P1479" t="str">
        <x:v>543 Bedford Avenue, Suite 264, Brooklyn, NY, 11211</x:v>
      </x:c>
      <x:c r="Q1479" t="str"/>
      <x:c r="R1479" t="str"/>
      <x:c r="S1479" t="str"/>
      <x:c r="T1479" t="str"/>
      <x:c r="U1479" t="str"/>
      <x:c r="V1479" t="str"/>
      <x:c r="W1479" t="str"/>
      <x:c r="X1479" t="str"/>
      <x:c r="Y1479" t="str">
        <x:v>https://data.ny.gov/Economic-Development/Active-Corporations-Beginning-1800/n9v6-gdp6</x:v>
      </x:c>
    </x:row>
    <x:row r="1480">
      <x:c r="A1480" t="str">
        <x:v>DOS-6-047</x:v>
      </x:c>
      <x:c r="B1480" t="n">
        <x:v>6</x:v>
      </x:c>
      <x:c r="C1480" t="str">
        <x:v>543 BEDFORD AVENUE SUITE 264, BROOKLYN, NY, 11211, US | 543 BEDFORD AVENUE, SUITE 264, BROOKLYN, NY, 11211, US</x:v>
      </x:c>
      <x:c r="D1480" t="str">
        <x:v>666 4TH AVENUE USA LLC</x:v>
      </x:c>
      <x:c r="E1480" t="str">
        <x:v>666 4TH AVENUE USA LLC</x:v>
      </x:c>
      <x:c r="F1480" t="str">
        <x:v>Address-corroborated active match</x:v>
      </x:c>
      <x:c r="G1480" t="n">
        <x:v>1</x:v>
      </x:c>
      <x:c r="H1480" t="n">
        <x:v>2</x:v>
      </x:c>
      <x:c r="I1480" t="str">
        <x:v>4400042</x:v>
      </x:c>
      <x:c r="J1480" t="str">
        <x:v>666 4TH AVENUE USA LLC</x:v>
      </x:c>
      <x:c r="K1480" s="55" t="n">
        <x:v>41402</x:v>
      </x:c>
      <x:c r="L1480" t="str">
        <x:v>Kings</x:v>
      </x:c>
      <x:c r="M1480" t="str">
        <x:v>New York</x:v>
      </x:c>
      <x:c r="N1480" t="str">
        <x:v>DOMESTIC LIMITED LIABILITY COMPANY</x:v>
      </x:c>
      <x:c r="O1480" t="str">
        <x:v>666 4TH AVENUE USA LLC</x:v>
      </x:c>
      <x:c r="P1480" t="str">
        <x:v>543 BEDFORD AVENUE SUITE #264, BROOKLYN, NY, 11211</x:v>
      </x:c>
      <x:c r="Q1480" t="str"/>
      <x:c r="R1480" t="str"/>
      <x:c r="S1480" t="str"/>
      <x:c r="T1480" t="str"/>
      <x:c r="U1480" t="str"/>
      <x:c r="V1480" t="str"/>
      <x:c r="W1480" t="str"/>
      <x:c r="X1480" t="str"/>
      <x:c r="Y1480" t="str">
        <x:v>https://data.ny.gov/Economic-Development/Active-Corporations-Beginning-1800/n9v6-gdp6</x:v>
      </x:c>
    </x:row>
    <x:row r="1481">
      <x:c r="A1481" t="str">
        <x:v>DOS-6-047</x:v>
      </x:c>
      <x:c r="B1481" t="n">
        <x:v>6</x:v>
      </x:c>
      <x:c r="C1481" t="str">
        <x:v>543 BEDFORD AVENUE SUITE 264, BROOKLYN, NY, 11211, US | 543 BEDFORD AVENUE, SUITE 264, BROOKLYN, NY, 11211, US</x:v>
      </x:c>
      <x:c r="D1481" t="str">
        <x:v>B TWO TWO LLC</x:v>
      </x:c>
      <x:c r="E1481" t="str">
        <x:v>B TWO TWO LLC</x:v>
      </x:c>
      <x:c r="F1481" t="str">
        <x:v>Address-corroborated active match</x:v>
      </x:c>
      <x:c r="G1481" t="n">
        <x:v>1</x:v>
      </x:c>
      <x:c r="H1481" t="n">
        <x:v>2</x:v>
      </x:c>
      <x:c r="I1481" t="str">
        <x:v>3541208</x:v>
      </x:c>
      <x:c r="J1481" t="str">
        <x:v>B TWO TWO LLC</x:v>
      </x:c>
      <x:c r="K1481" s="55" t="n">
        <x:v>39273</x:v>
      </x:c>
      <x:c r="L1481" t="str">
        <x:v>Kings</x:v>
      </x:c>
      <x:c r="M1481" t="str">
        <x:v>New York</x:v>
      </x:c>
      <x:c r="N1481" t="str">
        <x:v>DOMESTIC LIMITED LIABILITY COMPANY</x:v>
      </x:c>
      <x:c r="O1481" t="str">
        <x:v>B TWO TWO LLC</x:v>
      </x:c>
      <x:c r="P1481" t="str">
        <x:v>543 BEDFORD AVE, #264, BROOKLYN, NY, 11211</x:v>
      </x:c>
      <x:c r="Q1481" t="str"/>
      <x:c r="R1481" t="str"/>
      <x:c r="S1481" t="str"/>
      <x:c r="T1481" t="str"/>
      <x:c r="U1481" t="str"/>
      <x:c r="V1481" t="str"/>
      <x:c r="W1481" t="str"/>
      <x:c r="X1481" t="str"/>
      <x:c r="Y1481" t="str">
        <x:v>https://data.ny.gov/Economic-Development/Active-Corporations-Beginning-1800/n9v6-gdp6</x:v>
      </x:c>
    </x:row>
    <x:row r="1482">
      <x:c r="A1482" t="str">
        <x:v>DOS-6-047</x:v>
      </x:c>
      <x:c r="B1482" t="n">
        <x:v>6</x:v>
      </x:c>
      <x:c r="C1482" t="str">
        <x:v>543 BEDFORD AVENUE SUITE 264, BROOKLYN, NY, 11211, US | 543 BEDFORD AVENUE, SUITE 264, BROOKLYN, NY, 11211, US</x:v>
      </x:c>
      <x:c r="D1482" t="str">
        <x:v>KIRYAT STOCKHOLM LLC</x:v>
      </x:c>
      <x:c r="E1482" t="str">
        <x:v>KIRYAT STOCKHOLM, LLC.</x:v>
      </x:c>
      <x:c r="F1482" t="str">
        <x:v>Active name match</x:v>
      </x:c>
      <x:c r="G1482" t="n">
        <x:v>1</x:v>
      </x:c>
      <x:c r="H1482" t="n">
        <x:v>1</x:v>
      </x:c>
      <x:c r="I1482" t="str">
        <x:v>3679095</x:v>
      </x:c>
      <x:c r="J1482" t="str">
        <x:v>KIRYAT STOCKHOLM LLC</x:v>
      </x:c>
      <x:c r="K1482" s="55" t="n">
        <x:v>39601</x:v>
      </x:c>
      <x:c r="L1482" t="str">
        <x:v>Kings</x:v>
      </x:c>
      <x:c r="M1482" t="str">
        <x:v>New York</x:v>
      </x:c>
      <x:c r="N1482" t="str">
        <x:v>DOMESTIC LIMITED LIABILITY COMPANY</x:v>
      </x:c>
      <x:c r="O1482" t="str">
        <x:v>KIRYAT STOCKHOLM LLC</x:v>
      </x:c>
      <x:c r="P1482" t="str">
        <x:v>543 BEDFORD AVENUE #264, BROOKLYN, NY, 11211</x:v>
      </x:c>
      <x:c r="Q1482" t="str"/>
      <x:c r="R1482" t="str"/>
      <x:c r="S1482" t="str"/>
      <x:c r="T1482" t="str"/>
      <x:c r="U1482" t="str"/>
      <x:c r="V1482" t="str"/>
      <x:c r="W1482" t="str"/>
      <x:c r="X1482" t="str"/>
      <x:c r="Y1482" t="str">
        <x:v>https://data.ny.gov/Economic-Development/Active-Corporations-Beginning-1800/n9v6-gdp6</x:v>
      </x:c>
    </x:row>
    <x:row r="1483">
      <x:c r="A1483" t="str">
        <x:v>DOS-6-047</x:v>
      </x:c>
      <x:c r="B1483" t="n">
        <x:v>6</x:v>
      </x:c>
      <x:c r="C1483" t="str">
        <x:v>543 BEDFORD AVENUE SUITE 264, BROOKLYN, NY, 11211, US | 543 BEDFORD AVENUE, SUITE 264, BROOKLYN, NY, 11211, US</x:v>
      </x:c>
      <x:c r="D1483" t="str">
        <x:v>YOSEF DAAS LLC</x:v>
      </x:c>
      <x:c r="E1483" t="str">
        <x:v>YOSEF DAAS LLC</x:v>
      </x:c>
      <x:c r="F1483" t="str">
        <x:v>Active name match</x:v>
      </x:c>
      <x:c r="G1483" t="n">
        <x:v>1</x:v>
      </x:c>
      <x:c r="H1483" t="n">
        <x:v>1</x:v>
      </x:c>
      <x:c r="I1483" t="str">
        <x:v>3458402</x:v>
      </x:c>
      <x:c r="J1483" t="str">
        <x:v>YOSEF DAAS LLC</x:v>
      </x:c>
      <x:c r="K1483" s="55" t="n">
        <x:v>39087</x:v>
      </x:c>
      <x:c r="L1483" t="str">
        <x:v>Kings</x:v>
      </x:c>
      <x:c r="M1483" t="str">
        <x:v>New York</x:v>
      </x:c>
      <x:c r="N1483" t="str">
        <x:v>DOMESTIC LIMITED LIABILITY COMPANY</x:v>
      </x:c>
      <x:c r="O1483" t="str">
        <x:v>YOSEF DAAS LLC</x:v>
      </x:c>
      <x:c r="P1483" t="str">
        <x:v>199 LEE AVENUE #962, BROOKLYN, NY, 11211</x:v>
      </x:c>
      <x:c r="Q1483" t="str"/>
      <x:c r="R1483" t="str"/>
      <x:c r="S1483" t="str"/>
      <x:c r="T1483" t="str"/>
      <x:c r="U1483" t="str"/>
      <x:c r="V1483" t="str"/>
      <x:c r="W1483" t="str"/>
      <x:c r="X1483" t="str"/>
      <x:c r="Y1483" t="str">
        <x:v>https://data.ny.gov/Economic-Development/Active-Corporations-Beginning-1800/n9v6-gdp6</x:v>
      </x:c>
    </x:row>
    <x:row r="1484">
      <x:c r="A1484" t="str">
        <x:v>DOS-6-048</x:v>
      </x:c>
      <x:c r="B1484" t="n">
        <x:v>6</x:v>
      </x:c>
      <x:c r="C1484" t="str">
        <x:v>781 VAN NEST AVENUE, BRONX, NY, 10462, US</x:v>
      </x:c>
      <x:c r="D1484" t="str">
        <x:v>472 LEBANON REALTY LLC</x:v>
      </x:c>
      <x:c r="E1484" t="str">
        <x:v>472 LEBANON REALTY LLC</x:v>
      </x:c>
      <x:c r="F1484" t="str">
        <x:v>Active name match</x:v>
      </x:c>
      <x:c r="G1484" t="n">
        <x:v>1</x:v>
      </x:c>
      <x:c r="H1484" t="n">
        <x:v>0</x:v>
      </x:c>
      <x:c r="I1484" t="str">
        <x:v>4970909</x:v>
      </x:c>
      <x:c r="J1484" t="str">
        <x:v>472 LEBANON REALTY LLC</x:v>
      </x:c>
      <x:c r="K1484" s="55" t="n">
        <x:v>42550</x:v>
      </x:c>
      <x:c r="L1484" t="str">
        <x:v>Bronx</x:v>
      </x:c>
      <x:c r="M1484" t="str">
        <x:v>New York</x:v>
      </x:c>
      <x:c r="N1484" t="str">
        <x:v>DOMESTIC LIMITED LIABILITY COMPANY</x:v>
      </x:c>
      <x:c r="O1484" t="str">
        <x:v>EDUART SHLLAKU &amp; MILKJOR SHLLAKU</x:v>
      </x:c>
      <x:c r="P1484" t="str">
        <x:v>1178 E. 180th St., BRONX, NY, 10460</x:v>
      </x:c>
      <x:c r="Q1484" t="str"/>
      <x:c r="R1484" t="str"/>
      <x:c r="S1484" t="str">
        <x:v>EDUART SHLLAKU &amp; MILKJOR SHLLAKU</x:v>
      </x:c>
      <x:c r="T1484" t="str">
        <x:v>781 VAN NEST AVE, BRONX, NEW YORK, 10462</x:v>
      </x:c>
      <x:c r="U1484" t="str"/>
      <x:c r="V1484" t="str"/>
      <x:c r="W1484" t="str"/>
      <x:c r="X1484" t="str"/>
      <x:c r="Y1484" t="str">
        <x:v>https://data.ny.gov/Economic-Development/Active-Corporations-Beginning-1800/n9v6-gdp6</x:v>
      </x:c>
    </x:row>
    <x:row r="1485">
      <x:c r="A1485" t="str">
        <x:v>DOS-6-048</x:v>
      </x:c>
      <x:c r="B1485" t="n">
        <x:v>6</x:v>
      </x:c>
      <x:c r="C1485" t="str">
        <x:v>781 VAN NEST AVENUE, BRONX, NY, 10462, US</x:v>
      </x:c>
      <x:c r="D1485" t="str">
        <x:v>DJ EAST 180 LLC</x:v>
      </x:c>
      <x:c r="E1485" t="str">
        <x:v>DJ EAST 180 LLC</x:v>
      </x:c>
      <x:c r="F1485" t="str">
        <x:v>Active name match</x:v>
      </x:c>
      <x:c r="G1485" t="n">
        <x:v>1</x:v>
      </x:c>
      <x:c r="H1485" t="n">
        <x:v>0</x:v>
      </x:c>
      <x:c r="I1485" t="str">
        <x:v>5471749</x:v>
      </x:c>
      <x:c r="J1485" t="str">
        <x:v>DJ EAST 180 LLC</x:v>
      </x:c>
      <x:c r="K1485" s="55" t="n">
        <x:v>43474</x:v>
      </x:c>
      <x:c r="L1485" t="str">
        <x:v>Bronx</x:v>
      </x:c>
      <x:c r="M1485" t="str">
        <x:v>New York</x:v>
      </x:c>
      <x:c r="N1485" t="str">
        <x:v>DOMESTIC LIMITED LIABILITY COMPANY</x:v>
      </x:c>
      <x:c r="O1485" t="str">
        <x:v>EDUART SHLLAKU</x:v>
      </x:c>
      <x:c r="P1485" t="str">
        <x:v>1178 East 180th Street, BRONX, NY, 10460</x:v>
      </x:c>
      <x:c r="Q1485" t="str"/>
      <x:c r="R1485" t="str"/>
      <x:c r="S1485" t="str">
        <x:v>EDUART SHLLAKU &amp; MILKJOR SHLLAKU</x:v>
      </x:c>
      <x:c r="T1485" t="str">
        <x:v>781 VAN NEST AVE, BRONX, NEW YORK, 10462</x:v>
      </x:c>
      <x:c r="U1485" t="str"/>
      <x:c r="V1485" t="str"/>
      <x:c r="W1485" t="str"/>
      <x:c r="X1485" t="str"/>
      <x:c r="Y1485" t="str">
        <x:v>https://data.ny.gov/Economic-Development/Active-Corporations-Beginning-1800/n9v6-gdp6</x:v>
      </x:c>
    </x:row>
    <x:row r="1486">
      <x:c r="A1486" t="str">
        <x:v>DOS-6-048</x:v>
      </x:c>
      <x:c r="B1486" t="n">
        <x:v>6</x:v>
      </x:c>
      <x:c r="C1486" t="str">
        <x:v>781 VAN NEST AVENUE, BRONX, NY, 10462, US</x:v>
      </x:c>
      <x:c r="D1486" t="str">
        <x:v>EAST 180 LLC</x:v>
      </x:c>
      <x:c r="E1486" t="str">
        <x:v>EAST 180 LLC</x:v>
      </x:c>
      <x:c r="F1486" t="str">
        <x:v>Active name match</x:v>
      </x:c>
      <x:c r="G1486" t="n">
        <x:v>1</x:v>
      </x:c>
      <x:c r="H1486" t="n">
        <x:v>0</x:v>
      </x:c>
      <x:c r="I1486" t="str">
        <x:v>4658033</x:v>
      </x:c>
      <x:c r="J1486" t="str">
        <x:v>EAST 180 LLC</x:v>
      </x:c>
      <x:c r="K1486" s="55" t="n">
        <x:v>41941</x:v>
      </x:c>
      <x:c r="L1486" t="str">
        <x:v>Bronx</x:v>
      </x:c>
      <x:c r="M1486" t="str">
        <x:v>New York</x:v>
      </x:c>
      <x:c r="N1486" t="str">
        <x:v>DOMESTIC LIMITED LIABILITY COMPANY</x:v>
      </x:c>
      <x:c r="O1486" t="str">
        <x:v>MILKJOR SHLLAKU</x:v>
      </x:c>
      <x:c r="P1486" t="str">
        <x:v>1178 EAST 180TH STREET, BRONX, NY, 10460</x:v>
      </x:c>
      <x:c r="Q1486" t="str"/>
      <x:c r="R1486" t="str"/>
      <x:c r="S1486" t="str"/>
      <x:c r="T1486" t="str"/>
      <x:c r="U1486" t="str"/>
      <x:c r="V1486" t="str"/>
      <x:c r="W1486" t="str"/>
      <x:c r="X1486" t="str"/>
      <x:c r="Y1486" t="str">
        <x:v>https://data.ny.gov/Economic-Development/Active-Corporations-Beginning-1800/n9v6-gdp6</x:v>
      </x:c>
    </x:row>
    <x:row r="1487">
      <x:c r="A1487" t="str">
        <x:v>DOS-6-048</x:v>
      </x:c>
      <x:c r="B1487" t="n">
        <x:v>6</x:v>
      </x:c>
      <x:c r="C1487" t="str">
        <x:v>781 VAN NEST AVENUE, BRONX, NY, 10462, US</x:v>
      </x:c>
      <x:c r="D1487" t="str">
        <x:v>GOLDEN ME REALTY LLC</x:v>
      </x:c>
      <x:c r="E1487" t="str">
        <x:v>GOLDEN ME REALTY, LLC</x:v>
      </x:c>
      <x:c r="F1487" t="str">
        <x:v>No active DOS match</x:v>
      </x:c>
      <x:c r="G1487" t="n">
        <x:v>0</x:v>
      </x:c>
      <x:c r="H1487" t="n">
        <x:v>0</x:v>
      </x:c>
      <x:c r="I1487" t="str"/>
      <x:c r="J1487" t="str"/>
      <x:c r="K1487" s="55" t="str"/>
      <x:c r="L1487" t="str"/>
      <x:c r="M1487" t="str"/>
      <x:c r="N1487" t="str"/>
      <x:c r="O1487" t="str"/>
      <x:c r="P1487" t="str"/>
      <x:c r="Q1487" t="str"/>
      <x:c r="R1487" t="str"/>
      <x:c r="S1487" t="str"/>
      <x:c r="T1487" t="str"/>
      <x:c r="U1487" t="str"/>
      <x:c r="V1487" t="str"/>
      <x:c r="W1487" t="str"/>
      <x:c r="X1487" t="str"/>
      <x:c r="Y1487" t="str">
        <x:v>https://data.ny.gov/Economic-Development/Active-Corporations-Beginning-1800/n9v6-gdp6</x:v>
      </x:c>
    </x:row>
    <x:row r="1488">
      <x:c r="A1488" t="str">
        <x:v>DOS-6-048</x:v>
      </x:c>
      <x:c r="B1488" t="n">
        <x:v>6</x:v>
      </x:c>
      <x:c r="C1488" t="str">
        <x:v>781 VAN NEST AVENUE, BRONX, NY, 10462, US</x:v>
      </x:c>
      <x:c r="D1488" t="str">
        <x:v>PENTAR REALTY LLC</x:v>
      </x:c>
      <x:c r="E1488" t="str">
        <x:v>PENTAR REALTY LLC</x:v>
      </x:c>
      <x:c r="F1488" t="str">
        <x:v>Address-corroborated active match</x:v>
      </x:c>
      <x:c r="G1488" t="n">
        <x:v>1</x:v>
      </x:c>
      <x:c r="H1488" t="n">
        <x:v>2</x:v>
      </x:c>
      <x:c r="I1488" t="str">
        <x:v>3649820</x:v>
      </x:c>
      <x:c r="J1488" t="str">
        <x:v>PENTAR REALTY LLC</x:v>
      </x:c>
      <x:c r="K1488" s="55" t="n">
        <x:v>39533</x:v>
      </x:c>
      <x:c r="L1488" t="str">
        <x:v>Bronx</x:v>
      </x:c>
      <x:c r="M1488" t="str">
        <x:v>New York</x:v>
      </x:c>
      <x:c r="N1488" t="str">
        <x:v>DOMESTIC LIMITED LIABILITY COMPANY</x:v>
      </x:c>
      <x:c r="O1488" t="str">
        <x:v>PENTAR REALTY LLC</x:v>
      </x:c>
      <x:c r="P1488" t="str">
        <x:v>781 VAN NEST AVE, BRONX, NY, 10462</x:v>
      </x:c>
      <x:c r="Q1488" t="str"/>
      <x:c r="R1488" t="str"/>
      <x:c r="S1488" t="str"/>
      <x:c r="T1488" t="str"/>
      <x:c r="U1488" t="str"/>
      <x:c r="V1488" t="str"/>
      <x:c r="W1488" t="str"/>
      <x:c r="X1488" t="str"/>
      <x:c r="Y1488" t="str">
        <x:v>https://data.ny.gov/Economic-Development/Active-Corporations-Beginning-1800/n9v6-gdp6</x:v>
      </x:c>
    </x:row>
    <x:row r="1489">
      <x:c r="A1489" t="str">
        <x:v>DOS-6-048</x:v>
      </x:c>
      <x:c r="B1489" t="n">
        <x:v>6</x:v>
      </x:c>
      <x:c r="C1489" t="str">
        <x:v>781 VAN NEST AVENUE, BRONX, NY, 10462, US</x:v>
      </x:c>
      <x:c r="D1489" t="str">
        <x:v>SHLLAKU HOLDINGS LLC</x:v>
      </x:c>
      <x:c r="E1489" t="str">
        <x:v>SHLLAKU HOLDINGS LLC</x:v>
      </x:c>
      <x:c r="F1489" t="str">
        <x:v>Address-corroborated active match</x:v>
      </x:c>
      <x:c r="G1489" t="n">
        <x:v>1</x:v>
      </x:c>
      <x:c r="H1489" t="n">
        <x:v>2</x:v>
      </x:c>
      <x:c r="I1489" t="str">
        <x:v>3908720</x:v>
      </x:c>
      <x:c r="J1489" t="str">
        <x:v>SHLLAKU HOLDINGS LLC</x:v>
      </x:c>
      <x:c r="K1489" s="55" t="n">
        <x:v>40213</x:v>
      </x:c>
      <x:c r="L1489" t="str">
        <x:v>Bronx</x:v>
      </x:c>
      <x:c r="M1489" t="str">
        <x:v>New York</x:v>
      </x:c>
      <x:c r="N1489" t="str">
        <x:v>DOMESTIC LIMITED LIABILITY COMPANY</x:v>
      </x:c>
      <x:c r="O1489" t="str">
        <x:v>MILKJOR SHLLAKU</x:v>
      </x:c>
      <x:c r="P1489" t="str">
        <x:v>781 VAN NEST AVE., BRONX, NY, 10462</x:v>
      </x:c>
      <x:c r="Q1489" t="str"/>
      <x:c r="R1489" t="str"/>
      <x:c r="S1489" t="str"/>
      <x:c r="T1489" t="str"/>
      <x:c r="U1489" t="str"/>
      <x:c r="V1489" t="str"/>
      <x:c r="W1489" t="str"/>
      <x:c r="X1489" t="str"/>
      <x:c r="Y1489" t="str">
        <x:v>https://data.ny.gov/Economic-Development/Active-Corporations-Beginning-1800/n9v6-gdp6</x:v>
      </x:c>
    </x:row>
    <x:row r="1490">
      <x:c r="A1490" t="str">
        <x:v>DOS-6-049</x:v>
      </x:c>
      <x:c r="B1490" t="n">
        <x:v>6</x:v>
      </x:c>
      <x:c r="C1490" t="str">
        <x:v>817 WESTCHESTER AVENUE, BRONX, NY, 10455, US</x:v>
      </x:c>
      <x:c r="D1490" t="str">
        <x:v>1 PBS LLC</x:v>
      </x:c>
      <x:c r="E1490" t="str">
        <x:v>1 PBS LLC</x:v>
      </x:c>
      <x:c r="F1490" t="str">
        <x:v>Address-corroborated active match</x:v>
      </x:c>
      <x:c r="G1490" t="n">
        <x:v>1</x:v>
      </x:c>
      <x:c r="H1490" t="n">
        <x:v>2</x:v>
      </x:c>
      <x:c r="I1490" t="str">
        <x:v>4571695</x:v>
      </x:c>
      <x:c r="J1490" t="str">
        <x:v>1 PBS LLC</x:v>
      </x:c>
      <x:c r="K1490" s="55" t="n">
        <x:v>41764</x:v>
      </x:c>
      <x:c r="L1490" t="str">
        <x:v>Albany</x:v>
      </x:c>
      <x:c r="M1490" t="str">
        <x:v>New York</x:v>
      </x:c>
      <x:c r="N1490" t="str">
        <x:v>DOMESTIC LIMITED LIABILITY COMPANY</x:v>
      </x:c>
      <x:c r="O1490" t="str">
        <x:v>1 PBS LLC</x:v>
      </x:c>
      <x:c r="P1490" t="str">
        <x:v>817 WESTCHESTER AVENUE, BRONX, NY, 10455</x:v>
      </x:c>
      <x:c r="Q1490" t="str"/>
      <x:c r="R1490" t="str"/>
      <x:c r="S1490" t="str"/>
      <x:c r="T1490" t="str"/>
      <x:c r="U1490" t="str"/>
      <x:c r="V1490" t="str"/>
      <x:c r="W1490" t="str"/>
      <x:c r="X1490" t="str"/>
      <x:c r="Y1490" t="str">
        <x:v>https://data.ny.gov/Economic-Development/Active-Corporations-Beginning-1800/n9v6-gdp6</x:v>
      </x:c>
    </x:row>
    <x:row r="1491">
      <x:c r="A1491" t="str">
        <x:v>DOS-6-049</x:v>
      </x:c>
      <x:c r="B1491" t="n">
        <x:v>6</x:v>
      </x:c>
      <x:c r="C1491" t="str">
        <x:v>817 WESTCHESTER AVENUE, BRONX, NY, 10455, US</x:v>
      </x:c>
      <x:c r="D1491" t="str">
        <x:v>125 EAST 169T STREET LLC</x:v>
      </x:c>
      <x:c r="E1491" t="str">
        <x:v>125 EAST 169T STREET LLC</x:v>
      </x:c>
      <x:c r="F1491" t="str">
        <x:v>No active DOS match</x:v>
      </x:c>
      <x:c r="G1491" t="n">
        <x:v>0</x:v>
      </x:c>
      <x:c r="H1491" t="n">
        <x:v>0</x:v>
      </x:c>
      <x:c r="I1491" t="str"/>
      <x:c r="J1491" t="str"/>
      <x:c r="K1491" s="55" t="str"/>
      <x:c r="L1491" t="str"/>
      <x:c r="M1491" t="str"/>
      <x:c r="N1491" t="str"/>
      <x:c r="O1491" t="str"/>
      <x:c r="P1491" t="str"/>
      <x:c r="Q1491" t="str"/>
      <x:c r="R1491" t="str"/>
      <x:c r="S1491" t="str"/>
      <x:c r="T1491" t="str"/>
      <x:c r="U1491" t="str"/>
      <x:c r="V1491" t="str"/>
      <x:c r="W1491" t="str"/>
      <x:c r="X1491" t="str"/>
      <x:c r="Y1491" t="str">
        <x:v>https://data.ny.gov/Economic-Development/Active-Corporations-Beginning-1800/n9v6-gdp6</x:v>
      </x:c>
    </x:row>
    <x:row r="1492">
      <x:c r="A1492" t="str">
        <x:v>DOS-6-049</x:v>
      </x:c>
      <x:c r="B1492" t="n">
        <x:v>6</x:v>
      </x:c>
      <x:c r="C1492" t="str">
        <x:v>817 WESTCHESTER AVENUE, BRONX, NY, 10455, US</x:v>
      </x:c>
      <x:c r="D1492" t="str">
        <x:v>1702 LLC</x:v>
      </x:c>
      <x:c r="E1492" t="str">
        <x:v>1702 LLC</x:v>
      </x:c>
      <x:c r="F1492" t="str">
        <x:v>Active name match</x:v>
      </x:c>
      <x:c r="G1492" t="n">
        <x:v>1</x:v>
      </x:c>
      <x:c r="H1492" t="n">
        <x:v>0</x:v>
      </x:c>
      <x:c r="I1492" t="str">
        <x:v>3271954</x:v>
      </x:c>
      <x:c r="J1492" t="str">
        <x:v>1702 LLC</x:v>
      </x:c>
      <x:c r="K1492" s="55" t="n">
        <x:v>38646</x:v>
      </x:c>
      <x:c r="L1492" t="str">
        <x:v>Bronx</x:v>
      </x:c>
      <x:c r="M1492" t="str">
        <x:v>New York</x:v>
      </x:c>
      <x:c r="N1492" t="str">
        <x:v>DOMESTIC LIMITED LIABILITY COMPANY</x:v>
      </x:c>
      <x:c r="O1492" t="str">
        <x:v>YAKOV BASMANOV</x:v>
      </x:c>
      <x:c r="P1492" t="str">
        <x:v>PO BOX 665, NEW CITY, NY, 10956</x:v>
      </x:c>
      <x:c r="Q1492" t="str"/>
      <x:c r="R1492" t="str"/>
      <x:c r="S1492" t="str"/>
      <x:c r="T1492" t="str"/>
      <x:c r="U1492" t="str"/>
      <x:c r="V1492" t="str"/>
      <x:c r="W1492" t="str"/>
      <x:c r="X1492" t="str"/>
      <x:c r="Y1492" t="str">
        <x:v>https://data.ny.gov/Economic-Development/Active-Corporations-Beginning-1800/n9v6-gdp6</x:v>
      </x:c>
    </x:row>
    <x:row r="1493">
      <x:c r="A1493" t="str">
        <x:v>DOS-6-049</x:v>
      </x:c>
      <x:c r="B1493" t="n">
        <x:v>6</x:v>
      </x:c>
      <x:c r="C1493" t="str">
        <x:v>817 WESTCHESTER AVENUE, BRONX, NY, 10455, US</x:v>
      </x:c>
      <x:c r="D1493" t="str">
        <x:v>1726 DAVIDSON LLC</x:v>
      </x:c>
      <x:c r="E1493" t="str">
        <x:v>1726 DAVIDSON LLC</x:v>
      </x:c>
      <x:c r="F1493" t="str">
        <x:v>Active name match</x:v>
      </x:c>
      <x:c r="G1493" t="n">
        <x:v>1</x:v>
      </x:c>
      <x:c r="H1493" t="n">
        <x:v>0</x:v>
      </x:c>
      <x:c r="I1493" t="str">
        <x:v>3271953</x:v>
      </x:c>
      <x:c r="J1493" t="str">
        <x:v>1726 DAVIDSON LLC</x:v>
      </x:c>
      <x:c r="K1493" s="55" t="n">
        <x:v>38646</x:v>
      </x:c>
      <x:c r="L1493" t="str">
        <x:v>Bronx</x:v>
      </x:c>
      <x:c r="M1493" t="str">
        <x:v>New York</x:v>
      </x:c>
      <x:c r="N1493" t="str">
        <x:v>DOMESTIC LIMITED LIABILITY COMPANY</x:v>
      </x:c>
      <x:c r="O1493" t="str">
        <x:v>YAKOV BASMANOV</x:v>
      </x:c>
      <x:c r="P1493" t="str">
        <x:v>PO BOX 665, NEW CITY, NY, 10956</x:v>
      </x:c>
      <x:c r="Q1493" t="str"/>
      <x:c r="R1493" t="str"/>
      <x:c r="S1493" t="str"/>
      <x:c r="T1493" t="str"/>
      <x:c r="U1493" t="str"/>
      <x:c r="V1493" t="str"/>
      <x:c r="W1493" t="str"/>
      <x:c r="X1493" t="str"/>
      <x:c r="Y1493" t="str">
        <x:v>https://data.ny.gov/Economic-Development/Active-Corporations-Beginning-1800/n9v6-gdp6</x:v>
      </x:c>
    </x:row>
    <x:row r="1494">
      <x:c r="A1494" t="str">
        <x:v>DOS-6-049</x:v>
      </x:c>
      <x:c r="B1494" t="n">
        <x:v>6</x:v>
      </x:c>
      <x:c r="C1494" t="str">
        <x:v>817 WESTCHESTER AVENUE, BRONX, NY, 10455, US</x:v>
      </x:c>
      <x:c r="D1494" t="str">
        <x:v>2308 CROTONA REALTY LLC</x:v>
      </x:c>
      <x:c r="E1494" t="str">
        <x:v>2308 CROTONA REALTY LLC</x:v>
      </x:c>
      <x:c r="F1494" t="str">
        <x:v>Address-corroborated active match</x:v>
      </x:c>
      <x:c r="G1494" t="n">
        <x:v>1</x:v>
      </x:c>
      <x:c r="H1494" t="n">
        <x:v>2</x:v>
      </x:c>
      <x:c r="I1494" t="str">
        <x:v>5448764</x:v>
      </x:c>
      <x:c r="J1494" t="str">
        <x:v>2308 CROTONA REALTY LLC</x:v>
      </x:c>
      <x:c r="K1494" s="55" t="n">
        <x:v>43430</x:v>
      </x:c>
      <x:c r="L1494" t="str">
        <x:v>Bronx</x:v>
      </x:c>
      <x:c r="M1494" t="str">
        <x:v>New York</x:v>
      </x:c>
      <x:c r="N1494" t="str">
        <x:v>DOMESTIC LIMITED LIABILITY COMPANY</x:v>
      </x:c>
      <x:c r="O1494" t="str">
        <x:v>2308 CROTONA REALTY LLC</x:v>
      </x:c>
      <x:c r="P1494" t="str">
        <x:v>817 WESTCHESTER AVENUE, BRONX, NY, 10455</x:v>
      </x:c>
      <x:c r="Q1494" t="str"/>
      <x:c r="R1494" t="str"/>
      <x:c r="S1494" t="str"/>
      <x:c r="T1494" t="str"/>
      <x:c r="U1494" t="str"/>
      <x:c r="V1494" t="str"/>
      <x:c r="W1494" t="str"/>
      <x:c r="X1494" t="str"/>
      <x:c r="Y1494" t="str">
        <x:v>https://data.ny.gov/Economic-Development/Active-Corporations-Beginning-1800/n9v6-gdp6</x:v>
      </x:c>
    </x:row>
    <x:row r="1495">
      <x:c r="A1495" t="str">
        <x:v>DOS-6-049</x:v>
      </x:c>
      <x:c r="B1495" t="n">
        <x:v>6</x:v>
      </x:c>
      <x:c r="C1495" t="str">
        <x:v>817 WESTCHESTER AVENUE, BRONX, NY, 10455, US</x:v>
      </x:c>
      <x:c r="D1495" t="str">
        <x:v>MHM LLC</x:v>
      </x:c>
      <x:c r="E1495" t="str">
        <x:v>MHM LLC</x:v>
      </x:c>
      <x:c r="F1495" t="str">
        <x:v>Address-corroborated active match</x:v>
      </x:c>
      <x:c r="G1495" t="n">
        <x:v>1</x:v>
      </x:c>
      <x:c r="H1495" t="n">
        <x:v>2</x:v>
      </x:c>
      <x:c r="I1495" t="str">
        <x:v>4571690</x:v>
      </x:c>
      <x:c r="J1495" t="str">
        <x:v>MHM LLC</x:v>
      </x:c>
      <x:c r="K1495" s="55" t="n">
        <x:v>41764</x:v>
      </x:c>
      <x:c r="L1495" t="str">
        <x:v>Albany</x:v>
      </x:c>
      <x:c r="M1495" t="str">
        <x:v>New York</x:v>
      </x:c>
      <x:c r="N1495" t="str">
        <x:v>DOMESTIC LIMITED LIABILITY COMPANY</x:v>
      </x:c>
      <x:c r="O1495" t="str">
        <x:v>MHM LLC</x:v>
      </x:c>
      <x:c r="P1495" t="str">
        <x:v>817 WESTCHESTER AVENUE, BRONX, NY, 10455</x:v>
      </x:c>
      <x:c r="Q1495" t="str"/>
      <x:c r="R1495" t="str"/>
      <x:c r="S1495" t="str"/>
      <x:c r="T1495" t="str"/>
      <x:c r="U1495" t="str"/>
      <x:c r="V1495" t="str"/>
      <x:c r="W1495" t="str"/>
      <x:c r="X1495" t="str"/>
      <x:c r="Y1495" t="str">
        <x:v>https://data.ny.gov/Economic-Development/Active-Corporations-Beginning-1800/n9v6-gdp6</x:v>
      </x:c>
    </x:row>
    <x:row r="1496">
      <x:c r="A1496" t="str">
        <x:v>DOS-6-050</x:v>
      </x:c>
      <x:c r="B1496" t="n">
        <x:v>6</x:v>
      </x:c>
      <x:c r="C1496" t="str">
        <x:v>900 WILLIS AVENUE, ALBERTSON, NY, 11507, US</x:v>
      </x:c>
      <x:c r="D1496" t="str">
        <x:v>8255 LLC</x:v>
      </x:c>
      <x:c r="E1496" t="str">
        <x:v>8255 LLC</x:v>
      </x:c>
      <x:c r="F1496" t="str">
        <x:v>Address-corroborated active match</x:v>
      </x:c>
      <x:c r="G1496" t="n">
        <x:v>1</x:v>
      </x:c>
      <x:c r="H1496" t="n">
        <x:v>2</x:v>
      </x:c>
      <x:c r="I1496" t="str">
        <x:v>4109798</x:v>
      </x:c>
      <x:c r="J1496" t="str">
        <x:v>8255 LLC</x:v>
      </x:c>
      <x:c r="K1496" s="55" t="n">
        <x:v>40716</x:v>
      </x:c>
      <x:c r="L1496" t="str">
        <x:v>Nassau</x:v>
      </x:c>
      <x:c r="M1496" t="str">
        <x:v>New York</x:v>
      </x:c>
      <x:c r="N1496" t="str">
        <x:v>DOMESTIC LIMITED LIABILITY COMPANY</x:v>
      </x:c>
      <x:c r="O1496" t="str">
        <x:v>8255 LLC</x:v>
      </x:c>
      <x:c r="P1496" t="str">
        <x:v>900 WILLIS AVENUE, ALBERTSON, NY, 11507</x:v>
      </x:c>
      <x:c r="Q1496" t="str"/>
      <x:c r="R1496" t="str"/>
      <x:c r="S1496" t="str"/>
      <x:c r="T1496" t="str"/>
      <x:c r="U1496" t="str"/>
      <x:c r="V1496" t="str"/>
      <x:c r="W1496" t="str"/>
      <x:c r="X1496" t="str"/>
      <x:c r="Y1496" t="str">
        <x:v>https://data.ny.gov/Economic-Development/Active-Corporations-Beginning-1800/n9v6-gdp6</x:v>
      </x:c>
    </x:row>
    <x:row r="1497">
      <x:c r="A1497" t="str">
        <x:v>DOS-6-050</x:v>
      </x:c>
      <x:c r="B1497" t="n">
        <x:v>6</x:v>
      </x:c>
      <x:c r="C1497" t="str">
        <x:v>900 WILLIS AVENUE, ALBERTSON, NY, 11507, US</x:v>
      </x:c>
      <x:c r="D1497" t="str">
        <x:v>CARLDAN APTS II LLC</x:v>
      </x:c>
      <x:c r="E1497" t="str">
        <x:v>CARLDAN APTS II, LLC</x:v>
      </x:c>
      <x:c r="F1497" t="str">
        <x:v>Address-corroborated active match</x:v>
      </x:c>
      <x:c r="G1497" t="n">
        <x:v>1</x:v>
      </x:c>
      <x:c r="H1497" t="n">
        <x:v>2</x:v>
      </x:c>
      <x:c r="I1497" t="str">
        <x:v>4320865</x:v>
      </x:c>
      <x:c r="J1497" t="str">
        <x:v>CARLDAN APTS II, LLC</x:v>
      </x:c>
      <x:c r="K1497" s="55" t="n">
        <x:v>41229</x:v>
      </x:c>
      <x:c r="L1497" t="str">
        <x:v>Nassau</x:v>
      </x:c>
      <x:c r="M1497" t="str">
        <x:v>New York</x:v>
      </x:c>
      <x:c r="N1497" t="str">
        <x:v>DOMESTIC LIMITED LIABILITY COMPANY</x:v>
      </x:c>
      <x:c r="O1497" t="str">
        <x:v>STEPHEN WOLINETZ, MANAGER</x:v>
      </x:c>
      <x:c r="P1497" t="str">
        <x:v>900 WILLIS AVENUE, ALBERTSON, NY, 11507</x:v>
      </x:c>
      <x:c r="Q1497" t="str"/>
      <x:c r="R1497" t="str"/>
      <x:c r="S1497" t="str"/>
      <x:c r="T1497" t="str"/>
      <x:c r="U1497" t="str"/>
      <x:c r="V1497" t="str"/>
      <x:c r="W1497" t="str"/>
      <x:c r="X1497" t="str"/>
      <x:c r="Y1497" t="str">
        <x:v>https://data.ny.gov/Economic-Development/Active-Corporations-Beginning-1800/n9v6-gdp6</x:v>
      </x:c>
    </x:row>
    <x:row r="1498">
      <x:c r="A1498" t="str">
        <x:v>DOS-6-050</x:v>
      </x:c>
      <x:c r="B1498" t="n">
        <x:v>6</x:v>
      </x:c>
      <x:c r="C1498" t="str">
        <x:v>900 WILLIS AVENUE, ALBERTSON, NY, 11507, US</x:v>
      </x:c>
      <x:c r="D1498" t="str">
        <x:v>COLETTI AND WOLINETZ REALTY II LLC</x:v>
      </x:c>
      <x:c r="E1498" t="str">
        <x:v>COLETTI &amp; WOLINETZ REALTY II, LLC</x:v>
      </x:c>
      <x:c r="F1498" t="str">
        <x:v>Address-corroborated active match</x:v>
      </x:c>
      <x:c r="G1498" t="n">
        <x:v>1</x:v>
      </x:c>
      <x:c r="H1498" t="n">
        <x:v>2</x:v>
      </x:c>
      <x:c r="I1498" t="str">
        <x:v>4336309</x:v>
      </x:c>
      <x:c r="J1498" t="str">
        <x:v>COLETTI &amp; WOLINETZ REALTY II, LLC</x:v>
      </x:c>
      <x:c r="K1498" s="55" t="n">
        <x:v>41264</x:v>
      </x:c>
      <x:c r="L1498" t="str">
        <x:v>Nassau</x:v>
      </x:c>
      <x:c r="M1498" t="str">
        <x:v>New York</x:v>
      </x:c>
      <x:c r="N1498" t="str">
        <x:v>DOMESTIC LIMITED LIABILITY COMPANY</x:v>
      </x:c>
      <x:c r="O1498" t="str">
        <x:v>STEPHEN WOLINETZ, MANAGER</x:v>
      </x:c>
      <x:c r="P1498" t="str">
        <x:v>900 WILLIS AVENUE, ALBERTSON, NY, 11507</x:v>
      </x:c>
      <x:c r="Q1498" t="str"/>
      <x:c r="R1498" t="str"/>
      <x:c r="S1498" t="str"/>
      <x:c r="T1498" t="str"/>
      <x:c r="U1498" t="str"/>
      <x:c r="V1498" t="str"/>
      <x:c r="W1498" t="str"/>
      <x:c r="X1498" t="str"/>
      <x:c r="Y1498" t="str">
        <x:v>https://data.ny.gov/Economic-Development/Active-Corporations-Beginning-1800/n9v6-gdp6</x:v>
      </x:c>
    </x:row>
    <x:row r="1499">
      <x:c r="A1499" t="str">
        <x:v>DOS-6-050</x:v>
      </x:c>
      <x:c r="B1499" t="n">
        <x:v>6</x:v>
      </x:c>
      <x:c r="C1499" t="str">
        <x:v>900 WILLIS AVENUE, ALBERTSON, NY, 11507, US</x:v>
      </x:c>
      <x:c r="D1499" t="str">
        <x:v>DORYLAION REALTY LLC</x:v>
      </x:c>
      <x:c r="E1499" t="str">
        <x:v>DORYLAION REALTY LLC</x:v>
      </x:c>
      <x:c r="F1499" t="str">
        <x:v>Address-corroborated active match</x:v>
      </x:c>
      <x:c r="G1499" t="n">
        <x:v>1</x:v>
      </x:c>
      <x:c r="H1499" t="n">
        <x:v>2</x:v>
      </x:c>
      <x:c r="I1499" t="str">
        <x:v>4741354</x:v>
      </x:c>
      <x:c r="J1499" t="str">
        <x:v>DORYLAION REALTY LLC</x:v>
      </x:c>
      <x:c r="K1499" s="55" t="n">
        <x:v>42108</x:v>
      </x:c>
      <x:c r="L1499" t="str">
        <x:v>Queens</x:v>
      </x:c>
      <x:c r="M1499" t="str">
        <x:v>New York</x:v>
      </x:c>
      <x:c r="N1499" t="str">
        <x:v>DOMESTIC LIMITED LIABILITY COMPANY</x:v>
      </x:c>
      <x:c r="O1499" t="str">
        <x:v>STEPHEN WOLINETZ C/O WOLINETZ MANAGEMENT LLC</x:v>
      </x:c>
      <x:c r="P1499" t="str">
        <x:v>900 WILLIS AVENUE, ALBERTSON, NY, 11507</x:v>
      </x:c>
      <x:c r="Q1499" t="str"/>
      <x:c r="R1499" t="str"/>
      <x:c r="S1499" t="str"/>
      <x:c r="T1499" t="str"/>
      <x:c r="U1499" t="str"/>
      <x:c r="V1499" t="str"/>
      <x:c r="W1499" t="str"/>
      <x:c r="X1499" t="str"/>
      <x:c r="Y1499" t="str">
        <x:v>https://data.ny.gov/Economic-Development/Active-Corporations-Beginning-1800/n9v6-gdp6</x:v>
      </x:c>
    </x:row>
    <x:row r="1500">
      <x:c r="A1500" t="str">
        <x:v>DOS-6-050</x:v>
      </x:c>
      <x:c r="B1500" t="n">
        <x:v>6</x:v>
      </x:c>
      <x:c r="C1500" t="str">
        <x:v>900 WILLIS AVENUE, ALBERTSON, NY, 11507, US</x:v>
      </x:c>
      <x:c r="D1500" t="str">
        <x:v>HYE REALTY CO 2 LLC</x:v>
      </x:c>
      <x:c r="E1500" t="str">
        <x:v>HYE REALTY CO. #2, LLC</x:v>
      </x:c>
      <x:c r="F1500" t="str">
        <x:v>Address-corroborated active match</x:v>
      </x:c>
      <x:c r="G1500" t="n">
        <x:v>1</x:v>
      </x:c>
      <x:c r="H1500" t="n">
        <x:v>2</x:v>
      </x:c>
      <x:c r="I1500" t="str">
        <x:v>4336306</x:v>
      </x:c>
      <x:c r="J1500" t="str">
        <x:v>HYE REALTY CO. #2, LLC</x:v>
      </x:c>
      <x:c r="K1500" s="55" t="n">
        <x:v>41264</x:v>
      </x:c>
      <x:c r="L1500" t="str">
        <x:v>Nassau</x:v>
      </x:c>
      <x:c r="M1500" t="str">
        <x:v>New York</x:v>
      </x:c>
      <x:c r="N1500" t="str">
        <x:v>DOMESTIC LIMITED LIABILITY COMPANY</x:v>
      </x:c>
      <x:c r="O1500" t="str">
        <x:v>STEPHEN WOLINETZ, MANAGER</x:v>
      </x:c>
      <x:c r="P1500" t="str">
        <x:v>900 WILLIS AVENUE, ALBERTSON, NY, 11507</x:v>
      </x:c>
      <x:c r="Q1500" t="str"/>
      <x:c r="R1500" t="str"/>
      <x:c r="S1500" t="str"/>
      <x:c r="T1500" t="str"/>
      <x:c r="U1500" t="str"/>
      <x:c r="V1500" t="str"/>
      <x:c r="W1500" t="str"/>
      <x:c r="X1500" t="str"/>
      <x:c r="Y1500" t="str">
        <x:v>https://data.ny.gov/Economic-Development/Active-Corporations-Beginning-1800/n9v6-gdp6</x:v>
      </x:c>
    </x:row>
    <x:row r="1501">
      <x:c r="A1501" t="str">
        <x:v>DOS-6-050</x:v>
      </x:c>
      <x:c r="B1501" t="n">
        <x:v>6</x:v>
      </x:c>
      <x:c r="C1501" t="str">
        <x:v>900 WILLIS AVENUE, ALBERTSON, NY, 11507, US</x:v>
      </x:c>
      <x:c r="D1501" t="str">
        <x:v>KALLISTA REALTY CO II LLC</x:v>
      </x:c>
      <x:c r="E1501" t="str">
        <x:v>KALLISTA REALTY CO. II LLC</x:v>
      </x:c>
      <x:c r="F1501" t="str">
        <x:v>Address-corroborated active match</x:v>
      </x:c>
      <x:c r="G1501" t="n">
        <x:v>1</x:v>
      </x:c>
      <x:c r="H1501" t="n">
        <x:v>2</x:v>
      </x:c>
      <x:c r="I1501" t="str">
        <x:v>4343819</x:v>
      </x:c>
      <x:c r="J1501" t="str">
        <x:v>KALLISTA REALTY CO. II LLC</x:v>
      </x:c>
      <x:c r="K1501" s="55" t="n">
        <x:v>41284</x:v>
      </x:c>
      <x:c r="L1501" t="str">
        <x:v>Nassau</x:v>
      </x:c>
      <x:c r="M1501" t="str">
        <x:v>New York</x:v>
      </x:c>
      <x:c r="N1501" t="str">
        <x:v>DOMESTIC LIMITED LIABILITY COMPANY</x:v>
      </x:c>
      <x:c r="O1501" t="str">
        <x:v>PETER TAKVORIAN, MANAGER</x:v>
      </x:c>
      <x:c r="P1501" t="str">
        <x:v>900 WILLIS AVENUE, ALBERTSON, NY, 11507</x:v>
      </x:c>
      <x:c r="Q1501" t="str"/>
      <x:c r="R1501" t="str"/>
      <x:c r="S1501" t="str"/>
      <x:c r="T1501" t="str"/>
      <x:c r="U1501" t="str"/>
      <x:c r="V1501" t="str"/>
      <x:c r="W1501" t="str"/>
      <x:c r="X1501" t="str"/>
      <x:c r="Y1501" t="str">
        <x:v>https://data.ny.gov/Economic-Development/Active-Corporations-Beginning-1800/n9v6-gdp6</x:v>
      </x:c>
    </x:row>
    <x:row r="1502">
      <x:c r="A1502" t="str">
        <x:v>DOS-6-051</x:v>
      </x:c>
      <x:c r="B1502" t="n">
        <x:v>6</x:v>
      </x:c>
      <x:c r="C1502" t="str">
        <x:v>902 BROADWAY 13TH FLOOR, NEW YORK, NY, 10010, US | 902 BROADWAY, 13TH FLOOR, NEW YORK, NY, 10010, US</x:v>
      </x:c>
      <x:c r="D1502" t="str">
        <x:v>112 FRANKLIN AVENUE LLC</x:v>
      </x:c>
      <x:c r="E1502" t="str">
        <x:v>112 FRANKLIN AVENUE LLC</x:v>
      </x:c>
      <x:c r="F1502" t="str">
        <x:v>No active DOS match</x:v>
      </x:c>
      <x:c r="G1502" t="n">
        <x:v>0</x:v>
      </x:c>
      <x:c r="H1502" t="n">
        <x:v>0</x:v>
      </x:c>
      <x:c r="I1502" t="str"/>
      <x:c r="J1502" t="str"/>
      <x:c r="K1502" s="55" t="str"/>
      <x:c r="L1502" t="str"/>
      <x:c r="M1502" t="str"/>
      <x:c r="N1502" t="str"/>
      <x:c r="O1502" t="str"/>
      <x:c r="P1502" t="str"/>
      <x:c r="Q1502" t="str"/>
      <x:c r="R1502" t="str"/>
      <x:c r="S1502" t="str"/>
      <x:c r="T1502" t="str"/>
      <x:c r="U1502" t="str"/>
      <x:c r="V1502" t="str"/>
      <x:c r="W1502" t="str"/>
      <x:c r="X1502" t="str"/>
      <x:c r="Y1502" t="str">
        <x:v>https://data.ny.gov/Economic-Development/Active-Corporations-Beginning-1800/n9v6-gdp6</x:v>
      </x:c>
    </x:row>
    <x:row r="1503">
      <x:c r="A1503" t="str">
        <x:v>DOS-6-051</x:v>
      </x:c>
      <x:c r="B1503" t="n">
        <x:v>6</x:v>
      </x:c>
      <x:c r="C1503" t="str">
        <x:v>902 BROADWAY 13TH FLOOR, NEW YORK, NY, 10010, US | 902 BROADWAY, 13TH FLOOR, NEW YORK, NY, 10010, US</x:v>
      </x:c>
      <x:c r="D1503" t="str">
        <x:v>1130 TIFFANY STREET LLC</x:v>
      </x:c>
      <x:c r="E1503" t="str">
        <x:v>1130 TIFFANY STREET LLC</x:v>
      </x:c>
      <x:c r="F1503" t="str">
        <x:v>Address-corroborated active match</x:v>
      </x:c>
      <x:c r="G1503" t="n">
        <x:v>1</x:v>
      </x:c>
      <x:c r="H1503" t="n">
        <x:v>2</x:v>
      </x:c>
      <x:c r="I1503" t="str">
        <x:v>5653938</x:v>
      </x:c>
      <x:c r="J1503" t="str">
        <x:v>1130 TIFFANY STREET LLC</x:v>
      </x:c>
      <x:c r="K1503" s="55" t="n">
        <x:v>43781</x:v>
      </x:c>
      <x:c r="L1503" t="str">
        <x:v>New York</x:v>
      </x:c>
      <x:c r="M1503" t="str">
        <x:v>New York</x:v>
      </x:c>
      <x:c r="N1503" t="str">
        <x:v>DOMESTIC LIMITED LIABILITY COMPANY</x:v>
      </x:c>
      <x:c r="O1503" t="str">
        <x:v>C/O THE LIMITED LIABILITY COMPANY</x:v>
      </x:c>
      <x:c r="P1503" t="str">
        <x:v>902 BROADWAY, 13TH FLOOR, NEW YORK, NY, 10010</x:v>
      </x:c>
      <x:c r="Q1503" t="str"/>
      <x:c r="R1503" t="str"/>
      <x:c r="S1503" t="str"/>
      <x:c r="T1503" t="str"/>
      <x:c r="U1503" t="str"/>
      <x:c r="V1503" t="str"/>
      <x:c r="W1503" t="str"/>
      <x:c r="X1503" t="str"/>
      <x:c r="Y1503" t="str">
        <x:v>https://data.ny.gov/Economic-Development/Active-Corporations-Beginning-1800/n9v6-gdp6</x:v>
      </x:c>
    </x:row>
    <x:row r="1504">
      <x:c r="A1504" t="str">
        <x:v>DOS-6-051</x:v>
      </x:c>
      <x:c r="B1504" t="n">
        <x:v>6</x:v>
      </x:c>
      <x:c r="C1504" t="str">
        <x:v>902 BROADWAY 13TH FLOOR, NEW YORK, NY, 10010, US | 902 BROADWAY, 13TH FLOOR, NEW YORK, NY, 10010, US</x:v>
      </x:c>
      <x:c r="D1504" t="str">
        <x:v>580 EAST 168TH STREET LLC</x:v>
      </x:c>
      <x:c r="E1504" t="str">
        <x:v>580 EAST 168TH STREET LLC</x:v>
      </x:c>
      <x:c r="F1504" t="str">
        <x:v>Address-corroborated active match</x:v>
      </x:c>
      <x:c r="G1504" t="n">
        <x:v>1</x:v>
      </x:c>
      <x:c r="H1504" t="n">
        <x:v>2</x:v>
      </x:c>
      <x:c r="I1504" t="str">
        <x:v>4874223</x:v>
      </x:c>
      <x:c r="J1504" t="str">
        <x:v>580 EAST 168TH STREET LLC</x:v>
      </x:c>
      <x:c r="K1504" s="55" t="n">
        <x:v>42376</x:v>
      </x:c>
      <x:c r="L1504" t="str">
        <x:v>New York</x:v>
      </x:c>
      <x:c r="M1504" t="str">
        <x:v>New York</x:v>
      </x:c>
      <x:c r="N1504" t="str">
        <x:v>DOMESTIC LIMITED LIABILITY COMPANY</x:v>
      </x:c>
      <x:c r="O1504" t="str">
        <x:v>580 EAST 168TH STREET LLC</x:v>
      </x:c>
      <x:c r="P1504" t="str">
        <x:v>902 BROADWAY, 13TH FLOOR, NEW YORK, NY, 10010</x:v>
      </x:c>
      <x:c r="Q1504" t="str"/>
      <x:c r="R1504" t="str"/>
      <x:c r="S1504" t="str"/>
      <x:c r="T1504" t="str"/>
      <x:c r="U1504" t="str"/>
      <x:c r="V1504" t="str"/>
      <x:c r="W1504" t="str"/>
      <x:c r="X1504" t="str"/>
      <x:c r="Y1504" t="str">
        <x:v>https://data.ny.gov/Economic-Development/Active-Corporations-Beginning-1800/n9v6-gdp6</x:v>
      </x:c>
    </x:row>
    <x:row r="1505">
      <x:c r="A1505" t="str">
        <x:v>DOS-6-051</x:v>
      </x:c>
      <x:c r="B1505" t="n">
        <x:v>6</x:v>
      </x:c>
      <x:c r="C1505" t="str">
        <x:v>902 BROADWAY 13TH FLOOR, NEW YORK, NY, 10010, US | 902 BROADWAY, 13TH FLOOR, NEW YORK, NY, 10010, US</x:v>
      </x:c>
      <x:c r="D1505" t="str">
        <x:v>933 939 COURTLANDT LLC</x:v>
      </x:c>
      <x:c r="E1505" t="str">
        <x:v>933-939 COURTLANDT LLC</x:v>
      </x:c>
      <x:c r="F1505" t="str">
        <x:v>No active DOS match</x:v>
      </x:c>
      <x:c r="G1505" t="n">
        <x:v>0</x:v>
      </x:c>
      <x:c r="H1505" t="n">
        <x:v>0</x:v>
      </x:c>
      <x:c r="I1505" t="str"/>
      <x:c r="J1505" t="str"/>
      <x:c r="K1505" s="55" t="str"/>
      <x:c r="L1505" t="str"/>
      <x:c r="M1505" t="str"/>
      <x:c r="N1505" t="str"/>
      <x:c r="O1505" t="str"/>
      <x:c r="P1505" t="str"/>
      <x:c r="Q1505" t="str"/>
      <x:c r="R1505" t="str"/>
      <x:c r="S1505" t="str"/>
      <x:c r="T1505" t="str"/>
      <x:c r="U1505" t="str"/>
      <x:c r="V1505" t="str"/>
      <x:c r="W1505" t="str"/>
      <x:c r="X1505" t="str"/>
      <x:c r="Y1505" t="str">
        <x:v>https://data.ny.gov/Economic-Development/Active-Corporations-Beginning-1800/n9v6-gdp6</x:v>
      </x:c>
    </x:row>
    <x:row r="1506">
      <x:c r="A1506" t="str">
        <x:v>DOS-6-051</x:v>
      </x:c>
      <x:c r="B1506" t="n">
        <x:v>6</x:v>
      </x:c>
      <x:c r="C1506" t="str">
        <x:v>902 BROADWAY 13TH FLOOR, NEW YORK, NY, 10010, US | 902 BROADWAY, 13TH FLOOR, NEW YORK, NY, 10010, US</x:v>
      </x:c>
      <x:c r="D1506" t="str">
        <x:v>DINSMORE ASSOCIATES LLC</x:v>
      </x:c>
      <x:c r="E1506" t="str">
        <x:v>DINSMORE ASSOCIATES LLC</x:v>
      </x:c>
      <x:c r="F1506" t="str">
        <x:v>Address-corroborated active match</x:v>
      </x:c>
      <x:c r="G1506" t="n">
        <x:v>1</x:v>
      </x:c>
      <x:c r="H1506" t="n">
        <x:v>2</x:v>
      </x:c>
      <x:c r="I1506" t="str">
        <x:v>6216439</x:v>
      </x:c>
      <x:c r="J1506" t="str">
        <x:v>DINSMORE ASSOCIATES LLC</x:v>
      </x:c>
      <x:c r="K1506" s="55" t="n">
        <x:v>44385</x:v>
      </x:c>
      <x:c r="L1506" t="str">
        <x:v>New York</x:v>
      </x:c>
      <x:c r="M1506" t="str">
        <x:v>New York</x:v>
      </x:c>
      <x:c r="N1506" t="str">
        <x:v>DOMESTIC LIMITED LIABILITY COMPANY</x:v>
      </x:c>
      <x:c r="O1506" t="str">
        <x:v>DINSMORE ASSOCIATES LLC</x:v>
      </x:c>
      <x:c r="P1506" t="str">
        <x:v>902 broadway, 13th floor, NEW YORK, NY, 10010</x:v>
      </x:c>
      <x:c r="Q1506" t="str"/>
      <x:c r="R1506" t="str"/>
      <x:c r="S1506" t="str"/>
      <x:c r="T1506" t="str"/>
      <x:c r="U1506" t="str"/>
      <x:c r="V1506" t="str"/>
      <x:c r="W1506" t="str"/>
      <x:c r="X1506" t="str"/>
      <x:c r="Y1506" t="str">
        <x:v>https://data.ny.gov/Economic-Development/Active-Corporations-Beginning-1800/n9v6-gdp6</x:v>
      </x:c>
    </x:row>
    <x:row r="1507">
      <x:c r="A1507" t="str">
        <x:v>DOS-6-051</x:v>
      </x:c>
      <x:c r="B1507" t="n">
        <x:v>6</x:v>
      </x:c>
      <x:c r="C1507" t="str">
        <x:v>902 BROADWAY 13TH FLOOR, NEW YORK, NY, 10010, US | 902 BROADWAY, 13TH FLOOR, NEW YORK, NY, 10010, US</x:v>
      </x:c>
      <x:c r="D1507" t="str">
        <x:v>EAST 138TH STREET JV ASSOCIATES LLC</x:v>
      </x:c>
      <x:c r="E1507" t="str">
        <x:v>EAST 138TH STREET JV ASSOCIATES LLC</x:v>
      </x:c>
      <x:c r="F1507" t="str">
        <x:v>Active name match</x:v>
      </x:c>
      <x:c r="G1507" t="n">
        <x:v>1</x:v>
      </x:c>
      <x:c r="H1507" t="n">
        <x:v>1</x:v>
      </x:c>
      <x:c r="I1507" t="str">
        <x:v>5986698</x:v>
      </x:c>
      <x:c r="J1507" t="str">
        <x:v>EAST 138TH STREET JV ASSOCIATES LLC</x:v>
      </x:c>
      <x:c r="K1507" s="55" t="n">
        <x:v>44298</x:v>
      </x:c>
      <x:c r="L1507" t="str">
        <x:v>New York</x:v>
      </x:c>
      <x:c r="M1507" t="str">
        <x:v>New York</x:v>
      </x:c>
      <x:c r="N1507" t="str">
        <x:v>DOMESTIC LIMITED LIABILITY COMPANY</x:v>
      </x:c>
      <x:c r="O1507" t="str">
        <x:v>EAST 138TH STREET JV ASSOCIATES LLC</x:v>
      </x:c>
      <x:c r="P1507" t="str">
        <x:v>257 Park Avenue South, 12th Fl, NEW YORK, NY, 10010</x:v>
      </x:c>
      <x:c r="Q1507" t="str"/>
      <x:c r="R1507" t="str"/>
      <x:c r="S1507" t="str"/>
      <x:c r="T1507" t="str"/>
      <x:c r="U1507" t="str"/>
      <x:c r="V1507" t="str"/>
      <x:c r="W1507" t="str"/>
      <x:c r="X1507" t="str"/>
      <x:c r="Y1507" t="str">
        <x:v>https://data.ny.gov/Economic-Development/Active-Corporations-Beginning-1800/n9v6-gdp6</x:v>
      </x:c>
    </x:row>
    <x:row r="1508">
      <x:c r="A1508" t="str">
        <x:v>DOS-6-052</x:v>
      </x:c>
      <x:c r="B1508" t="n">
        <x:v>6</x:v>
      </x:c>
      <x:c r="C1508" t="str">
        <x:v>CROWN ACQUISITIONS, INC., 767 FIFTH AVENUE, 24TH FLOOR, NEW YORK, NY, 10153, US</x:v>
      </x:c>
      <x:c r="D1508" t="str">
        <x:v>114 BEVERLEY ROAD OWNER LLC</x:v>
      </x:c>
      <x:c r="E1508" t="str">
        <x:v>114 BEVERLEY ROAD OWNER LLC</x:v>
      </x:c>
      <x:c r="F1508" t="str">
        <x:v>Active name match</x:v>
      </x:c>
      <x:c r="G1508" t="n">
        <x:v>1</x:v>
      </x:c>
      <x:c r="H1508" t="n">
        <x:v>0</x:v>
      </x:c>
      <x:c r="I1508" t="str">
        <x:v>4877706</x:v>
      </x:c>
      <x:c r="J1508" t="str">
        <x:v>114 BEVERLEY ROAD OWNER LLC</x:v>
      </x:c>
      <x:c r="K1508" s="55" t="n">
        <x:v>42381</x:v>
      </x:c>
      <x:c r="L1508" t="str">
        <x:v>Albany</x:v>
      </x:c>
      <x:c r="M1508" t="str">
        <x:v>Delaware</x:v>
      </x:c>
      <x:c r="N1508" t="str">
        <x:v>FOREIGN LIMITED LIABILITY COMPANY</x:v>
      </x:c>
      <x:c r="O1508" t="str">
        <x:v>C/O CORPORATION SERVICE COMPANY</x:v>
      </x:c>
      <x:c r="P1508" t="str">
        <x:v>80 STATE STREET, ALBANY, NY, 12207</x:v>
      </x:c>
      <x:c r="Q1508" t="str"/>
      <x:c r="R1508" t="str"/>
      <x:c r="S1508" t="str"/>
      <x:c r="T1508" t="str"/>
      <x:c r="U1508" t="str"/>
      <x:c r="V1508" t="str"/>
      <x:c r="W1508" t="str"/>
      <x:c r="X1508" t="str"/>
      <x:c r="Y1508" t="str">
        <x:v>https://data.ny.gov/Economic-Development/Active-Corporations-Beginning-1800/n9v6-gdp6</x:v>
      </x:c>
    </x:row>
    <x:row r="1509">
      <x:c r="A1509" t="str">
        <x:v>DOS-6-052</x:v>
      </x:c>
      <x:c r="B1509" t="n">
        <x:v>6</x:v>
      </x:c>
      <x:c r="C1509" t="str">
        <x:v>CROWN ACQUISITIONS, INC., 767 FIFTH AVENUE, 24TH FLOOR, NEW YORK, NY, 10153, US</x:v>
      </x:c>
      <x:c r="D1509" t="str">
        <x:v>1501 86TH STREET OWNER LLC</x:v>
      </x:c>
      <x:c r="E1509" t="str">
        <x:v>1501 86TH STREET OWNER LLC</x:v>
      </x:c>
      <x:c r="F1509" t="str">
        <x:v>Active name match</x:v>
      </x:c>
      <x:c r="G1509" t="n">
        <x:v>1</x:v>
      </x:c>
      <x:c r="H1509" t="n">
        <x:v>0</x:v>
      </x:c>
      <x:c r="I1509" t="str">
        <x:v>4878076</x:v>
      </x:c>
      <x:c r="J1509" t="str">
        <x:v>1501 86TH STREET OWNER LLC</x:v>
      </x:c>
      <x:c r="K1509" s="55" t="n">
        <x:v>42381</x:v>
      </x:c>
      <x:c r="L1509" t="str">
        <x:v>Albany</x:v>
      </x:c>
      <x:c r="M1509" t="str">
        <x:v>Delaware</x:v>
      </x:c>
      <x:c r="N1509" t="str">
        <x:v>FOREIGN LIMITED LIABILITY COMPANY</x:v>
      </x:c>
      <x:c r="O1509" t="str">
        <x:v>C/O CORPORATION SERVICE COMPANY</x:v>
      </x:c>
      <x:c r="P1509" t="str">
        <x:v>80 STATE ST, ALBANY, NY, 12207</x:v>
      </x:c>
      <x:c r="Q1509" t="str"/>
      <x:c r="R1509" t="str"/>
      <x:c r="S1509" t="str"/>
      <x:c r="T1509" t="str"/>
      <x:c r="U1509" t="str"/>
      <x:c r="V1509" t="str"/>
      <x:c r="W1509" t="str"/>
      <x:c r="X1509" t="str"/>
      <x:c r="Y1509" t="str">
        <x:v>https://data.ny.gov/Economic-Development/Active-Corporations-Beginning-1800/n9v6-gdp6</x:v>
      </x:c>
    </x:row>
    <x:row r="1510">
      <x:c r="A1510" t="str">
        <x:v>DOS-6-052</x:v>
      </x:c>
      <x:c r="B1510" t="n">
        <x:v>6</x:v>
      </x:c>
      <x:c r="C1510" t="str">
        <x:v>CROWN ACQUISITIONS, INC., 767 FIFTH AVENUE, 24TH FLOOR, NEW YORK, NY, 10153, US</x:v>
      </x:c>
      <x:c r="D1510" t="str">
        <x:v>329 WYCKOFF AVENUE OWNER LLC</x:v>
      </x:c>
      <x:c r="E1510" t="str">
        <x:v>329 WYCKOFF AVENUE OWNER LLC</x:v>
      </x:c>
      <x:c r="F1510" t="str">
        <x:v>Active name match</x:v>
      </x:c>
      <x:c r="G1510" t="n">
        <x:v>1</x:v>
      </x:c>
      <x:c r="H1510" t="n">
        <x:v>0</x:v>
      </x:c>
      <x:c r="I1510" t="str">
        <x:v>4878072</x:v>
      </x:c>
      <x:c r="J1510" t="str">
        <x:v>329 WYCKOFF AVENUE OWNER LLC</x:v>
      </x:c>
      <x:c r="K1510" s="55" t="n">
        <x:v>42381</x:v>
      </x:c>
      <x:c r="L1510" t="str">
        <x:v>Albany</x:v>
      </x:c>
      <x:c r="M1510" t="str">
        <x:v>Delaware</x:v>
      </x:c>
      <x:c r="N1510" t="str">
        <x:v>FOREIGN LIMITED LIABILITY COMPANY</x:v>
      </x:c>
      <x:c r="O1510" t="str">
        <x:v>C/O CORPORATION SERVICE COMPANY</x:v>
      </x:c>
      <x:c r="P1510" t="str">
        <x:v>80 STATE ST, ALBANY, NY, 12207</x:v>
      </x:c>
      <x:c r="Q1510" t="str"/>
      <x:c r="R1510" t="str"/>
      <x:c r="S1510" t="str"/>
      <x:c r="T1510" t="str"/>
      <x:c r="U1510" t="str"/>
      <x:c r="V1510" t="str"/>
      <x:c r="W1510" t="str"/>
      <x:c r="X1510" t="str"/>
      <x:c r="Y1510" t="str">
        <x:v>https://data.ny.gov/Economic-Development/Active-Corporations-Beginning-1800/n9v6-gdp6</x:v>
      </x:c>
    </x:row>
    <x:row r="1511">
      <x:c r="A1511" t="str">
        <x:v>DOS-6-052</x:v>
      </x:c>
      <x:c r="B1511" t="n">
        <x:v>6</x:v>
      </x:c>
      <x:c r="C1511" t="str">
        <x:v>CROWN ACQUISITIONS, INC., 767 FIFTH AVENUE, 24TH FLOOR, NEW YORK, NY, 10153, US</x:v>
      </x:c>
      <x:c r="D1511" t="str">
        <x:v>5001 CHURCH AVENUE OWNER LLC</x:v>
      </x:c>
      <x:c r="E1511" t="str">
        <x:v>5001 CHURCH AVENUE OWNER LLC</x:v>
      </x:c>
      <x:c r="F1511" t="str">
        <x:v>Active name match</x:v>
      </x:c>
      <x:c r="G1511" t="n">
        <x:v>1</x:v>
      </x:c>
      <x:c r="H1511" t="n">
        <x:v>0</x:v>
      </x:c>
      <x:c r="I1511" t="str">
        <x:v>4878064</x:v>
      </x:c>
      <x:c r="J1511" t="str">
        <x:v>5001 CHURCH AVENUE OWNER LLC</x:v>
      </x:c>
      <x:c r="K1511" s="55" t="n">
        <x:v>42381</x:v>
      </x:c>
      <x:c r="L1511" t="str">
        <x:v>Albany</x:v>
      </x:c>
      <x:c r="M1511" t="str">
        <x:v>Delaware</x:v>
      </x:c>
      <x:c r="N1511" t="str">
        <x:v>FOREIGN LIMITED LIABILITY COMPANY</x:v>
      </x:c>
      <x:c r="O1511" t="str">
        <x:v>C/O CORPORATION SERVICE COMPANY</x:v>
      </x:c>
      <x:c r="P1511" t="str">
        <x:v>80 STATE ST, ALBANY, NY, 12207</x:v>
      </x:c>
      <x:c r="Q1511" t="str"/>
      <x:c r="R1511" t="str"/>
      <x:c r="S1511" t="str"/>
      <x:c r="T1511" t="str"/>
      <x:c r="U1511" t="str"/>
      <x:c r="V1511" t="str"/>
      <x:c r="W1511" t="str"/>
      <x:c r="X1511" t="str"/>
      <x:c r="Y1511" t="str">
        <x:v>https://data.ny.gov/Economic-Development/Active-Corporations-Beginning-1800/n9v6-gdp6</x:v>
      </x:c>
    </x:row>
    <x:row r="1512">
      <x:c r="A1512" t="str">
        <x:v>DOS-6-052</x:v>
      </x:c>
      <x:c r="B1512" t="n">
        <x:v>6</x:v>
      </x:c>
      <x:c r="C1512" t="str">
        <x:v>CROWN ACQUISITIONS, INC., 767 FIFTH AVENUE, 24TH FLOOR, NEW YORK, NY, 10153, US</x:v>
      </x:c>
      <x:c r="D1512" t="str">
        <x:v>6620 18TH AVENUE OWNER LLC</x:v>
      </x:c>
      <x:c r="E1512" t="str">
        <x:v>6620 18TH AVENUE OWNER LLC</x:v>
      </x:c>
      <x:c r="F1512" t="str">
        <x:v>Active name match</x:v>
      </x:c>
      <x:c r="G1512" t="n">
        <x:v>1</x:v>
      </x:c>
      <x:c r="H1512" t="n">
        <x:v>0</x:v>
      </x:c>
      <x:c r="I1512" t="str">
        <x:v>4877720</x:v>
      </x:c>
      <x:c r="J1512" t="str">
        <x:v>6620 18TH AVENUE OWNER LLC</x:v>
      </x:c>
      <x:c r="K1512" s="55" t="n">
        <x:v>42381</x:v>
      </x:c>
      <x:c r="L1512" t="str">
        <x:v>Albany</x:v>
      </x:c>
      <x:c r="M1512" t="str">
        <x:v>Delaware</x:v>
      </x:c>
      <x:c r="N1512" t="str">
        <x:v>FOREIGN LIMITED LIABILITY COMPANY</x:v>
      </x:c>
      <x:c r="O1512" t="str">
        <x:v>C/O CORPORATION SERVICE COMPANY</x:v>
      </x:c>
      <x:c r="P1512" t="str">
        <x:v>80 STATE STREET, ALBANY, NY, 12207</x:v>
      </x:c>
      <x:c r="Q1512" t="str"/>
      <x:c r="R1512" t="str"/>
      <x:c r="S1512" t="str"/>
      <x:c r="T1512" t="str"/>
      <x:c r="U1512" t="str"/>
      <x:c r="V1512" t="str"/>
      <x:c r="W1512" t="str"/>
      <x:c r="X1512" t="str"/>
      <x:c r="Y1512" t="str">
        <x:v>https://data.ny.gov/Economic-Development/Active-Corporations-Beginning-1800/n9v6-gdp6</x:v>
      </x:c>
    </x:row>
    <x:row r="1513">
      <x:c r="A1513" t="str">
        <x:v>DOS-6-052</x:v>
      </x:c>
      <x:c r="B1513" t="n">
        <x:v>6</x:v>
      </x:c>
      <x:c r="C1513" t="str">
        <x:v>CROWN ACQUISITIONS, INC., 767 FIFTH AVENUE, 24TH FLOOR, NEW YORK, NY, 10153, US</x:v>
      </x:c>
      <x:c r="D1513" t="str">
        <x:v>STILLWELL 86TH STREET OWNER LLC</x:v>
      </x:c>
      <x:c r="E1513" t="str">
        <x:v>STILLWELL 86TH STREET OWNER LLC</x:v>
      </x:c>
      <x:c r="F1513" t="str">
        <x:v>Active name match</x:v>
      </x:c>
      <x:c r="G1513" t="n">
        <x:v>1</x:v>
      </x:c>
      <x:c r="H1513" t="n">
        <x:v>0</x:v>
      </x:c>
      <x:c r="I1513" t="str">
        <x:v>4878054</x:v>
      </x:c>
      <x:c r="J1513" t="str">
        <x:v>STILLWELL 86TH STREET OWNER LLC</x:v>
      </x:c>
      <x:c r="K1513" s="55" t="n">
        <x:v>42381</x:v>
      </x:c>
      <x:c r="L1513" t="str">
        <x:v>Albany</x:v>
      </x:c>
      <x:c r="M1513" t="str">
        <x:v>Delaware</x:v>
      </x:c>
      <x:c r="N1513" t="str">
        <x:v>FOREIGN LIMITED LIABILITY COMPANY</x:v>
      </x:c>
      <x:c r="O1513" t="str">
        <x:v>Christine lompado</x:v>
      </x:c>
      <x:c r="P1513" t="str">
        <x:v>362 fifth avenue, suite 901, NEW YORK, NY, 10001</x:v>
      </x:c>
      <x:c r="Q1513" t="str"/>
      <x:c r="R1513" t="str"/>
      <x:c r="S1513" t="str">
        <x:v>CHRISTINE LOMPADO</x:v>
      </x:c>
      <x:c r="T1513" t="str">
        <x:v>362 FIFTH AVENUE, SUITE 901, NEW YORK, NEW YORK, 10001</x:v>
      </x:c>
      <x:c r="U1513" t="str"/>
      <x:c r="V1513" t="str"/>
      <x:c r="W1513" t="str"/>
      <x:c r="X1513" t="str"/>
      <x:c r="Y1513" t="str">
        <x:v>https://data.ny.gov/Economic-Development/Active-Corporations-Beginning-1800/n9v6-gdp6</x:v>
      </x:c>
    </x:row>
    <x:row r="1514">
      <x:c r="A1514" t="str">
        <x:v>DOS-6-053</x:v>
      </x:c>
      <x:c r="B1514" t="n">
        <x:v>6</x:v>
      </x:c>
      <x:c r="C1514" t="str">
        <x:v>1044 NORTHERN BOULEVARD, 2ND FLOOR, ROSLYN, NY, 11576, US</x:v>
      </x:c>
      <x:c r="D1514" t="str">
        <x:v>EMERALD GREEN LLC</x:v>
      </x:c>
      <x:c r="E1514" t="str">
        <x:v>EMERALD GREEN LLC</x:v>
      </x:c>
      <x:c r="F1514" t="str">
        <x:v>Address-corroborated active match</x:v>
      </x:c>
      <x:c r="G1514" t="n">
        <x:v>1</x:v>
      </x:c>
      <x:c r="H1514" t="n">
        <x:v>2</x:v>
      </x:c>
      <x:c r="I1514" t="str">
        <x:v>2376226</x:v>
      </x:c>
      <x:c r="J1514" t="str">
        <x:v>EMERALD GREEN LLC</x:v>
      </x:c>
      <x:c r="K1514" s="55" t="n">
        <x:v>36290</x:v>
      </x:c>
      <x:c r="L1514" t="str">
        <x:v>Nassau</x:v>
      </x:c>
      <x:c r="M1514" t="str">
        <x:v>New York</x:v>
      </x:c>
      <x:c r="N1514" t="str">
        <x:v>DOMESTIC LIMITED LIABILITY COMPANY</x:v>
      </x:c>
      <x:c r="O1514" t="str">
        <x:v>EMERALD GREEN LLC</x:v>
      </x:c>
      <x:c r="P1514" t="str">
        <x:v>1044 NORTHERN BOULEVARD,, 2ND FLOOR, ROSLYN, NY, 11576</x:v>
      </x:c>
      <x:c r="Q1514" t="str"/>
      <x:c r="R1514" t="str"/>
      <x:c r="S1514" t="str"/>
      <x:c r="T1514" t="str"/>
      <x:c r="U1514" t="str"/>
      <x:c r="V1514" t="str"/>
      <x:c r="W1514" t="str"/>
      <x:c r="X1514" t="str"/>
      <x:c r="Y1514" t="str">
        <x:v>https://data.ny.gov/Economic-Development/Active-Corporations-Beginning-1800/n9v6-gdp6</x:v>
      </x:c>
    </x:row>
    <x:row r="1515">
      <x:c r="A1515" t="str">
        <x:v>DOS-6-053</x:v>
      </x:c>
      <x:c r="B1515" t="n">
        <x:v>6</x:v>
      </x:c>
      <x:c r="C1515" t="str">
        <x:v>1044 NORTHERN BOULEVARD, 2ND FLOOR, ROSLYN, NY, 11576, US</x:v>
      </x:c>
      <x:c r="D1515" t="str">
        <x:v>EMERALD GREEN PHASE II LLC</x:v>
      </x:c>
      <x:c r="E1515" t="str">
        <x:v>EMERALD GREEN PHASE II LLC</x:v>
      </x:c>
      <x:c r="F1515" t="str">
        <x:v>Address-corroborated active match</x:v>
      </x:c>
      <x:c r="G1515" t="n">
        <x:v>1</x:v>
      </x:c>
      <x:c r="H1515" t="n">
        <x:v>2</x:v>
      </x:c>
      <x:c r="I1515" t="str">
        <x:v>2490387</x:v>
      </x:c>
      <x:c r="J1515" t="str">
        <x:v>EMERALD GREEN PHASE II LLC</x:v>
      </x:c>
      <x:c r="K1515" s="55" t="n">
        <x:v>36609</x:v>
      </x:c>
      <x:c r="L1515" t="str">
        <x:v>Nassau</x:v>
      </x:c>
      <x:c r="M1515" t="str">
        <x:v>New York</x:v>
      </x:c>
      <x:c r="N1515" t="str">
        <x:v>DOMESTIC LIMITED LIABILITY COMPANY</x:v>
      </x:c>
      <x:c r="O1515" t="str">
        <x:v>EMERALD GREEN PHASE II LLC</x:v>
      </x:c>
      <x:c r="P1515" t="str">
        <x:v>1044 NORTHERN BOULEVARD, 2ND F, ROSLYN, NY, 11576</x:v>
      </x:c>
      <x:c r="Q1515" t="str"/>
      <x:c r="R1515" t="str"/>
      <x:c r="S1515" t="str"/>
      <x:c r="T1515" t="str"/>
      <x:c r="U1515" t="str"/>
      <x:c r="V1515" t="str"/>
      <x:c r="W1515" t="str"/>
      <x:c r="X1515" t="str"/>
      <x:c r="Y1515" t="str">
        <x:v>https://data.ny.gov/Economic-Development/Active-Corporations-Beginning-1800/n9v6-gdp6</x:v>
      </x:c>
    </x:row>
    <x:row r="1516">
      <x:c r="A1516" t="str">
        <x:v>DOS-6-053</x:v>
      </x:c>
      <x:c r="B1516" t="n">
        <x:v>6</x:v>
      </x:c>
      <x:c r="C1516" t="str">
        <x:v>1044 NORTHERN BOULEVARD, 2ND FLOOR, ROSLYN, NY, 11576, US</x:v>
      </x:c>
      <x:c r="D1516" t="str">
        <x:v>GRANT FORBELL LLC</x:v>
      </x:c>
      <x:c r="E1516" t="str">
        <x:v>GRANT FORBELL LLC</x:v>
      </x:c>
      <x:c r="F1516" t="str">
        <x:v>Address-corroborated active match</x:v>
      </x:c>
      <x:c r="G1516" t="n">
        <x:v>1</x:v>
      </x:c>
      <x:c r="H1516" t="n">
        <x:v>2</x:v>
      </x:c>
      <x:c r="I1516" t="str">
        <x:v>2627093</x:v>
      </x:c>
      <x:c r="J1516" t="str">
        <x:v>GRANT FORBELL LLC</x:v>
      </x:c>
      <x:c r="K1516" s="55" t="n">
        <x:v>36992</x:v>
      </x:c>
      <x:c r="L1516" t="str">
        <x:v>Nassau</x:v>
      </x:c>
      <x:c r="M1516" t="str">
        <x:v>New York</x:v>
      </x:c>
      <x:c r="N1516" t="str">
        <x:v>DOMESTIC LIMITED LIABILITY COMPANY</x:v>
      </x:c>
      <x:c r="O1516" t="str">
        <x:v>GRANT FORBELL LLC</x:v>
      </x:c>
      <x:c r="P1516" t="str">
        <x:v>1044 NORTHERN BOULEVARD,, 2ND FLOOR, ROSLYN, NY, 11576</x:v>
      </x:c>
      <x:c r="Q1516" t="str"/>
      <x:c r="R1516" t="str"/>
      <x:c r="S1516" t="str"/>
      <x:c r="T1516" t="str"/>
      <x:c r="U1516" t="str"/>
      <x:c r="V1516" t="str"/>
      <x:c r="W1516" t="str"/>
      <x:c r="X1516" t="str"/>
      <x:c r="Y1516" t="str">
        <x:v>https://data.ny.gov/Economic-Development/Active-Corporations-Beginning-1800/n9v6-gdp6</x:v>
      </x:c>
    </x:row>
    <x:row r="1517">
      <x:c r="A1517" t="str">
        <x:v>DOS-6-053</x:v>
      </x:c>
      <x:c r="B1517" t="n">
        <x:v>6</x:v>
      </x:c>
      <x:c r="C1517" t="str">
        <x:v>1044 NORTHERN BOULEVARD, 2ND FLOOR, ROSLYN, NY, 11576, US</x:v>
      </x:c>
      <x:c r="D1517" t="str">
        <x:v>RUBY DUMONT LLC</x:v>
      </x:c>
      <x:c r="E1517" t="str">
        <x:v>RUBY DUMONT LLC</x:v>
      </x:c>
      <x:c r="F1517" t="str">
        <x:v>Address-corroborated active match</x:v>
      </x:c>
      <x:c r="G1517" t="n">
        <x:v>1</x:v>
      </x:c>
      <x:c r="H1517" t="n">
        <x:v>2</x:v>
      </x:c>
      <x:c r="I1517" t="str">
        <x:v>2521006</x:v>
      </x:c>
      <x:c r="J1517" t="str">
        <x:v>RUBY DUMONT LLC</x:v>
      </x:c>
      <x:c r="K1517" s="55" t="n">
        <x:v>36691</x:v>
      </x:c>
      <x:c r="L1517" t="str">
        <x:v>Nassau</x:v>
      </x:c>
      <x:c r="M1517" t="str">
        <x:v>New York</x:v>
      </x:c>
      <x:c r="N1517" t="str">
        <x:v>DOMESTIC LIMITED LIABILITY COMPANY</x:v>
      </x:c>
      <x:c r="O1517" t="str">
        <x:v>RUBY DUMONT LLC</x:v>
      </x:c>
      <x:c r="P1517" t="str">
        <x:v>1044 NORTHERN BOULEVARD, 2ND FLOOR, ROSLYN, NY, 11576</x:v>
      </x:c>
      <x:c r="Q1517" t="str"/>
      <x:c r="R1517" t="str"/>
      <x:c r="S1517" t="str"/>
      <x:c r="T1517" t="str"/>
      <x:c r="U1517" t="str"/>
      <x:c r="V1517" t="str"/>
      <x:c r="W1517" t="str"/>
      <x:c r="X1517" t="str"/>
      <x:c r="Y1517" t="str">
        <x:v>https://data.ny.gov/Economic-Development/Active-Corporations-Beginning-1800/n9v6-gdp6</x:v>
      </x:c>
    </x:row>
    <x:row r="1518">
      <x:c r="A1518" t="str">
        <x:v>DOS-6-053</x:v>
      </x:c>
      <x:c r="B1518" t="n">
        <x:v>6</x:v>
      </x:c>
      <x:c r="C1518" t="str">
        <x:v>1044 NORTHERN BOULEVARD, 2ND FLOOR, ROSLYN, NY, 11576, US</x:v>
      </x:c>
      <x:c r="D1518" t="str">
        <x:v>THE VERMONT LLC</x:v>
      </x:c>
      <x:c r="E1518" t="str">
        <x:v>THE VERMONT LLC</x:v>
      </x:c>
      <x:c r="F1518" t="str">
        <x:v>Address-corroborated active match</x:v>
      </x:c>
      <x:c r="G1518" t="n">
        <x:v>1</x:v>
      </x:c>
      <x:c r="H1518" t="n">
        <x:v>2</x:v>
      </x:c>
      <x:c r="I1518" t="str">
        <x:v>2195371</x:v>
      </x:c>
      <x:c r="J1518" t="str">
        <x:v>THE VERMONT LLC</x:v>
      </x:c>
      <x:c r="K1518" s="55" t="n">
        <x:v>35737</x:v>
      </x:c>
      <x:c r="L1518" t="str">
        <x:v>Nassau</x:v>
      </x:c>
      <x:c r="M1518" t="str">
        <x:v>New York</x:v>
      </x:c>
      <x:c r="N1518" t="str">
        <x:v>DOMESTIC LIMITED LIABILITY COMPANY</x:v>
      </x:c>
      <x:c r="O1518" t="str">
        <x:v>THE VERMONT LLC</x:v>
      </x:c>
      <x:c r="P1518" t="str">
        <x:v>1044 NORTHERN BOULEVARD,, 2ND FLOOR, ROSLYN, NY, 11576</x:v>
      </x:c>
      <x:c r="Q1518" t="str"/>
      <x:c r="R1518" t="str"/>
      <x:c r="S1518" t="str"/>
      <x:c r="T1518" t="str"/>
      <x:c r="U1518" t="str"/>
      <x:c r="V1518" t="str"/>
      <x:c r="W1518" t="str"/>
      <x:c r="X1518" t="str"/>
      <x:c r="Y1518" t="str">
        <x:v>https://data.ny.gov/Economic-Development/Active-Corporations-Beginning-1800/n9v6-gdp6</x:v>
      </x:c>
    </x:row>
    <x:row r="1519">
      <x:c r="A1519" t="str">
        <x:v>DOS-6-053</x:v>
      </x:c>
      <x:c r="B1519" t="n">
        <x:v>6</x:v>
      </x:c>
      <x:c r="C1519" t="str">
        <x:v>1044 NORTHERN BOULEVARD, 2ND FLOOR, ROSLYN, NY, 11576, US</x:v>
      </x:c>
      <x:c r="D1519" t="str">
        <x:v>THE WYONA LLC</x:v>
      </x:c>
      <x:c r="E1519" t="str">
        <x:v>THE WYONA LLC</x:v>
      </x:c>
      <x:c r="F1519" t="str">
        <x:v>Address-corroborated active match</x:v>
      </x:c>
      <x:c r="G1519" t="n">
        <x:v>1</x:v>
      </x:c>
      <x:c r="H1519" t="n">
        <x:v>2</x:v>
      </x:c>
      <x:c r="I1519" t="str">
        <x:v>2319179</x:v>
      </x:c>
      <x:c r="J1519" t="str">
        <x:v>THE WYONA LLC</x:v>
      </x:c>
      <x:c r="K1519" s="55" t="n">
        <x:v>36124</x:v>
      </x:c>
      <x:c r="L1519" t="str">
        <x:v>Nassau</x:v>
      </x:c>
      <x:c r="M1519" t="str">
        <x:v>New York</x:v>
      </x:c>
      <x:c r="N1519" t="str">
        <x:v>DOMESTIC LIMITED LIABILITY COMPANY</x:v>
      </x:c>
      <x:c r="O1519" t="str">
        <x:v>THE WYONA LLC</x:v>
      </x:c>
      <x:c r="P1519" t="str">
        <x:v>1044 NORTHERN BOULEVARD, 2ND FLOOR, ROSLYN, NY, 11576</x:v>
      </x:c>
      <x:c r="Q1519" t="str"/>
      <x:c r="R1519" t="str"/>
      <x:c r="S1519" t="str"/>
      <x:c r="T1519" t="str"/>
      <x:c r="U1519" t="str"/>
      <x:c r="V1519" t="str"/>
      <x:c r="W1519" t="str"/>
      <x:c r="X1519" t="str"/>
      <x:c r="Y1519" t="str">
        <x:v>https://data.ny.gov/Economic-Development/Active-Corporations-Beginning-1800/n9v6-gdp6</x:v>
      </x:c>
    </x:row>
    <x:row r="1520">
      <x:c r="A1520" t="str">
        <x:v>DOS-6-054</x:v>
      </x:c>
      <x:c r="B1520" t="n">
        <x:v>6</x:v>
      </x:c>
      <x:c r="C1520" t="str">
        <x:v>112 BRISTOL DRIVE, WOODBURY, NY, 11797, US</x:v>
      </x:c>
      <x:c r="D1520" t="str">
        <x:v>14 WEST 88TH STREET LLC</x:v>
      </x:c>
      <x:c r="E1520" t="str">
        <x:v>14 WEST 88TH STREET, LLC</x:v>
      </x:c>
      <x:c r="F1520" t="str">
        <x:v>Address-corroborated active match</x:v>
      </x:c>
      <x:c r="G1520" t="n">
        <x:v>1</x:v>
      </x:c>
      <x:c r="H1520" t="n">
        <x:v>2</x:v>
      </x:c>
      <x:c r="I1520" t="str">
        <x:v>4321196</x:v>
      </x:c>
      <x:c r="J1520" t="str">
        <x:v>14 WEST 88TH STREET, LLC</x:v>
      </x:c>
      <x:c r="K1520" s="55" t="n">
        <x:v>41229</x:v>
      </x:c>
      <x:c r="L1520" t="str">
        <x:v>New York</x:v>
      </x:c>
      <x:c r="M1520" t="str">
        <x:v>New York</x:v>
      </x:c>
      <x:c r="N1520" t="str">
        <x:v>DOMESTIC LIMITED LIABILITY COMPANY</x:v>
      </x:c>
      <x:c r="O1520" t="str">
        <x:v>FLORENCE GOLDSMITH</x:v>
      </x:c>
      <x:c r="P1520" t="str">
        <x:v>112 Bristol Drive, Woodbury, NY, 11797</x:v>
      </x:c>
      <x:c r="Q1520" t="str"/>
      <x:c r="R1520" t="str"/>
      <x:c r="S1520" t="str"/>
      <x:c r="T1520" t="str"/>
      <x:c r="U1520" t="str"/>
      <x:c r="V1520" t="str"/>
      <x:c r="W1520" t="str"/>
      <x:c r="X1520" t="str"/>
      <x:c r="Y1520" t="str">
        <x:v>https://data.ny.gov/Economic-Development/Active-Corporations-Beginning-1800/n9v6-gdp6</x:v>
      </x:c>
    </x:row>
    <x:row r="1521">
      <x:c r="A1521" t="str">
        <x:v>DOS-6-054</x:v>
      </x:c>
      <x:c r="B1521" t="n">
        <x:v>6</x:v>
      </x:c>
      <x:c r="C1521" t="str">
        <x:v>112 BRISTOL DRIVE, WOODBURY, NY, 11797, US</x:v>
      </x:c>
      <x:c r="D1521" t="str">
        <x:v>220 EAST 74TH STREET REALTY LLC</x:v>
      </x:c>
      <x:c r="E1521" t="str">
        <x:v>220 EAST 74TH STREET REALTY, LLC</x:v>
      </x:c>
      <x:c r="F1521" t="str">
        <x:v>Address-corroborated active match</x:v>
      </x:c>
      <x:c r="G1521" t="n">
        <x:v>1</x:v>
      </x:c>
      <x:c r="H1521" t="n">
        <x:v>2</x:v>
      </x:c>
      <x:c r="I1521" t="str">
        <x:v>3815749</x:v>
      </x:c>
      <x:c r="J1521" t="str">
        <x:v>220 EAST 74TH STREET REALTY, LLC</x:v>
      </x:c>
      <x:c r="K1521" s="55" t="n">
        <x:v>39961</x:v>
      </x:c>
      <x:c r="L1521" t="str">
        <x:v>New York</x:v>
      </x:c>
      <x:c r="M1521" t="str">
        <x:v>New York</x:v>
      </x:c>
      <x:c r="N1521" t="str">
        <x:v>DOMESTIC LIMITED LIABILITY COMPANY</x:v>
      </x:c>
      <x:c r="O1521" t="str">
        <x:v>FLORENCE GOLDSMITH</x:v>
      </x:c>
      <x:c r="P1521" t="str">
        <x:v>112 Bristol Drive, Woodbury, NY, 11797</x:v>
      </x:c>
      <x:c r="Q1521" t="str"/>
      <x:c r="R1521" t="str"/>
      <x:c r="S1521" t="str"/>
      <x:c r="T1521" t="str"/>
      <x:c r="U1521" t="str"/>
      <x:c r="V1521" t="str"/>
      <x:c r="W1521" t="str"/>
      <x:c r="X1521" t="str"/>
      <x:c r="Y1521" t="str">
        <x:v>https://data.ny.gov/Economic-Development/Active-Corporations-Beginning-1800/n9v6-gdp6</x:v>
      </x:c>
    </x:row>
    <x:row r="1522">
      <x:c r="A1522" t="str">
        <x:v>DOS-6-054</x:v>
      </x:c>
      <x:c r="B1522" t="n">
        <x:v>6</x:v>
      </x:c>
      <x:c r="C1522" t="str">
        <x:v>112 BRISTOL DRIVE, WOODBURY, NY, 11797, US</x:v>
      </x:c>
      <x:c r="D1522" t="str">
        <x:v>310 WEST 95TH STREET ASSOCIATES LLC</x:v>
      </x:c>
      <x:c r="E1522" t="str">
        <x:v>310 WEST 95TH STREET ASSOCIATES, LLC</x:v>
      </x:c>
      <x:c r="F1522" t="str">
        <x:v>Address-corroborated active match</x:v>
      </x:c>
      <x:c r="G1522" t="n">
        <x:v>1</x:v>
      </x:c>
      <x:c r="H1522" t="n">
        <x:v>2</x:v>
      </x:c>
      <x:c r="I1522" t="str">
        <x:v>2492387</x:v>
      </x:c>
      <x:c r="J1522" t="str">
        <x:v>310 WEST 95TH STREET ASSOCIATES, LLC</x:v>
      </x:c>
      <x:c r="K1522" s="55" t="n">
        <x:v>36614</x:v>
      </x:c>
      <x:c r="L1522" t="str">
        <x:v>New York</x:v>
      </x:c>
      <x:c r="M1522" t="str">
        <x:v>New York</x:v>
      </x:c>
      <x:c r="N1522" t="str">
        <x:v>DOMESTIC LIMITED LIABILITY COMPANY</x:v>
      </x:c>
      <x:c r="O1522" t="str">
        <x:v>FLORENCE GOLDSMITH</x:v>
      </x:c>
      <x:c r="P1522" t="str">
        <x:v>112 Bristol Drive, Woodbury, NY, 11797</x:v>
      </x:c>
      <x:c r="Q1522" t="str"/>
      <x:c r="R1522" t="str"/>
      <x:c r="S1522" t="str"/>
      <x:c r="T1522" t="str"/>
      <x:c r="U1522" t="str"/>
      <x:c r="V1522" t="str"/>
      <x:c r="W1522" t="str"/>
      <x:c r="X1522" t="str"/>
      <x:c r="Y1522" t="str">
        <x:v>https://data.ny.gov/Economic-Development/Active-Corporations-Beginning-1800/n9v6-gdp6</x:v>
      </x:c>
    </x:row>
    <x:row r="1523">
      <x:c r="A1523" t="str">
        <x:v>DOS-6-054</x:v>
      </x:c>
      <x:c r="B1523" t="n">
        <x:v>6</x:v>
      </x:c>
      <x:c r="C1523" t="str">
        <x:v>112 BRISTOL DRIVE, WOODBURY, NY, 11797, US</x:v>
      </x:c>
      <x:c r="D1523" t="str">
        <x:v>47 WEST 85TH REALTY ASSOCIATES LLC</x:v>
      </x:c>
      <x:c r="E1523" t="str">
        <x:v>47 WEST 85TH REALTY ASSOCIATES, LLC</x:v>
      </x:c>
      <x:c r="F1523" t="str">
        <x:v>Address-corroborated active match</x:v>
      </x:c>
      <x:c r="G1523" t="n">
        <x:v>1</x:v>
      </x:c>
      <x:c r="H1523" t="n">
        <x:v>2</x:v>
      </x:c>
      <x:c r="I1523" t="str">
        <x:v>2503225</x:v>
      </x:c>
      <x:c r="J1523" t="str">
        <x:v>47 WEST 85TH REALTY ASSOCIATES, LLC</x:v>
      </x:c>
      <x:c r="K1523" s="55" t="n">
        <x:v>36642</x:v>
      </x:c>
      <x:c r="L1523" t="str">
        <x:v>New York</x:v>
      </x:c>
      <x:c r="M1523" t="str">
        <x:v>New York</x:v>
      </x:c>
      <x:c r="N1523" t="str">
        <x:v>DOMESTIC LIMITED LIABILITY COMPANY</x:v>
      </x:c>
      <x:c r="O1523" t="str">
        <x:v>FLORENCE GOLDSMITH</x:v>
      </x:c>
      <x:c r="P1523" t="str">
        <x:v>112 BRISTOL DRIVE, WOODBURY, NY, 11797</x:v>
      </x:c>
      <x:c r="Q1523" t="str"/>
      <x:c r="R1523" t="str"/>
      <x:c r="S1523" t="str"/>
      <x:c r="T1523" t="str"/>
      <x:c r="U1523" t="str"/>
      <x:c r="V1523" t="str"/>
      <x:c r="W1523" t="str"/>
      <x:c r="X1523" t="str"/>
      <x:c r="Y1523" t="str">
        <x:v>https://data.ny.gov/Economic-Development/Active-Corporations-Beginning-1800/n9v6-gdp6</x:v>
      </x:c>
    </x:row>
    <x:row r="1524">
      <x:c r="A1524" t="str">
        <x:v>DOS-6-054</x:v>
      </x:c>
      <x:c r="B1524" t="n">
        <x:v>6</x:v>
      </x:c>
      <x:c r="C1524" t="str">
        <x:v>112 BRISTOL DRIVE, WOODBURY, NY, 11797, US</x:v>
      </x:c>
      <x:c r="D1524" t="str">
        <x:v>73 75 REALTY ASSOCIATES LLC</x:v>
      </x:c>
      <x:c r="E1524" t="str">
        <x:v>73-75 REALTY ASSOCIATES, LLC</x:v>
      </x:c>
      <x:c r="F1524" t="str">
        <x:v>Address-corroborated active match</x:v>
      </x:c>
      <x:c r="G1524" t="n">
        <x:v>1</x:v>
      </x:c>
      <x:c r="H1524" t="n">
        <x:v>2</x:v>
      </x:c>
      <x:c r="I1524" t="str">
        <x:v>2218825</x:v>
      </x:c>
      <x:c r="J1524" t="str">
        <x:v>73-75 REALTY ASSOCIATES, LLC</x:v>
      </x:c>
      <x:c r="K1524" s="55" t="n">
        <x:v>35811</x:v>
      </x:c>
      <x:c r="L1524" t="str">
        <x:v>New York</x:v>
      </x:c>
      <x:c r="M1524" t="str">
        <x:v>New York</x:v>
      </x:c>
      <x:c r="N1524" t="str">
        <x:v>DOMESTIC LIMITED LIABILITY COMPANY</x:v>
      </x:c>
      <x:c r="O1524" t="str">
        <x:v>FLORENCE GOLDSMITH</x:v>
      </x:c>
      <x:c r="P1524" t="str">
        <x:v>112 Bristol Drive, Woodbury, NY, 11797</x:v>
      </x:c>
      <x:c r="Q1524" t="str"/>
      <x:c r="R1524" t="str"/>
      <x:c r="S1524" t="str"/>
      <x:c r="T1524" t="str"/>
      <x:c r="U1524" t="str"/>
      <x:c r="V1524" t="str"/>
      <x:c r="W1524" t="str"/>
      <x:c r="X1524" t="str"/>
      <x:c r="Y1524" t="str">
        <x:v>https://data.ny.gov/Economic-Development/Active-Corporations-Beginning-1800/n9v6-gdp6</x:v>
      </x:c>
    </x:row>
    <x:row r="1525">
      <x:c r="A1525" t="str">
        <x:v>DOS-6-054</x:v>
      </x:c>
      <x:c r="B1525" t="n">
        <x:v>6</x:v>
      </x:c>
      <x:c r="C1525" t="str">
        <x:v>112 BRISTOL DRIVE, WOODBURY, NY, 11797, US</x:v>
      </x:c>
      <x:c r="D1525" t="str">
        <x:v>CHELSEA PARTNERS LLC</x:v>
      </x:c>
      <x:c r="E1525" t="str">
        <x:v>CHELSEA PARTNERS, LLC</x:v>
      </x:c>
      <x:c r="F1525" t="str">
        <x:v>Address-corroborated active match</x:v>
      </x:c>
      <x:c r="G1525" t="n">
        <x:v>1</x:v>
      </x:c>
      <x:c r="H1525" t="n">
        <x:v>2</x:v>
      </x:c>
      <x:c r="I1525" t="str">
        <x:v>2492385</x:v>
      </x:c>
      <x:c r="J1525" t="str">
        <x:v>CHELSEA PARTNERS, LLC</x:v>
      </x:c>
      <x:c r="K1525" s="55" t="n">
        <x:v>36614</x:v>
      </x:c>
      <x:c r="L1525" t="str">
        <x:v>New York</x:v>
      </x:c>
      <x:c r="M1525" t="str">
        <x:v>New York</x:v>
      </x:c>
      <x:c r="N1525" t="str">
        <x:v>DOMESTIC LIMITED LIABILITY COMPANY</x:v>
      </x:c>
      <x:c r="O1525" t="str">
        <x:v>FLORENCE GOLDSMITH</x:v>
      </x:c>
      <x:c r="P1525" t="str">
        <x:v>112 Bristol Drive, Woodbury, NY, 11797</x:v>
      </x:c>
      <x:c r="Q1525" t="str"/>
      <x:c r="R1525" t="str"/>
      <x:c r="S1525" t="str"/>
      <x:c r="T1525" t="str"/>
      <x:c r="U1525" t="str"/>
      <x:c r="V1525" t="str"/>
      <x:c r="W1525" t="str"/>
      <x:c r="X1525" t="str"/>
      <x:c r="Y1525" t="str">
        <x:v>https://data.ny.gov/Economic-Development/Active-Corporations-Beginning-1800/n9v6-gdp6</x:v>
      </x:c>
    </x:row>
    <x:row r="1526">
      <x:c r="A1526" t="str">
        <x:v>DOS-6-055</x:v>
      </x:c>
      <x:c r="B1526" t="n">
        <x:v>6</x:v>
      </x:c>
      <x:c r="C1526" t="str">
        <x:v>112  PHYLLIS COURT, ELMONT, NY, 11003, US | 112 PHYLLIS COURT, ELMONT, NY, 11003, US</x:v>
      </x:c>
      <x:c r="D1526" t="str">
        <x:v>145 26 26A LIBERTY AVE LLC</x:v>
      </x:c>
      <x:c r="E1526" t="str">
        <x:v>145-26/26A LIBERTY AVE., LLC</x:v>
      </x:c>
      <x:c r="F1526" t="str">
        <x:v>Active name match</x:v>
      </x:c>
      <x:c r="G1526" t="n">
        <x:v>1</x:v>
      </x:c>
      <x:c r="H1526" t="n">
        <x:v>0</x:v>
      </x:c>
      <x:c r="I1526" t="str">
        <x:v>4310135</x:v>
      </x:c>
      <x:c r="J1526" t="str">
        <x:v>145-26/26A LIBERTY AVE., LLC</x:v>
      </x:c>
      <x:c r="K1526" s="55" t="n">
        <x:v>41200</x:v>
      </x:c>
      <x:c r="L1526" t="str">
        <x:v>Nassau</x:v>
      </x:c>
      <x:c r="M1526" t="str">
        <x:v>New York</x:v>
      </x:c>
      <x:c r="N1526" t="str">
        <x:v>DOMESTIC LIMITED LIABILITY COMPANY</x:v>
      </x:c>
      <x:c r="O1526" t="str">
        <x:v>145-26/26A LIBERTY AVE., LLC</x:v>
      </x:c>
      <x:c r="P1526" t="str">
        <x:v>94-02 150TH STREET, JAMAICA, NY, 11435</x:v>
      </x:c>
      <x:c r="Q1526" t="str"/>
      <x:c r="R1526" t="str"/>
      <x:c r="S1526" t="str"/>
      <x:c r="T1526" t="str"/>
      <x:c r="U1526" t="str"/>
      <x:c r="V1526" t="str"/>
      <x:c r="W1526" t="str"/>
      <x:c r="X1526" t="str"/>
      <x:c r="Y1526" t="str">
        <x:v>https://data.ny.gov/Economic-Development/Active-Corporations-Beginning-1800/n9v6-gdp6</x:v>
      </x:c>
    </x:row>
    <x:row r="1527">
      <x:c r="A1527" t="str">
        <x:v>DOS-6-055</x:v>
      </x:c>
      <x:c r="B1527" t="n">
        <x:v>6</x:v>
      </x:c>
      <x:c r="C1527" t="str">
        <x:v>112  PHYLLIS COURT, ELMONT, NY, 11003, US | 112 PHYLLIS COURT, ELMONT, NY, 11003, US</x:v>
      </x:c>
      <x:c r="D1527" t="str">
        <x:v>147 02 12 LIBERTY AVE LLC</x:v>
      </x:c>
      <x:c r="E1527" t="str">
        <x:v>147-02/12 LIBERTY AVE., LLC</x:v>
      </x:c>
      <x:c r="F1527" t="str">
        <x:v>Active name match</x:v>
      </x:c>
      <x:c r="G1527" t="n">
        <x:v>1</x:v>
      </x:c>
      <x:c r="H1527" t="n">
        <x:v>0</x:v>
      </x:c>
      <x:c r="I1527" t="str">
        <x:v>4310190</x:v>
      </x:c>
      <x:c r="J1527" t="str">
        <x:v>147-02/12 LIBERTY AVE., LLC</x:v>
      </x:c>
      <x:c r="K1527" s="55" t="n">
        <x:v>41200</x:v>
      </x:c>
      <x:c r="L1527" t="str">
        <x:v>Nassau</x:v>
      </x:c>
      <x:c r="M1527" t="str">
        <x:v>New York</x:v>
      </x:c>
      <x:c r="N1527" t="str">
        <x:v>DOMESTIC LIMITED LIABILITY COMPANY</x:v>
      </x:c>
      <x:c r="O1527" t="str">
        <x:v>147-02/12 LIBERTY AVE., LLC</x:v>
      </x:c>
      <x:c r="P1527" t="str">
        <x:v>94-02 150TH STREET, JAMAICA, NY, 11435</x:v>
      </x:c>
      <x:c r="Q1527" t="str"/>
      <x:c r="R1527" t="str"/>
      <x:c r="S1527" t="str"/>
      <x:c r="T1527" t="str"/>
      <x:c r="U1527" t="str"/>
      <x:c r="V1527" t="str"/>
      <x:c r="W1527" t="str"/>
      <x:c r="X1527" t="str"/>
      <x:c r="Y1527" t="str">
        <x:v>https://data.ny.gov/Economic-Development/Active-Corporations-Beginning-1800/n9v6-gdp6</x:v>
      </x:c>
    </x:row>
    <x:row r="1528">
      <x:c r="A1528" t="str">
        <x:v>DOS-6-055</x:v>
      </x:c>
      <x:c r="B1528" t="n">
        <x:v>6</x:v>
      </x:c>
      <x:c r="C1528" t="str">
        <x:v>112  PHYLLIS COURT, ELMONT, NY, 11003, US | 112 PHYLLIS COURT, ELMONT, NY, 11003, US</x:v>
      </x:c>
      <x:c r="D1528" t="str">
        <x:v>147 17 19 105TH AVE LLC</x:v>
      </x:c>
      <x:c r="E1528" t="str">
        <x:v>147-17/19 105TH AVE., LLC</x:v>
      </x:c>
      <x:c r="F1528" t="str">
        <x:v>Active name match</x:v>
      </x:c>
      <x:c r="G1528" t="n">
        <x:v>1</x:v>
      </x:c>
      <x:c r="H1528" t="n">
        <x:v>0</x:v>
      </x:c>
      <x:c r="I1528" t="str">
        <x:v>4310196</x:v>
      </x:c>
      <x:c r="J1528" t="str">
        <x:v>147-17/19 105TH AVE., LLC</x:v>
      </x:c>
      <x:c r="K1528" s="55" t="n">
        <x:v>41200</x:v>
      </x:c>
      <x:c r="L1528" t="str">
        <x:v>Nassau</x:v>
      </x:c>
      <x:c r="M1528" t="str">
        <x:v>New York</x:v>
      </x:c>
      <x:c r="N1528" t="str">
        <x:v>DOMESTIC LIMITED LIABILITY COMPANY</x:v>
      </x:c>
      <x:c r="O1528" t="str">
        <x:v>147-17/19 105TH AVE., LLC</x:v>
      </x:c>
      <x:c r="P1528" t="str">
        <x:v>94-02 150TH STREET, JAMAICA, NY, 11435</x:v>
      </x:c>
      <x:c r="Q1528" t="str"/>
      <x:c r="R1528" t="str"/>
      <x:c r="S1528" t="str"/>
      <x:c r="T1528" t="str"/>
      <x:c r="U1528" t="str"/>
      <x:c r="V1528" t="str"/>
      <x:c r="W1528" t="str"/>
      <x:c r="X1528" t="str"/>
      <x:c r="Y1528" t="str">
        <x:v>https://data.ny.gov/Economic-Development/Active-Corporations-Beginning-1800/n9v6-gdp6</x:v>
      </x:c>
    </x:row>
    <x:row r="1529">
      <x:c r="A1529" t="str">
        <x:v>DOS-6-055</x:v>
      </x:c>
      <x:c r="B1529" t="n">
        <x:v>6</x:v>
      </x:c>
      <x:c r="C1529" t="str">
        <x:v>112  PHYLLIS COURT, ELMONT, NY, 11003, US | 112 PHYLLIS COURT, ELMONT, NY, 11003, US</x:v>
      </x:c>
      <x:c r="D1529" t="str">
        <x:v>95 12 150TH ST LLC</x:v>
      </x:c>
      <x:c r="E1529" t="str">
        <x:v>95-12 150TH ST. LLC</x:v>
      </x:c>
      <x:c r="F1529" t="str">
        <x:v>Active name match</x:v>
      </x:c>
      <x:c r="G1529" t="n">
        <x:v>1</x:v>
      </x:c>
      <x:c r="H1529" t="n">
        <x:v>0</x:v>
      </x:c>
      <x:c r="I1529" t="str">
        <x:v>4741963</x:v>
      </x:c>
      <x:c r="J1529" t="str">
        <x:v>95-12 150TH ST. LLC</x:v>
      </x:c>
      <x:c r="K1529" s="55" t="n">
        <x:v>42108</x:v>
      </x:c>
      <x:c r="L1529" t="str">
        <x:v>Nassau</x:v>
      </x:c>
      <x:c r="M1529" t="str">
        <x:v>New York</x:v>
      </x:c>
      <x:c r="N1529" t="str">
        <x:v>DOMESTIC LIMITED LIABILITY COMPANY</x:v>
      </x:c>
      <x:c r="O1529" t="str">
        <x:v>95-12 150TH ST. LLC</x:v>
      </x:c>
      <x:c r="P1529" t="str">
        <x:v>94-02 150TH STREET, JAMAICA, NY, 11435</x:v>
      </x:c>
      <x:c r="Q1529" t="str"/>
      <x:c r="R1529" t="str"/>
      <x:c r="S1529" t="str"/>
      <x:c r="T1529" t="str"/>
      <x:c r="U1529" t="str"/>
      <x:c r="V1529" t="str"/>
      <x:c r="W1529" t="str"/>
      <x:c r="X1529" t="str"/>
      <x:c r="Y1529" t="str">
        <x:v>https://data.ny.gov/Economic-Development/Active-Corporations-Beginning-1800/n9v6-gdp6</x:v>
      </x:c>
    </x:row>
    <x:row r="1530">
      <x:c r="A1530" t="str">
        <x:v>DOS-6-055</x:v>
      </x:c>
      <x:c r="B1530" t="n">
        <x:v>6</x:v>
      </x:c>
      <x:c r="C1530" t="str">
        <x:v>112  PHYLLIS COURT, ELMONT, NY, 11003, US | 112 PHYLLIS COURT, ELMONT, NY, 11003, US</x:v>
      </x:c>
      <x:c r="D1530" t="str">
        <x:v>95 35 150TH ST LLC</x:v>
      </x:c>
      <x:c r="E1530" t="str">
        <x:v>95-35 150TH ST. LLC</x:v>
      </x:c>
      <x:c r="F1530" t="str">
        <x:v>Active name match</x:v>
      </x:c>
      <x:c r="G1530" t="n">
        <x:v>1</x:v>
      </x:c>
      <x:c r="H1530" t="n">
        <x:v>0</x:v>
      </x:c>
      <x:c r="I1530" t="str">
        <x:v>4310152</x:v>
      </x:c>
      <x:c r="J1530" t="str">
        <x:v>95-35 150TH ST., LLC</x:v>
      </x:c>
      <x:c r="K1530" s="55" t="n">
        <x:v>41200</x:v>
      </x:c>
      <x:c r="L1530" t="str">
        <x:v>Nassau</x:v>
      </x:c>
      <x:c r="M1530" t="str">
        <x:v>New York</x:v>
      </x:c>
      <x:c r="N1530" t="str">
        <x:v>DOMESTIC LIMITED LIABILITY COMPANY</x:v>
      </x:c>
      <x:c r="O1530" t="str">
        <x:v>95-35 150TH ST., LLC</x:v>
      </x:c>
      <x:c r="P1530" t="str">
        <x:v>94-02 150TH STREET, JAMAICA, NY, 11435</x:v>
      </x:c>
      <x:c r="Q1530" t="str"/>
      <x:c r="R1530" t="str"/>
      <x:c r="S1530" t="str"/>
      <x:c r="T1530" t="str"/>
      <x:c r="U1530" t="str"/>
      <x:c r="V1530" t="str"/>
      <x:c r="W1530" t="str"/>
      <x:c r="X1530" t="str"/>
      <x:c r="Y1530" t="str">
        <x:v>https://data.ny.gov/Economic-Development/Active-Corporations-Beginning-1800/n9v6-gdp6</x:v>
      </x:c>
    </x:row>
    <x:row r="1531">
      <x:c r="A1531" t="str">
        <x:v>DOS-6-055</x:v>
      </x:c>
      <x:c r="B1531" t="n">
        <x:v>6</x:v>
      </x:c>
      <x:c r="C1531" t="str">
        <x:v>112  PHYLLIS COURT, ELMONT, NY, 11003, US | 112 PHYLLIS COURT, ELMONT, NY, 11003, US</x:v>
      </x:c>
      <x:c r="D1531" t="str">
        <x:v>97 01 150TH STREET LLC</x:v>
      </x:c>
      <x:c r="E1531" t="str">
        <x:v>97-01 150TH STREET, LLC</x:v>
      </x:c>
      <x:c r="F1531" t="str">
        <x:v>Active name match</x:v>
      </x:c>
      <x:c r="G1531" t="n">
        <x:v>1</x:v>
      </x:c>
      <x:c r="H1531" t="n">
        <x:v>0</x:v>
      </x:c>
      <x:c r="I1531" t="str">
        <x:v>4245811</x:v>
      </x:c>
      <x:c r="J1531" t="str">
        <x:v>97-01 150TH STREET, LLC</x:v>
      </x:c>
      <x:c r="K1531" s="55" t="n">
        <x:v>41044</x:v>
      </x:c>
      <x:c r="L1531" t="str">
        <x:v>Nassau</x:v>
      </x:c>
      <x:c r="M1531" t="str">
        <x:v>New York</x:v>
      </x:c>
      <x:c r="N1531" t="str">
        <x:v>DOMESTIC LIMITED LIABILITY COMPANY</x:v>
      </x:c>
      <x:c r="O1531" t="str">
        <x:v>97-01 150TH STREET, LLC</x:v>
      </x:c>
      <x:c r="P1531" t="str">
        <x:v>94-02 150TH STREET, JAMAICA, NY, 11435</x:v>
      </x:c>
      <x:c r="Q1531" t="str"/>
      <x:c r="R1531" t="str"/>
      <x:c r="S1531" t="str"/>
      <x:c r="T1531" t="str"/>
      <x:c r="U1531" t="str"/>
      <x:c r="V1531" t="str"/>
      <x:c r="W1531" t="str"/>
      <x:c r="X1531" t="str"/>
      <x:c r="Y1531" t="str">
        <x:v>https://data.ny.gov/Economic-Development/Active-Corporations-Beginning-1800/n9v6-gdp6</x:v>
      </x:c>
    </x:row>
    <x:row r="1532">
      <x:c r="A1532" t="str">
        <x:v>DOS-6-056</x:v>
      </x:c>
      <x:c r="B1532" t="n">
        <x:v>6</x:v>
      </x:c>
      <x:c r="C1532" t="str">
        <x:v>114 LITTLE ROAD, WURTSBORO, NY, 12790, US</x:v>
      </x:c>
      <x:c r="D1532" t="str">
        <x:v>1008 VAN NEST LLC</x:v>
      </x:c>
      <x:c r="E1532" t="str">
        <x:v>1008 VAN NEST LLC</x:v>
      </x:c>
      <x:c r="F1532" t="str">
        <x:v>Address-corroborated active match</x:v>
      </x:c>
      <x:c r="G1532" t="n">
        <x:v>1</x:v>
      </x:c>
      <x:c r="H1532" t="n">
        <x:v>2</x:v>
      </x:c>
      <x:c r="I1532" t="str">
        <x:v>7227334</x:v>
      </x:c>
      <x:c r="J1532" t="str">
        <x:v>1008 VAN NEST LLC</x:v>
      </x:c>
      <x:c r="K1532" s="55" t="n">
        <x:v>45303</x:v>
      </x:c>
      <x:c r="L1532" t="str">
        <x:v>Sullivan</x:v>
      </x:c>
      <x:c r="M1532" t="str">
        <x:v>New York</x:v>
      </x:c>
      <x:c r="N1532" t="str">
        <x:v>DOMESTIC LIMITED LIABILITY COMPANY</x:v>
      </x:c>
      <x:c r="O1532" t="str">
        <x:v>1008 VAN NEST LLC</x:v>
      </x:c>
      <x:c r="P1532" t="str">
        <x:v>114 LITTLE ROAD, WURTSBORO, NY, 12790</x:v>
      </x:c>
      <x:c r="Q1532" t="str"/>
      <x:c r="R1532" t="str"/>
      <x:c r="S1532" t="str"/>
      <x:c r="T1532" t="str"/>
      <x:c r="U1532" t="str"/>
      <x:c r="V1532" t="str"/>
      <x:c r="W1532" t="str"/>
      <x:c r="X1532" t="str"/>
      <x:c r="Y1532" t="str">
        <x:v>https://data.ny.gov/Economic-Development/Active-Corporations-Beginning-1800/n9v6-gdp6</x:v>
      </x:c>
    </x:row>
    <x:row r="1533">
      <x:c r="A1533" t="str">
        <x:v>DOS-6-056</x:v>
      </x:c>
      <x:c r="B1533" t="n">
        <x:v>6</x:v>
      </x:c>
      <x:c r="C1533" t="str">
        <x:v>114 LITTLE ROAD, WURTSBORO, NY, 12790, US</x:v>
      </x:c>
      <x:c r="D1533" t="str">
        <x:v>114 LITTLE ROAD LLC</x:v>
      </x:c>
      <x:c r="E1533" t="str">
        <x:v>114 LITTLE ROAD LLC</x:v>
      </x:c>
      <x:c r="F1533" t="str">
        <x:v>Active name match</x:v>
      </x:c>
      <x:c r="G1533" t="n">
        <x:v>1</x:v>
      </x:c>
      <x:c r="H1533" t="n">
        <x:v>1</x:v>
      </x:c>
      <x:c r="I1533" t="str">
        <x:v>5783924</x:v>
      </x:c>
      <x:c r="J1533" t="str">
        <x:v>114 LITTLE ROAD LLC</x:v>
      </x:c>
      <x:c r="K1533" s="55" t="n">
        <x:v>44021</x:v>
      </x:c>
      <x:c r="L1533" t="str">
        <x:v>Sullivan</x:v>
      </x:c>
      <x:c r="M1533" t="str">
        <x:v>New York</x:v>
      </x:c>
      <x:c r="N1533" t="str">
        <x:v>DOMESTIC LIMITED LIABILITY COMPANY</x:v>
      </x:c>
      <x:c r="O1533" t="str">
        <x:v>114 LITTLE ROAD LLC</x:v>
      </x:c>
      <x:c r="P1533" t="str">
        <x:v>114 LITTLE RD, WURTSBORO, NY, 12790</x:v>
      </x:c>
      <x:c r="Q1533" t="str"/>
      <x:c r="R1533" t="str"/>
      <x:c r="S1533" t="str"/>
      <x:c r="T1533" t="str"/>
      <x:c r="U1533" t="str"/>
      <x:c r="V1533" t="str"/>
      <x:c r="W1533" t="str"/>
      <x:c r="X1533" t="str"/>
      <x:c r="Y1533" t="str">
        <x:v>https://data.ny.gov/Economic-Development/Active-Corporations-Beginning-1800/n9v6-gdp6</x:v>
      </x:c>
    </x:row>
    <x:row r="1534">
      <x:c r="A1534" t="str">
        <x:v>DOS-6-056</x:v>
      </x:c>
      <x:c r="B1534" t="n">
        <x:v>6</x:v>
      </x:c>
      <x:c r="C1534" t="str">
        <x:v>114 LITTLE ROAD, WURTSBORO, NY, 12790, US</x:v>
      </x:c>
      <x:c r="D1534" t="str">
        <x:v>1721 BARNES AVE LLC</x:v>
      </x:c>
      <x:c r="E1534" t="str">
        <x:v>1721 BARNES AVE LLC</x:v>
      </x:c>
      <x:c r="F1534" t="str">
        <x:v>Active name match</x:v>
      </x:c>
      <x:c r="G1534" t="n">
        <x:v>1</x:v>
      </x:c>
      <x:c r="H1534" t="n">
        <x:v>1</x:v>
      </x:c>
      <x:c r="I1534" t="str">
        <x:v>7287112</x:v>
      </x:c>
      <x:c r="J1534" t="str">
        <x:v>1721 BARNES AVE LLC</x:v>
      </x:c>
      <x:c r="K1534" s="55" t="n">
        <x:v>45373</x:v>
      </x:c>
      <x:c r="L1534" t="str">
        <x:v>Sullivan</x:v>
      </x:c>
      <x:c r="M1534" t="str">
        <x:v>New York</x:v>
      </x:c>
      <x:c r="N1534" t="str">
        <x:v>DOMESTIC LIMITED LIABILITY COMPANY</x:v>
      </x:c>
      <x:c r="O1534" t="str">
        <x:v>THE LIMITED LIABILITY COMPANY</x:v>
      </x:c>
      <x:c r="P1534" t="str">
        <x:v>114 Little Rd, Wurtsboro, NY, 12790</x:v>
      </x:c>
      <x:c r="Q1534" t="str"/>
      <x:c r="R1534" t="str"/>
      <x:c r="S1534" t="str">
        <x:v>Darion Vilajeti</x:v>
      </x:c>
      <x:c r="T1534" t="str">
        <x:v>114 Little Rd, Wurtsboro, NEW YORK, 12790</x:v>
      </x:c>
      <x:c r="U1534" t="str"/>
      <x:c r="V1534" t="str"/>
      <x:c r="W1534" t="str"/>
      <x:c r="X1534" t="str"/>
      <x:c r="Y1534" t="str">
        <x:v>https://data.ny.gov/Economic-Development/Active-Corporations-Beginning-1800/n9v6-gdp6</x:v>
      </x:c>
    </x:row>
    <x:row r="1535">
      <x:c r="A1535" t="str">
        <x:v>DOS-6-056</x:v>
      </x:c>
      <x:c r="B1535" t="n">
        <x:v>6</x:v>
      </x:c>
      <x:c r="C1535" t="str">
        <x:v>114 LITTLE ROAD, WURTSBORO, NY, 12790, US</x:v>
      </x:c>
      <x:c r="D1535" t="str">
        <x:v>1723 BARNES AVE LLC</x:v>
      </x:c>
      <x:c r="E1535" t="str">
        <x:v>1723 BARNES AVE, LLC</x:v>
      </x:c>
      <x:c r="F1535" t="str">
        <x:v>Address-corroborated active match</x:v>
      </x:c>
      <x:c r="G1535" t="n">
        <x:v>1</x:v>
      </x:c>
      <x:c r="H1535" t="n">
        <x:v>2</x:v>
      </x:c>
      <x:c r="I1535" t="str">
        <x:v>5794784</x:v>
      </x:c>
      <x:c r="J1535" t="str">
        <x:v>1723 BARNES AVE LLC</x:v>
      </x:c>
      <x:c r="K1535" s="55" t="n">
        <x:v>44035</x:v>
      </x:c>
      <x:c r="L1535" t="str">
        <x:v>Sullivan</x:v>
      </x:c>
      <x:c r="M1535" t="str">
        <x:v>New York</x:v>
      </x:c>
      <x:c r="N1535" t="str">
        <x:v>DOMESTIC LIMITED LIABILITY COMPANY</x:v>
      </x:c>
      <x:c r="O1535" t="str">
        <x:v>1723 BARNES AVE LLC</x:v>
      </x:c>
      <x:c r="P1535" t="str">
        <x:v>114 LITTLE ROAD, WURTSBORO, NY, 12790</x:v>
      </x:c>
      <x:c r="Q1535" t="str"/>
      <x:c r="R1535" t="str"/>
      <x:c r="S1535" t="str"/>
      <x:c r="T1535" t="str"/>
      <x:c r="U1535" t="str"/>
      <x:c r="V1535" t="str"/>
      <x:c r="W1535" t="str"/>
      <x:c r="X1535" t="str"/>
      <x:c r="Y1535" t="str">
        <x:v>https://data.ny.gov/Economic-Development/Active-Corporations-Beginning-1800/n9v6-gdp6</x:v>
      </x:c>
    </x:row>
    <x:row r="1536">
      <x:c r="A1536" t="str">
        <x:v>DOS-6-056</x:v>
      </x:c>
      <x:c r="B1536" t="n">
        <x:v>6</x:v>
      </x:c>
      <x:c r="C1536" t="str">
        <x:v>114 LITTLE ROAD, WURTSBORO, NY, 12790, US</x:v>
      </x:c>
      <x:c r="D1536" t="str">
        <x:v>259 UNDERHILL AVE LLC</x:v>
      </x:c>
      <x:c r="E1536" t="str">
        <x:v>259 UNDERHILL AVE, LLC</x:v>
      </x:c>
      <x:c r="F1536" t="str">
        <x:v>Address-corroborated active match</x:v>
      </x:c>
      <x:c r="G1536" t="n">
        <x:v>1</x:v>
      </x:c>
      <x:c r="H1536" t="n">
        <x:v>2</x:v>
      </x:c>
      <x:c r="I1536" t="str">
        <x:v>5794782</x:v>
      </x:c>
      <x:c r="J1536" t="str">
        <x:v>259 UNDERHILL AVE LLC</x:v>
      </x:c>
      <x:c r="K1536" s="55" t="n">
        <x:v>44035</x:v>
      </x:c>
      <x:c r="L1536" t="str">
        <x:v>Sullivan</x:v>
      </x:c>
      <x:c r="M1536" t="str">
        <x:v>New York</x:v>
      </x:c>
      <x:c r="N1536" t="str">
        <x:v>DOMESTIC LIMITED LIABILITY COMPANY</x:v>
      </x:c>
      <x:c r="O1536" t="str">
        <x:v>259 UNDERHILL AVE LLC</x:v>
      </x:c>
      <x:c r="P1536" t="str">
        <x:v>114 LITTLE ROAD, WURTSBORO, NY, 12790</x:v>
      </x:c>
      <x:c r="Q1536" t="str"/>
      <x:c r="R1536" t="str"/>
      <x:c r="S1536" t="str"/>
      <x:c r="T1536" t="str"/>
      <x:c r="U1536" t="str"/>
      <x:c r="V1536" t="str"/>
      <x:c r="W1536" t="str"/>
      <x:c r="X1536" t="str"/>
      <x:c r="Y1536" t="str">
        <x:v>https://data.ny.gov/Economic-Development/Active-Corporations-Beginning-1800/n9v6-gdp6</x:v>
      </x:c>
    </x:row>
    <x:row r="1537">
      <x:c r="A1537" t="str">
        <x:v>DOS-6-056</x:v>
      </x:c>
      <x:c r="B1537" t="n">
        <x:v>6</x:v>
      </x:c>
      <x:c r="C1537" t="str">
        <x:v>114 LITTLE ROAD, WURTSBORO, NY, 12790, US</x:v>
      </x:c>
      <x:c r="D1537" t="str">
        <x:v>FORT INDEPENDENCE LLC</x:v>
      </x:c>
      <x:c r="E1537" t="str">
        <x:v>FORT INDEPENDENCE LLC</x:v>
      </x:c>
      <x:c r="F1537" t="str">
        <x:v>Active name match</x:v>
      </x:c>
      <x:c r="G1537" t="n">
        <x:v>1</x:v>
      </x:c>
      <x:c r="H1537" t="n">
        <x:v>1</x:v>
      </x:c>
      <x:c r="I1537" t="str">
        <x:v>7558671</x:v>
      </x:c>
      <x:c r="J1537" t="str">
        <x:v>FORT INDEPENDENCE LLC</x:v>
      </x:c>
      <x:c r="K1537" s="55" t="n">
        <x:v>45729</x:v>
      </x:c>
      <x:c r="L1537" t="str">
        <x:v>Sullivan</x:v>
      </x:c>
      <x:c r="M1537" t="str">
        <x:v>New York</x:v>
      </x:c>
      <x:c r="N1537" t="str">
        <x:v>DOMESTIC LIMITED LIABILITY COMPANY</x:v>
      </x:c>
      <x:c r="O1537" t="str">
        <x:v>FORT INDEPENDENCE LLC</x:v>
      </x:c>
      <x:c r="P1537" t="str">
        <x:v>114 Little Rd, Wurtsboro, NY, 12790</x:v>
      </x:c>
      <x:c r="Q1537" t="str"/>
      <x:c r="R1537" t="str"/>
      <x:c r="S1537" t="str">
        <x:v>Darion Vilajeti</x:v>
      </x:c>
      <x:c r="T1537" t="str">
        <x:v>114 Little Rd, Wurtsboro, NEW YORK, 12790</x:v>
      </x:c>
      <x:c r="U1537" t="str"/>
      <x:c r="V1537" t="str"/>
      <x:c r="W1537" t="str"/>
      <x:c r="X1537" t="str"/>
      <x:c r="Y1537" t="str">
        <x:v>https://data.ny.gov/Economic-Development/Active-Corporations-Beginning-1800/n9v6-gdp6</x:v>
      </x:c>
    </x:row>
    <x:row r="1538">
      <x:c r="A1538" t="str">
        <x:v>DOS-6-057</x:v>
      </x:c>
      <x:c r="B1538" t="n">
        <x:v>6</x:v>
      </x:c>
      <x:c r="C1538" t="str">
        <x:v>119 WYCKOFF STREET, BROOKLYN, NY, 11201, US</x:v>
      </x:c>
      <x:c r="D1538" t="str">
        <x:v>100 CONGRESS STREET PARKING LLC</x:v>
      </x:c>
      <x:c r="E1538" t="str">
        <x:v>100 CONGRESS STREET PARKING LLC</x:v>
      </x:c>
      <x:c r="F1538" t="str">
        <x:v>Active name match</x:v>
      </x:c>
      <x:c r="G1538" t="n">
        <x:v>1</x:v>
      </x:c>
      <x:c r="H1538" t="n">
        <x:v>1</x:v>
      </x:c>
      <x:c r="I1538" t="str">
        <x:v>4473156</x:v>
      </x:c>
      <x:c r="J1538" t="str">
        <x:v>100 CONGRESS STREET PARKING LLC</x:v>
      </x:c>
      <x:c r="K1538" s="55" t="n">
        <x:v>41563</x:v>
      </x:c>
      <x:c r="L1538" t="str">
        <x:v>Kings</x:v>
      </x:c>
      <x:c r="M1538" t="str">
        <x:v>New York</x:v>
      </x:c>
      <x:c r="N1538" t="str">
        <x:v>DOMESTIC LIMITED LIABILITY COMPANY</x:v>
      </x:c>
      <x:c r="O1538" t="str">
        <x:v>100 CONGRESS STREET PARKING LLC</x:v>
      </x:c>
      <x:c r="P1538" t="str">
        <x:v>69 Columbia St, BROOKLYN, NY, 11201</x:v>
      </x:c>
      <x:c r="Q1538" t="str"/>
      <x:c r="R1538" t="str"/>
      <x:c r="S1538" t="str"/>
      <x:c r="T1538" t="str"/>
      <x:c r="U1538" t="str"/>
      <x:c r="V1538" t="str"/>
      <x:c r="W1538" t="str"/>
      <x:c r="X1538" t="str"/>
      <x:c r="Y1538" t="str">
        <x:v>https://data.ny.gov/Economic-Development/Active-Corporations-Beginning-1800/n9v6-gdp6</x:v>
      </x:c>
    </x:row>
    <x:row r="1539">
      <x:c r="A1539" t="str">
        <x:v>DOS-6-057</x:v>
      </x:c>
      <x:c r="B1539" t="n">
        <x:v>6</x:v>
      </x:c>
      <x:c r="C1539" t="str">
        <x:v>119 WYCKOFF STREET, BROOKLYN, NY, 11201, US</x:v>
      </x:c>
      <x:c r="D1539" t="str">
        <x:v>119 WYCKOFF STREET LLC</x:v>
      </x:c>
      <x:c r="E1539" t="str">
        <x:v>119 WYCKOFF STREET LLC</x:v>
      </x:c>
      <x:c r="F1539" t="str">
        <x:v>Active name match</x:v>
      </x:c>
      <x:c r="G1539" t="n">
        <x:v>1</x:v>
      </x:c>
      <x:c r="H1539" t="n">
        <x:v>0</x:v>
      </x:c>
      <x:c r="I1539" t="str">
        <x:v>7462860</x:v>
      </x:c>
      <x:c r="J1539" t="str">
        <x:v>119 WYCKOFF STREET LLC</x:v>
      </x:c>
      <x:c r="K1539" s="55" t="n">
        <x:v>45608</x:v>
      </x:c>
      <x:c r="L1539" t="str">
        <x:v>New York</x:v>
      </x:c>
      <x:c r="M1539" t="str">
        <x:v>New York</x:v>
      </x:c>
      <x:c r="N1539" t="str">
        <x:v>DOMESTIC LIMITED LIABILITY COMPANY</x:v>
      </x:c>
      <x:c r="O1539" t="str">
        <x:v>119 WYCKOFF STREET LLC</x:v>
      </x:c>
      <x:c r="P1539" t="str">
        <x:v>224 E 68th St, New York, NY, 10065</x:v>
      </x:c>
      <x:c r="Q1539" t="str"/>
      <x:c r="R1539" t="str"/>
      <x:c r="S1539" t="str">
        <x:v>Chin Hur</x:v>
      </x:c>
      <x:c r="T1539" t="str">
        <x:v>224 E 68th St, New York, NEW YORK, 10065</x:v>
      </x:c>
      <x:c r="U1539" t="str"/>
      <x:c r="V1539" t="str"/>
      <x:c r="W1539" t="str"/>
      <x:c r="X1539" t="str"/>
      <x:c r="Y1539" t="str">
        <x:v>https://data.ny.gov/Economic-Development/Active-Corporations-Beginning-1800/n9v6-gdp6</x:v>
      </x:c>
    </x:row>
    <x:row r="1540">
      <x:c r="A1540" t="str">
        <x:v>DOS-6-057</x:v>
      </x:c>
      <x:c r="B1540" t="n">
        <x:v>6</x:v>
      </x:c>
      <x:c r="C1540" t="str">
        <x:v>119 WYCKOFF STREET, BROOKLYN, NY, 11201, US</x:v>
      </x:c>
      <x:c r="D1540" t="str">
        <x:v>235 CLERMONT AVENUE LLC</x:v>
      </x:c>
      <x:c r="E1540" t="str">
        <x:v>235 CLERMONT AVENUE LLC</x:v>
      </x:c>
      <x:c r="F1540" t="str">
        <x:v>Active name match</x:v>
      </x:c>
      <x:c r="G1540" t="n">
        <x:v>1</x:v>
      </x:c>
      <x:c r="H1540" t="n">
        <x:v>1</x:v>
      </x:c>
      <x:c r="I1540" t="str">
        <x:v>4390207</x:v>
      </x:c>
      <x:c r="J1540" t="str">
        <x:v>235 CLERMONT AVENUE LLC</x:v>
      </x:c>
      <x:c r="K1540" s="55" t="n">
        <x:v>41382</x:v>
      </x:c>
      <x:c r="L1540" t="str">
        <x:v>Kings</x:v>
      </x:c>
      <x:c r="M1540" t="str">
        <x:v>New York</x:v>
      </x:c>
      <x:c r="N1540" t="str">
        <x:v>DOMESTIC LIMITED LIABILITY COMPANY</x:v>
      </x:c>
      <x:c r="O1540" t="str">
        <x:v>235 CLERMONT AVENUE LLC</x:v>
      </x:c>
      <x:c r="P1540" t="str">
        <x:v>69 Columbia Street, Apt 1, BROOKLYN, NY, 11201</x:v>
      </x:c>
      <x:c r="Q1540" t="str"/>
      <x:c r="R1540" t="str"/>
      <x:c r="S1540" t="str"/>
      <x:c r="T1540" t="str"/>
      <x:c r="U1540" t="str"/>
      <x:c r="V1540" t="str"/>
      <x:c r="W1540" t="str"/>
      <x:c r="X1540" t="str"/>
      <x:c r="Y1540" t="str">
        <x:v>https://data.ny.gov/Economic-Development/Active-Corporations-Beginning-1800/n9v6-gdp6</x:v>
      </x:c>
    </x:row>
    <x:row r="1541">
      <x:c r="A1541" t="str">
        <x:v>DOS-6-057</x:v>
      </x:c>
      <x:c r="B1541" t="n">
        <x:v>6</x:v>
      </x:c>
      <x:c r="C1541" t="str">
        <x:v>119 WYCKOFF STREET, BROOKLYN, NY, 11201, US</x:v>
      </x:c>
      <x:c r="D1541" t="str">
        <x:v>358 TWELFTH STREET LLC</x:v>
      </x:c>
      <x:c r="E1541" t="str">
        <x:v>358 TWELFTH STREET LLC</x:v>
      </x:c>
      <x:c r="F1541" t="str">
        <x:v>Active name match</x:v>
      </x:c>
      <x:c r="G1541" t="n">
        <x:v>1</x:v>
      </x:c>
      <x:c r="H1541" t="n">
        <x:v>1</x:v>
      </x:c>
      <x:c r="I1541" t="str">
        <x:v>4390299</x:v>
      </x:c>
      <x:c r="J1541" t="str">
        <x:v>358 TWELFTH STREET LLC</x:v>
      </x:c>
      <x:c r="K1541" s="55" t="n">
        <x:v>41382</x:v>
      </x:c>
      <x:c r="L1541" t="str">
        <x:v>Kings</x:v>
      </x:c>
      <x:c r="M1541" t="str">
        <x:v>New York</x:v>
      </x:c>
      <x:c r="N1541" t="str">
        <x:v>DOMESTIC LIMITED LIABILITY COMPANY</x:v>
      </x:c>
      <x:c r="O1541" t="str">
        <x:v>358 TWELFTH STREET LLC</x:v>
      </x:c>
      <x:c r="P1541" t="str">
        <x:v>69 Columbia Street, Apt 1, BROOKLYN, NY, 11201</x:v>
      </x:c>
      <x:c r="Q1541" t="str"/>
      <x:c r="R1541" t="str"/>
      <x:c r="S1541" t="str"/>
      <x:c r="T1541" t="str"/>
      <x:c r="U1541" t="str"/>
      <x:c r="V1541" t="str"/>
      <x:c r="W1541" t="str"/>
      <x:c r="X1541" t="str"/>
      <x:c r="Y1541" t="str">
        <x:v>https://data.ny.gov/Economic-Development/Active-Corporations-Beginning-1800/n9v6-gdp6</x:v>
      </x:c>
    </x:row>
    <x:row r="1542">
      <x:c r="A1542" t="str">
        <x:v>DOS-6-057</x:v>
      </x:c>
      <x:c r="B1542" t="n">
        <x:v>6</x:v>
      </x:c>
      <x:c r="C1542" t="str">
        <x:v>119 WYCKOFF STREET, BROOKLYN, NY, 11201, US</x:v>
      </x:c>
      <x:c r="D1542" t="str">
        <x:v>69 COLUMBIA ST REALTY LLC</x:v>
      </x:c>
      <x:c r="E1542" t="str">
        <x:v>69 COLUMBIA ST REALTY LLC</x:v>
      </x:c>
      <x:c r="F1542" t="str">
        <x:v>Active name match</x:v>
      </x:c>
      <x:c r="G1542" t="n">
        <x:v>1</x:v>
      </x:c>
      <x:c r="H1542" t="n">
        <x:v>1</x:v>
      </x:c>
      <x:c r="I1542" t="str">
        <x:v>4114925</x:v>
      </x:c>
      <x:c r="J1542" t="str">
        <x:v>69 COLUMBIA ST. REALTY LLC</x:v>
      </x:c>
      <x:c r="K1542" s="55" t="n">
        <x:v>40730</x:v>
      </x:c>
      <x:c r="L1542" t="str">
        <x:v>Kings</x:v>
      </x:c>
      <x:c r="M1542" t="str">
        <x:v>New York</x:v>
      </x:c>
      <x:c r="N1542" t="str">
        <x:v>DOMESTIC LIMITED LIABILITY COMPANY</x:v>
      </x:c>
      <x:c r="O1542" t="str">
        <x:v>69 COLUMBIA ST. REALTY LLC</x:v>
      </x:c>
      <x:c r="P1542" t="str">
        <x:v>69 columbia street, BROOKLYN, NY, 11201</x:v>
      </x:c>
      <x:c r="Q1542" t="str"/>
      <x:c r="R1542" t="str"/>
      <x:c r="S1542" t="str"/>
      <x:c r="T1542" t="str"/>
      <x:c r="U1542" t="str"/>
      <x:c r="V1542" t="str"/>
      <x:c r="W1542" t="str"/>
      <x:c r="X1542" t="str"/>
      <x:c r="Y1542" t="str">
        <x:v>https://data.ny.gov/Economic-Development/Active-Corporations-Beginning-1800/n9v6-gdp6</x:v>
      </x:c>
    </x:row>
    <x:row r="1543">
      <x:c r="A1543" t="str">
        <x:v>DOS-6-057</x:v>
      </x:c>
      <x:c r="B1543" t="n">
        <x:v>6</x:v>
      </x:c>
      <x:c r="C1543" t="str">
        <x:v>119 WYCKOFF STREET, BROOKLYN, NY, 11201, US</x:v>
      </x:c>
      <x:c r="D1543" t="str">
        <x:v>773 CARROLL STREET LLC</x:v>
      </x:c>
      <x:c r="E1543" t="str">
        <x:v>773 CARROLL STREET LLC</x:v>
      </x:c>
      <x:c r="F1543" t="str">
        <x:v>Active name match</x:v>
      </x:c>
      <x:c r="G1543" t="n">
        <x:v>1</x:v>
      </x:c>
      <x:c r="H1543" t="n">
        <x:v>1</x:v>
      </x:c>
      <x:c r="I1543" t="str">
        <x:v>4390293</x:v>
      </x:c>
      <x:c r="J1543" t="str">
        <x:v>773 CARROLL STREET LLC</x:v>
      </x:c>
      <x:c r="K1543" s="55" t="n">
        <x:v>41382</x:v>
      </x:c>
      <x:c r="L1543" t="str">
        <x:v>Kings</x:v>
      </x:c>
      <x:c r="M1543" t="str">
        <x:v>New York</x:v>
      </x:c>
      <x:c r="N1543" t="str">
        <x:v>DOMESTIC LIMITED LIABILITY COMPANY</x:v>
      </x:c>
      <x:c r="O1543" t="str">
        <x:v>773 CARROLL STREET LLC</x:v>
      </x:c>
      <x:c r="P1543" t="str">
        <x:v>69 columbia street, BROOKLYN, NY, 11201</x:v>
      </x:c>
      <x:c r="Q1543" t="str"/>
      <x:c r="R1543" t="str"/>
      <x:c r="S1543" t="str"/>
      <x:c r="T1543" t="str"/>
      <x:c r="U1543" t="str"/>
      <x:c r="V1543" t="str"/>
      <x:c r="W1543" t="str"/>
      <x:c r="X1543" t="str"/>
      <x:c r="Y1543" t="str">
        <x:v>https://data.ny.gov/Economic-Development/Active-Corporations-Beginning-1800/n9v6-gdp6</x:v>
      </x:c>
    </x:row>
    <x:row r="1544">
      <x:c r="A1544" t="str">
        <x:v>DOS-6-058</x:v>
      </x:c>
      <x:c r="B1544" t="n">
        <x:v>6</x:v>
      </x:c>
      <x:c r="C1544" t="str">
        <x:v>1264 43RD STREET, BROOKLYN, NY, 11219, US</x:v>
      </x:c>
      <x:c r="D1544" t="str">
        <x:v>427 HART LLC</x:v>
      </x:c>
      <x:c r="E1544" t="str">
        <x:v>427 HART LLC</x:v>
      </x:c>
      <x:c r="F1544" t="str">
        <x:v>Address-corroborated active match</x:v>
      </x:c>
      <x:c r="G1544" t="n">
        <x:v>1</x:v>
      </x:c>
      <x:c r="H1544" t="n">
        <x:v>2</x:v>
      </x:c>
      <x:c r="I1544" t="str">
        <x:v>4408707</x:v>
      </x:c>
      <x:c r="J1544" t="str">
        <x:v>427 HART LLC</x:v>
      </x:c>
      <x:c r="K1544" s="55" t="n">
        <x:v>41418</x:v>
      </x:c>
      <x:c r="L1544" t="str">
        <x:v>Kings</x:v>
      </x:c>
      <x:c r="M1544" t="str">
        <x:v>New York</x:v>
      </x:c>
      <x:c r="N1544" t="str">
        <x:v>DOMESTIC LIMITED LIABILITY COMPANY</x:v>
      </x:c>
      <x:c r="O1544" t="str">
        <x:v>427 HART LLC</x:v>
      </x:c>
      <x:c r="P1544" t="str">
        <x:v>1264 43RD STREET, BROOKLYN, NY, 11219</x:v>
      </x:c>
      <x:c r="Q1544" t="str"/>
      <x:c r="R1544" t="str"/>
      <x:c r="S1544" t="str"/>
      <x:c r="T1544" t="str"/>
      <x:c r="U1544" t="str"/>
      <x:c r="V1544" t="str"/>
      <x:c r="W1544" t="str"/>
      <x:c r="X1544" t="str"/>
      <x:c r="Y1544" t="str">
        <x:v>https://data.ny.gov/Economic-Development/Active-Corporations-Beginning-1800/n9v6-gdp6</x:v>
      </x:c>
    </x:row>
    <x:row r="1545">
      <x:c r="A1545" t="str">
        <x:v>DOS-6-058</x:v>
      </x:c>
      <x:c r="B1545" t="n">
        <x:v>6</x:v>
      </x:c>
      <x:c r="C1545" t="str">
        <x:v>1264 43RD STREET, BROOKLYN, NY, 11219, US</x:v>
      </x:c>
      <x:c r="D1545" t="str">
        <x:v>43 WEIRFIELD HOLDINGS LLC</x:v>
      </x:c>
      <x:c r="E1545" t="str">
        <x:v>43 WEIRFIELD HOLDINGS LLC</x:v>
      </x:c>
      <x:c r="F1545" t="str">
        <x:v>Address-corroborated active match</x:v>
      </x:c>
      <x:c r="G1545" t="n">
        <x:v>1</x:v>
      </x:c>
      <x:c r="H1545" t="n">
        <x:v>2</x:v>
      </x:c>
      <x:c r="I1545" t="str">
        <x:v>4985813</x:v>
      </x:c>
      <x:c r="J1545" t="str">
        <x:v>43 WEIRFIELD HOLDINGS LLC</x:v>
      </x:c>
      <x:c r="K1545" s="55" t="n">
        <x:v>42583</x:v>
      </x:c>
      <x:c r="L1545" t="str">
        <x:v>Kings</x:v>
      </x:c>
      <x:c r="M1545" t="str">
        <x:v>New York</x:v>
      </x:c>
      <x:c r="N1545" t="str">
        <x:v>DOMESTIC LIMITED LIABILITY COMPANY</x:v>
      </x:c>
      <x:c r="O1545" t="str">
        <x:v>43 WEIRFIELD HOLDINGS LLC</x:v>
      </x:c>
      <x:c r="P1545" t="str">
        <x:v>1264 43RD STREET, BROOKLYN, NY, 11219</x:v>
      </x:c>
      <x:c r="Q1545" t="str"/>
      <x:c r="R1545" t="str"/>
      <x:c r="S1545" t="str"/>
      <x:c r="T1545" t="str"/>
      <x:c r="U1545" t="str"/>
      <x:c r="V1545" t="str"/>
      <x:c r="W1545" t="str"/>
      <x:c r="X1545" t="str"/>
      <x:c r="Y1545" t="str">
        <x:v>https://data.ny.gov/Economic-Development/Active-Corporations-Beginning-1800/n9v6-gdp6</x:v>
      </x:c>
    </x:row>
    <x:row r="1546">
      <x:c r="A1546" t="str">
        <x:v>DOS-6-058</x:v>
      </x:c>
      <x:c r="B1546" t="n">
        <x:v>6</x:v>
      </x:c>
      <x:c r="C1546" t="str">
        <x:v>1264 43RD STREET, BROOKLYN, NY, 11219, US</x:v>
      </x:c>
      <x:c r="D1546" t="str">
        <x:v>740 748 HICKS REALTY LLC</x:v>
      </x:c>
      <x:c r="E1546" t="str">
        <x:v>740-748 HICKS REALTY LLC</x:v>
      </x:c>
      <x:c r="F1546" t="str">
        <x:v>Address-corroborated active match</x:v>
      </x:c>
      <x:c r="G1546" t="n">
        <x:v>1</x:v>
      </x:c>
      <x:c r="H1546" t="n">
        <x:v>2</x:v>
      </x:c>
      <x:c r="I1546" t="str">
        <x:v>4644462</x:v>
      </x:c>
      <x:c r="J1546" t="str">
        <x:v>740-748 HICKS REALTY LLC</x:v>
      </x:c>
      <x:c r="K1546" s="55" t="n">
        <x:v>41913</x:v>
      </x:c>
      <x:c r="L1546" t="str">
        <x:v>Kings</x:v>
      </x:c>
      <x:c r="M1546" t="str">
        <x:v>New York</x:v>
      </x:c>
      <x:c r="N1546" t="str">
        <x:v>DOMESTIC LIMITED LIABILITY COMPANY</x:v>
      </x:c>
      <x:c r="O1546" t="str">
        <x:v>740-748 HICKS REALTY LLC</x:v>
      </x:c>
      <x:c r="P1546" t="str">
        <x:v>1264 43RD STREET, BROOKLYN, NY, 11219</x:v>
      </x:c>
      <x:c r="Q1546" t="str"/>
      <x:c r="R1546" t="str"/>
      <x:c r="S1546" t="str"/>
      <x:c r="T1546" t="str"/>
      <x:c r="U1546" t="str"/>
      <x:c r="V1546" t="str"/>
      <x:c r="W1546" t="str"/>
      <x:c r="X1546" t="str"/>
      <x:c r="Y1546" t="str">
        <x:v>https://data.ny.gov/Economic-Development/Active-Corporations-Beginning-1800/n9v6-gdp6</x:v>
      </x:c>
    </x:row>
    <x:row r="1547">
      <x:c r="A1547" t="str">
        <x:v>DOS-6-058</x:v>
      </x:c>
      <x:c r="B1547" t="n">
        <x:v>6</x:v>
      </x:c>
      <x:c r="C1547" t="str">
        <x:v>1264 43RD STREET, BROOKLYN, NY, 11219, US</x:v>
      </x:c>
      <x:c r="D1547" t="str">
        <x:v>BUFFALO PLAZA LLC</x:v>
      </x:c>
      <x:c r="E1547" t="str">
        <x:v>BUFFALO PLAZA LLC</x:v>
      </x:c>
      <x:c r="F1547" t="str">
        <x:v>Address-corroborated active match</x:v>
      </x:c>
      <x:c r="G1547" t="n">
        <x:v>1</x:v>
      </x:c>
      <x:c r="H1547" t="n">
        <x:v>2</x:v>
      </x:c>
      <x:c r="I1547" t="str">
        <x:v>4874165</x:v>
      </x:c>
      <x:c r="J1547" t="str">
        <x:v>BUFFALO PLAZA LLC</x:v>
      </x:c>
      <x:c r="K1547" s="55" t="n">
        <x:v>42376</x:v>
      </x:c>
      <x:c r="L1547" t="str">
        <x:v>Kings</x:v>
      </x:c>
      <x:c r="M1547" t="str">
        <x:v>New York</x:v>
      </x:c>
      <x:c r="N1547" t="str">
        <x:v>DOMESTIC LIMITED LIABILITY COMPANY</x:v>
      </x:c>
      <x:c r="O1547" t="str">
        <x:v>BUFFALO PLAZA LLC</x:v>
      </x:c>
      <x:c r="P1547" t="str">
        <x:v>1264 43RD STREET, BROOKLYN, NY, 11219</x:v>
      </x:c>
      <x:c r="Q1547" t="str"/>
      <x:c r="R1547" t="str"/>
      <x:c r="S1547" t="str"/>
      <x:c r="T1547" t="str"/>
      <x:c r="U1547" t="str"/>
      <x:c r="V1547" t="str"/>
      <x:c r="W1547" t="str"/>
      <x:c r="X1547" t="str"/>
      <x:c r="Y1547" t="str">
        <x:v>https://data.ny.gov/Economic-Development/Active-Corporations-Beginning-1800/n9v6-gdp6</x:v>
      </x:c>
    </x:row>
    <x:row r="1548">
      <x:c r="A1548" t="str">
        <x:v>DOS-6-058</x:v>
      </x:c>
      <x:c r="B1548" t="n">
        <x:v>6</x:v>
      </x:c>
      <x:c r="C1548" t="str">
        <x:v>1264 43RD STREET, BROOKLYN, NY, 11219, US</x:v>
      </x:c>
      <x:c r="D1548" t="str">
        <x:v>DESALE PLACE REALTY LLC</x:v>
      </x:c>
      <x:c r="E1548" t="str">
        <x:v>DESALE PLACE REALTY LLC</x:v>
      </x:c>
      <x:c r="F1548" t="str">
        <x:v>Address-corroborated active match</x:v>
      </x:c>
      <x:c r="G1548" t="n">
        <x:v>1</x:v>
      </x:c>
      <x:c r="H1548" t="n">
        <x:v>2</x:v>
      </x:c>
      <x:c r="I1548" t="str">
        <x:v>4618648</x:v>
      </x:c>
      <x:c r="J1548" t="str">
        <x:v>DESALE PLACE REALTY LLC</x:v>
      </x:c>
      <x:c r="K1548" s="55" t="n">
        <x:v>41858</x:v>
      </x:c>
      <x:c r="L1548" t="str">
        <x:v>Kings</x:v>
      </x:c>
      <x:c r="M1548" t="str">
        <x:v>New York</x:v>
      </x:c>
      <x:c r="N1548" t="str">
        <x:v>DOMESTIC LIMITED LIABILITY COMPANY</x:v>
      </x:c>
      <x:c r="O1548" t="str">
        <x:v>DESALE PLACE REALTY LLC</x:v>
      </x:c>
      <x:c r="P1548" t="str">
        <x:v>1264 43RD STREET, BROOKLYN, NY, 11219</x:v>
      </x:c>
      <x:c r="Q1548" t="str"/>
      <x:c r="R1548" t="str"/>
      <x:c r="S1548" t="str"/>
      <x:c r="T1548" t="str"/>
      <x:c r="U1548" t="str"/>
      <x:c r="V1548" t="str"/>
      <x:c r="W1548" t="str"/>
      <x:c r="X1548" t="str"/>
      <x:c r="Y1548" t="str">
        <x:v>https://data.ny.gov/Economic-Development/Active-Corporations-Beginning-1800/n9v6-gdp6</x:v>
      </x:c>
    </x:row>
    <x:row r="1549">
      <x:c r="A1549" t="str">
        <x:v>DOS-6-058</x:v>
      </x:c>
      <x:c r="B1549" t="n">
        <x:v>6</x:v>
      </x:c>
      <x:c r="C1549" t="str">
        <x:v>1264 43RD STREET, BROOKLYN, NY, 11219, US</x:v>
      </x:c>
      <x:c r="D1549" t="str">
        <x:v>RAMCHAL 5 LLC</x:v>
      </x:c>
      <x:c r="E1549" t="str">
        <x:v>RAMCHAL 5 LLC</x:v>
      </x:c>
      <x:c r="F1549" t="str">
        <x:v>Address-corroborated active match</x:v>
      </x:c>
      <x:c r="G1549" t="n">
        <x:v>1</x:v>
      </x:c>
      <x:c r="H1549" t="n">
        <x:v>2</x:v>
      </x:c>
      <x:c r="I1549" t="str">
        <x:v>4240809</x:v>
      </x:c>
      <x:c r="J1549" t="str">
        <x:v>RAMCHAL 5 LLC</x:v>
      </x:c>
      <x:c r="K1549" s="55" t="n">
        <x:v>41033</x:v>
      </x:c>
      <x:c r="L1549" t="str">
        <x:v>Kings</x:v>
      </x:c>
      <x:c r="M1549" t="str">
        <x:v>New York</x:v>
      </x:c>
      <x:c r="N1549" t="str">
        <x:v>DOMESTIC LIMITED LIABILITY COMPANY</x:v>
      </x:c>
      <x:c r="O1549" t="str">
        <x:v>RAMCHAL 5 LLC</x:v>
      </x:c>
      <x:c r="P1549" t="str">
        <x:v>1264 43RD STREET, BROOKLYN, NY, 11219</x:v>
      </x:c>
      <x:c r="Q1549" t="str"/>
      <x:c r="R1549" t="str"/>
      <x:c r="S1549" t="str"/>
      <x:c r="T1549" t="str"/>
      <x:c r="U1549" t="str"/>
      <x:c r="V1549" t="str"/>
      <x:c r="W1549" t="str"/>
      <x:c r="X1549" t="str"/>
      <x:c r="Y1549" t="str">
        <x:v>https://data.ny.gov/Economic-Development/Active-Corporations-Beginning-1800/n9v6-gdp6</x:v>
      </x:c>
    </x:row>
    <x:row r="1550">
      <x:c r="A1550" t="str">
        <x:v>DOS-6-059</x:v>
      </x:c>
      <x:c r="B1550" t="n">
        <x:v>6</x:v>
      </x:c>
      <x:c r="C1550" t="str">
        <x:v>138 ATLANTIC AVENUE, BROOKLYN, NY, 11201, US</x:v>
      </x:c>
      <x:c r="D1550" t="str">
        <x:v>282 ATLANTIC LLC</x:v>
      </x:c>
      <x:c r="E1550" t="str">
        <x:v>282 ATLANTIC LLC</x:v>
      </x:c>
      <x:c r="F1550" t="str">
        <x:v>Active name match</x:v>
      </x:c>
      <x:c r="G1550" t="n">
        <x:v>1</x:v>
      </x:c>
      <x:c r="H1550" t="n">
        <x:v>1</x:v>
      </x:c>
      <x:c r="I1550" t="str">
        <x:v>3505744</x:v>
      </x:c>
      <x:c r="J1550" t="str">
        <x:v>282 ATLANTIC LLC</x:v>
      </x:c>
      <x:c r="K1550" s="55" t="n">
        <x:v>39191</x:v>
      </x:c>
      <x:c r="L1550" t="str">
        <x:v>Suffolk</x:v>
      </x:c>
      <x:c r="M1550" t="str">
        <x:v>New York</x:v>
      </x:c>
      <x:c r="N1550" t="str">
        <x:v>DOMESTIC LIMITED LIABILITY COMPANY</x:v>
      </x:c>
      <x:c r="O1550" t="str">
        <x:v>YATRAKIS</x:v>
      </x:c>
      <x:c r="P1550" t="str">
        <x:v>138 ATLANTIC AVENUE - 1, BROOKLYN, NY, 11201</x:v>
      </x:c>
      <x:c r="Q1550" t="str"/>
      <x:c r="R1550" t="str"/>
      <x:c r="S1550" t="str"/>
      <x:c r="T1550" t="str"/>
      <x:c r="U1550" t="str"/>
      <x:c r="V1550" t="str"/>
      <x:c r="W1550" t="str"/>
      <x:c r="X1550" t="str"/>
      <x:c r="Y1550" t="str">
        <x:v>https://data.ny.gov/Economic-Development/Active-Corporations-Beginning-1800/n9v6-gdp6</x:v>
      </x:c>
    </x:row>
    <x:row r="1551">
      <x:c r="A1551" t="str">
        <x:v>DOS-6-059</x:v>
      </x:c>
      <x:c r="B1551" t="n">
        <x:v>6</x:v>
      </x:c>
      <x:c r="C1551" t="str">
        <x:v>138 ATLANTIC AVENUE, BROOKLYN, NY, 11201, US</x:v>
      </x:c>
      <x:c r="D1551" t="str">
        <x:v>542 WEST 147 STREET LLC</x:v>
      </x:c>
      <x:c r="E1551" t="str">
        <x:v>542 WEST 147 STREET LLC</x:v>
      </x:c>
      <x:c r="F1551" t="str">
        <x:v>Address-corroborated active match</x:v>
      </x:c>
      <x:c r="G1551" t="n">
        <x:v>1</x:v>
      </x:c>
      <x:c r="H1551" t="n">
        <x:v>2</x:v>
      </x:c>
      <x:c r="I1551" t="str">
        <x:v>3780792</x:v>
      </x:c>
      <x:c r="J1551" t="str">
        <x:v>542 WEST 147 STREET LLC</x:v>
      </x:c>
      <x:c r="K1551" s="55" t="n">
        <x:v>39874</x:v>
      </x:c>
      <x:c r="L1551" t="str">
        <x:v>Suffolk</x:v>
      </x:c>
      <x:c r="M1551" t="str">
        <x:v>New York</x:v>
      </x:c>
      <x:c r="N1551" t="str">
        <x:v>DOMESTIC LIMITED LIABILITY COMPANY</x:v>
      </x:c>
      <x:c r="O1551" t="str">
        <x:v>542 WEST 147 STREET LLC</x:v>
      </x:c>
      <x:c r="P1551" t="str">
        <x:v>138 ATLANTIC AVENUE, BROOKLYN, NY, 11201</x:v>
      </x:c>
      <x:c r="Q1551" t="str"/>
      <x:c r="R1551" t="str"/>
      <x:c r="S1551" t="str"/>
      <x:c r="T1551" t="str"/>
      <x:c r="U1551" t="str"/>
      <x:c r="V1551" t="str"/>
      <x:c r="W1551" t="str"/>
      <x:c r="X1551" t="str"/>
      <x:c r="Y1551" t="str">
        <x:v>https://data.ny.gov/Economic-Development/Active-Corporations-Beginning-1800/n9v6-gdp6</x:v>
      </x:c>
    </x:row>
    <x:row r="1552">
      <x:c r="A1552" t="str">
        <x:v>DOS-6-059</x:v>
      </x:c>
      <x:c r="B1552" t="n">
        <x:v>6</x:v>
      </x:c>
      <x:c r="C1552" t="str">
        <x:v>138 ATLANTIC AVENUE, BROOKLYN, NY, 11201, US</x:v>
      </x:c>
      <x:c r="D1552" t="str">
        <x:v>ALICAT PROPERTIES LLC</x:v>
      </x:c>
      <x:c r="E1552" t="str">
        <x:v>ALICAT PROPERTIES LLC</x:v>
      </x:c>
      <x:c r="F1552" t="str">
        <x:v>Address-corroborated active match</x:v>
      </x:c>
      <x:c r="G1552" t="n">
        <x:v>1</x:v>
      </x:c>
      <x:c r="H1552" t="n">
        <x:v>2</x:v>
      </x:c>
      <x:c r="I1552" t="str">
        <x:v>2612994</x:v>
      </x:c>
      <x:c r="J1552" t="str">
        <x:v>ALICAT PROPERTIES LLC</x:v>
      </x:c>
      <x:c r="K1552" s="55" t="n">
        <x:v>36956</x:v>
      </x:c>
      <x:c r="L1552" t="str">
        <x:v>Suffolk</x:v>
      </x:c>
      <x:c r="M1552" t="str">
        <x:v>New York</x:v>
      </x:c>
      <x:c r="N1552" t="str">
        <x:v>DOMESTIC LIMITED LIABILITY COMPANY</x:v>
      </x:c>
      <x:c r="O1552" t="str">
        <x:v>ALICAT PROPERTIES LLC</x:v>
      </x:c>
      <x:c r="P1552" t="str">
        <x:v>138 ATLANTIC AVE, BROOKLYN, NY, 11201</x:v>
      </x:c>
      <x:c r="Q1552" t="str"/>
      <x:c r="R1552" t="str"/>
      <x:c r="S1552" t="str"/>
      <x:c r="T1552" t="str"/>
      <x:c r="U1552" t="str"/>
      <x:c r="V1552" t="str"/>
      <x:c r="W1552" t="str"/>
      <x:c r="X1552" t="str"/>
      <x:c r="Y1552" t="str">
        <x:v>https://data.ny.gov/Economic-Development/Active-Corporations-Beginning-1800/n9v6-gdp6</x:v>
      </x:c>
    </x:row>
    <x:row r="1553">
      <x:c r="A1553" t="str">
        <x:v>DOS-6-059</x:v>
      </x:c>
      <x:c r="B1553" t="n">
        <x:v>6</x:v>
      </x:c>
      <x:c r="C1553" t="str">
        <x:v>138 ATLANTIC AVENUE, BROOKLYN, NY, 11201, US</x:v>
      </x:c>
      <x:c r="D1553" t="str">
        <x:v>BRADHURST PROPERTIES LLC</x:v>
      </x:c>
      <x:c r="E1553" t="str">
        <x:v>BRADHURST PROPERTIES  LLC</x:v>
      </x:c>
      <x:c r="F1553" t="str">
        <x:v>Address-corroborated active match</x:v>
      </x:c>
      <x:c r="G1553" t="n">
        <x:v>1</x:v>
      </x:c>
      <x:c r="H1553" t="n">
        <x:v>2</x:v>
      </x:c>
      <x:c r="I1553" t="str">
        <x:v>3321050</x:v>
      </x:c>
      <x:c r="J1553" t="str">
        <x:v>BRADHURST PROPERTIES LLC</x:v>
      </x:c>
      <x:c r="K1553" s="55" t="n">
        <x:v>38763</x:v>
      </x:c>
      <x:c r="L1553" t="str">
        <x:v>Suffolk</x:v>
      </x:c>
      <x:c r="M1553" t="str">
        <x:v>New York</x:v>
      </x:c>
      <x:c r="N1553" t="str">
        <x:v>DOMESTIC LIMITED LIABILITY COMPANY</x:v>
      </x:c>
      <x:c r="O1553" t="str">
        <x:v>BRADHURST PROPERTIES LLC</x:v>
      </x:c>
      <x:c r="P1553" t="str">
        <x:v>138 ATLANTIC AVE, BROOKLYN, NY, 11201</x:v>
      </x:c>
      <x:c r="Q1553" t="str"/>
      <x:c r="R1553" t="str"/>
      <x:c r="S1553" t="str">
        <x:v>PAUL M. BOCHNER, ESQ.</x:v>
      </x:c>
      <x:c r="T1553" t="str">
        <x:v>45 EAST 85TH STREET, NEW YORK, NEW YORK, 100280957</x:v>
      </x:c>
      <x:c r="U1553" t="str"/>
      <x:c r="V1553" t="str"/>
      <x:c r="W1553" t="str"/>
      <x:c r="X1553" t="str"/>
      <x:c r="Y1553" t="str">
        <x:v>https://data.ny.gov/Economic-Development/Active-Corporations-Beginning-1800/n9v6-gdp6</x:v>
      </x:c>
    </x:row>
    <x:row r="1554">
      <x:c r="A1554" t="str">
        <x:v>DOS-6-059</x:v>
      </x:c>
      <x:c r="B1554" t="n">
        <x:v>6</x:v>
      </x:c>
      <x:c r="C1554" t="str">
        <x:v>138 ATLANTIC AVENUE, BROOKLYN, NY, 11201, US</x:v>
      </x:c>
      <x:c r="D1554" t="str">
        <x:v>WEST 115 11 13 ASSOCIATES LLC</x:v>
      </x:c>
      <x:c r="E1554" t="str">
        <x:v>WEST 115 11-13 ASSOCIATES LLC</x:v>
      </x:c>
      <x:c r="F1554" t="str">
        <x:v>Address-corroborated active match</x:v>
      </x:c>
      <x:c r="G1554" t="n">
        <x:v>1</x:v>
      </x:c>
      <x:c r="H1554" t="n">
        <x:v>2</x:v>
      </x:c>
      <x:c r="I1554" t="str">
        <x:v>3947721</x:v>
      </x:c>
      <x:c r="J1554" t="str">
        <x:v>WEST 115 11-13 ASSOCIATES LLC</x:v>
      </x:c>
      <x:c r="K1554" s="55" t="n">
        <x:v>40308</x:v>
      </x:c>
      <x:c r="L1554" t="str">
        <x:v>Suffolk</x:v>
      </x:c>
      <x:c r="M1554" t="str">
        <x:v>New York</x:v>
      </x:c>
      <x:c r="N1554" t="str">
        <x:v>DOMESTIC LIMITED LIABILITY COMPANY</x:v>
      </x:c>
      <x:c r="O1554" t="str">
        <x:v>WEST 115 11-13 ASSOCIATES LLC</x:v>
      </x:c>
      <x:c r="P1554" t="str">
        <x:v>138 ATLANTIC AVENUE, BROOKLYN, NY, 11201</x:v>
      </x:c>
      <x:c r="Q1554" t="str"/>
      <x:c r="R1554" t="str"/>
      <x:c r="S1554" t="str"/>
      <x:c r="T1554" t="str"/>
      <x:c r="U1554" t="str"/>
      <x:c r="V1554" t="str"/>
      <x:c r="W1554" t="str"/>
      <x:c r="X1554" t="str"/>
      <x:c r="Y1554" t="str">
        <x:v>https://data.ny.gov/Economic-Development/Active-Corporations-Beginning-1800/n9v6-gdp6</x:v>
      </x:c>
    </x:row>
    <x:row r="1555">
      <x:c r="A1555" t="str">
        <x:v>DOS-6-059</x:v>
      </x:c>
      <x:c r="B1555" t="n">
        <x:v>6</x:v>
      </x:c>
      <x:c r="C1555" t="str">
        <x:v>138 ATLANTIC AVENUE, BROOKLYN, NY, 11201, US</x:v>
      </x:c>
      <x:c r="D1555" t="str">
        <x:v>WEST 139 STREET LLC</x:v>
      </x:c>
      <x:c r="E1555" t="str">
        <x:v>WEST 139 STREET LLC</x:v>
      </x:c>
      <x:c r="F1555" t="str">
        <x:v>Address-corroborated active match</x:v>
      </x:c>
      <x:c r="G1555" t="n">
        <x:v>1</x:v>
      </x:c>
      <x:c r="H1555" t="n">
        <x:v>2</x:v>
      </x:c>
      <x:c r="I1555" t="str">
        <x:v>3583938</x:v>
      </x:c>
      <x:c r="J1555" t="str">
        <x:v>WEST 139 STREET LLC</x:v>
      </x:c>
      <x:c r="K1555" s="55" t="n">
        <x:v>39378</x:v>
      </x:c>
      <x:c r="L1555" t="str">
        <x:v>Suffolk</x:v>
      </x:c>
      <x:c r="M1555" t="str">
        <x:v>New York</x:v>
      </x:c>
      <x:c r="N1555" t="str">
        <x:v>DOMESTIC LIMITED LIABILITY COMPANY</x:v>
      </x:c>
      <x:c r="O1555" t="str">
        <x:v>WEST 139 STREET LLC</x:v>
      </x:c>
      <x:c r="P1555" t="str">
        <x:v>138 ATLANTIC AVENUE, BROOKLYN, NY, 11201</x:v>
      </x:c>
      <x:c r="Q1555" t="str"/>
      <x:c r="R1555" t="str"/>
      <x:c r="S1555" t="str"/>
      <x:c r="T1555" t="str"/>
      <x:c r="U1555" t="str"/>
      <x:c r="V1555" t="str"/>
      <x:c r="W1555" t="str"/>
      <x:c r="X1555" t="str"/>
      <x:c r="Y1555" t="str">
        <x:v>https://data.ny.gov/Economic-Development/Active-Corporations-Beginning-1800/n9v6-gdp6</x:v>
      </x:c>
    </x:row>
    <x:row r="1556">
      <x:c r="A1556" t="str">
        <x:v>DOS-6-060</x:v>
      </x:c>
      <x:c r="B1556" t="n">
        <x:v>6</x:v>
      </x:c>
      <x:c r="C1556" t="str">
        <x:v>144-42 JEWEL AVENUE, FLUSHING, NY, 11367, US</x:v>
      </x:c>
      <x:c r="D1556" t="str">
        <x:v>25 FAYETTE ST LLC</x:v>
      </x:c>
      <x:c r="E1556" t="str">
        <x:v>25 FAYETTE ST LLC</x:v>
      </x:c>
      <x:c r="F1556" t="str">
        <x:v>Active name match</x:v>
      </x:c>
      <x:c r="G1556" t="n">
        <x:v>1</x:v>
      </x:c>
      <x:c r="H1556" t="n">
        <x:v>0</x:v>
      </x:c>
      <x:c r="I1556" t="str">
        <x:v>4571645</x:v>
      </x:c>
      <x:c r="J1556" t="str">
        <x:v>25 FAYETTE ST LLC</x:v>
      </x:c>
      <x:c r="K1556" s="55" t="n">
        <x:v>41764</x:v>
      </x:c>
      <x:c r="L1556" t="str">
        <x:v>Queens</x:v>
      </x:c>
      <x:c r="M1556" t="str">
        <x:v>New York</x:v>
      </x:c>
      <x:c r="N1556" t="str">
        <x:v>DOMESTIC LIMITED LIABILITY COMPANY</x:v>
      </x:c>
      <x:c r="O1556" t="str">
        <x:v>25 FAYETTE ST LLC</x:v>
      </x:c>
      <x:c r="P1556" t="str">
        <x:v>184-15 AVON ROAD, JAMAICA ESTATES, NY, 11432</x:v>
      </x:c>
      <x:c r="Q1556" t="str"/>
      <x:c r="R1556" t="str"/>
      <x:c r="S1556" t="str"/>
      <x:c r="T1556" t="str"/>
      <x:c r="U1556" t="str"/>
      <x:c r="V1556" t="str"/>
      <x:c r="W1556" t="str"/>
      <x:c r="X1556" t="str"/>
      <x:c r="Y1556" t="str">
        <x:v>https://data.ny.gov/Economic-Development/Active-Corporations-Beginning-1800/n9v6-gdp6</x:v>
      </x:c>
    </x:row>
    <x:row r="1557">
      <x:c r="A1557" t="str">
        <x:v>DOS-6-060</x:v>
      </x:c>
      <x:c r="B1557" t="n">
        <x:v>6</x:v>
      </x:c>
      <x:c r="C1557" t="str">
        <x:v>144-42 JEWEL AVENUE, FLUSHING, NY, 11367, US</x:v>
      </x:c>
      <x:c r="D1557" t="str">
        <x:v>616 LAFAYETTE LLC</x:v>
      </x:c>
      <x:c r="E1557" t="str">
        <x:v>616 LAFAYETTE LLC</x:v>
      </x:c>
      <x:c r="F1557" t="str">
        <x:v>Address-corroborated active match</x:v>
      </x:c>
      <x:c r="G1557" t="n">
        <x:v>1</x:v>
      </x:c>
      <x:c r="H1557" t="n">
        <x:v>2</x:v>
      </x:c>
      <x:c r="I1557" t="str">
        <x:v>5943615</x:v>
      </x:c>
      <x:c r="J1557" t="str">
        <x:v>616 LAFAYETTE LLC</x:v>
      </x:c>
      <x:c r="K1557" s="55" t="n">
        <x:v>44244</x:v>
      </x:c>
      <x:c r="L1557" t="str">
        <x:v>Queens</x:v>
      </x:c>
      <x:c r="M1557" t="str">
        <x:v>New York</x:v>
      </x:c>
      <x:c r="N1557" t="str">
        <x:v>DOMESTIC LIMITED LIABILITY COMPANY</x:v>
      </x:c>
      <x:c r="O1557" t="str">
        <x:v>616 LAFAYETTE LLC</x:v>
      </x:c>
      <x:c r="P1557" t="str">
        <x:v>144-42 JEWEL AVENUE, FLUSHING, NY, 11367</x:v>
      </x:c>
      <x:c r="Q1557" t="str"/>
      <x:c r="R1557" t="str"/>
      <x:c r="S1557" t="str"/>
      <x:c r="T1557" t="str"/>
      <x:c r="U1557" t="str"/>
      <x:c r="V1557" t="str"/>
      <x:c r="W1557" t="str"/>
      <x:c r="X1557" t="str"/>
      <x:c r="Y1557" t="str">
        <x:v>https://data.ny.gov/Economic-Development/Active-Corporations-Beginning-1800/n9v6-gdp6</x:v>
      </x:c>
    </x:row>
    <x:row r="1558">
      <x:c r="A1558" t="str">
        <x:v>DOS-6-060</x:v>
      </x:c>
      <x:c r="B1558" t="n">
        <x:v>6</x:v>
      </x:c>
      <x:c r="C1558" t="str">
        <x:v>144-42 JEWEL AVENUE, FLUSHING, NY, 11367, US</x:v>
      </x:c>
      <x:c r="D1558" t="str">
        <x:v>810 BROADWAY HOLDINGS LLC</x:v>
      </x:c>
      <x:c r="E1558" t="str">
        <x:v>810 BROADWAY HOLDINGS LLC</x:v>
      </x:c>
      <x:c r="F1558" t="str">
        <x:v>Address-corroborated active match</x:v>
      </x:c>
      <x:c r="G1558" t="n">
        <x:v>1</x:v>
      </x:c>
      <x:c r="H1558" t="n">
        <x:v>2</x:v>
      </x:c>
      <x:c r="I1558" t="str">
        <x:v>7713965</x:v>
      </x:c>
      <x:c r="J1558" t="str">
        <x:v>810 BROADWAY HOLDINGS LLC</x:v>
      </x:c>
      <x:c r="K1558" s="55" t="n">
        <x:v>45918</x:v>
      </x:c>
      <x:c r="L1558" t="str">
        <x:v>Queens</x:v>
      </x:c>
      <x:c r="M1558" t="str">
        <x:v>New York</x:v>
      </x:c>
      <x:c r="N1558" t="str">
        <x:v>DOMESTIC LIMITED LIABILITY COMPANY</x:v>
      </x:c>
      <x:c r="O1558" t="str">
        <x:v>810 Broadway Holdings LLC</x:v>
      </x:c>
      <x:c r="P1558" t="str">
        <x:v>144-42 Jewel Avenue, Flushing, NY, 11367</x:v>
      </x:c>
      <x:c r="Q1558" t="str"/>
      <x:c r="R1558" t="str"/>
      <x:c r="S1558" t="str"/>
      <x:c r="T1558" t="str"/>
      <x:c r="U1558" t="str"/>
      <x:c r="V1558" t="str"/>
      <x:c r="W1558" t="str"/>
      <x:c r="X1558" t="str"/>
      <x:c r="Y1558" t="str">
        <x:v>https://data.ny.gov/Economic-Development/Active-Corporations-Beginning-1800/n9v6-gdp6</x:v>
      </x:c>
    </x:row>
    <x:row r="1559">
      <x:c r="A1559" t="str">
        <x:v>DOS-6-060</x:v>
      </x:c>
      <x:c r="B1559" t="n">
        <x:v>6</x:v>
      </x:c>
      <x:c r="C1559" t="str">
        <x:v>144-42 JEWEL AVENUE, FLUSHING, NY, 11367, US</x:v>
      </x:c>
      <x:c r="D1559" t="str">
        <x:v>BSD IRVING GB LLC</x:v>
      </x:c>
      <x:c r="E1559" t="str">
        <x:v>BSD IRVING GB LLC</x:v>
      </x:c>
      <x:c r="F1559" t="str">
        <x:v>Address-corroborated active match</x:v>
      </x:c>
      <x:c r="G1559" t="n">
        <x:v>1</x:v>
      </x:c>
      <x:c r="H1559" t="n">
        <x:v>2</x:v>
      </x:c>
      <x:c r="I1559" t="str">
        <x:v>5520065</x:v>
      </x:c>
      <x:c r="J1559" t="str">
        <x:v>BSD IRVING GB LLC</x:v>
      </x:c>
      <x:c r="K1559" s="55" t="n">
        <x:v>43549</x:v>
      </x:c>
      <x:c r="L1559" t="str">
        <x:v>Queens</x:v>
      </x:c>
      <x:c r="M1559" t="str">
        <x:v>New York</x:v>
      </x:c>
      <x:c r="N1559" t="str">
        <x:v>DOMESTIC LIMITED LIABILITY COMPANY</x:v>
      </x:c>
      <x:c r="O1559" t="str">
        <x:v>BSD IRVING GB LLC</x:v>
      </x:c>
      <x:c r="P1559" t="str">
        <x:v>144-42 JEWEL AVENUE, FLUSHING, NY, 11367</x:v>
      </x:c>
      <x:c r="Q1559" t="str"/>
      <x:c r="R1559" t="str"/>
      <x:c r="S1559" t="str"/>
      <x:c r="T1559" t="str"/>
      <x:c r="U1559" t="str"/>
      <x:c r="V1559" t="str"/>
      <x:c r="W1559" t="str"/>
      <x:c r="X1559" t="str"/>
      <x:c r="Y1559" t="str">
        <x:v>https://data.ny.gov/Economic-Development/Active-Corporations-Beginning-1800/n9v6-gdp6</x:v>
      </x:c>
    </x:row>
    <x:row r="1560">
      <x:c r="A1560" t="str">
        <x:v>DOS-6-060</x:v>
      </x:c>
      <x:c r="B1560" t="n">
        <x:v>6</x:v>
      </x:c>
      <x:c r="C1560" t="str">
        <x:v>144-42 JEWEL AVENUE, FLUSHING, NY, 11367, US</x:v>
      </x:c>
      <x:c r="D1560" t="str">
        <x:v>DEAN HOLDING LLC</x:v>
      </x:c>
      <x:c r="E1560" t="str">
        <x:v>DEAN HOLDING LLC</x:v>
      </x:c>
      <x:c r="F1560" t="str">
        <x:v>Address-corroborated active match</x:v>
      </x:c>
      <x:c r="G1560" t="n">
        <x:v>1</x:v>
      </x:c>
      <x:c r="H1560" t="n">
        <x:v>2</x:v>
      </x:c>
      <x:c r="I1560" t="str">
        <x:v>4686338</x:v>
      </x:c>
      <x:c r="J1560" t="str">
        <x:v>DEAN HOLDING LLC</x:v>
      </x:c>
      <x:c r="K1560" s="55" t="n">
        <x:v>42003</x:v>
      </x:c>
      <x:c r="L1560" t="str">
        <x:v>Queens</x:v>
      </x:c>
      <x:c r="M1560" t="str">
        <x:v>New York</x:v>
      </x:c>
      <x:c r="N1560" t="str">
        <x:v>DOMESTIC LIMITED LIABILITY COMPANY</x:v>
      </x:c>
      <x:c r="O1560" t="str">
        <x:v>DEAN HOLDING LLC</x:v>
      </x:c>
      <x:c r="P1560" t="str">
        <x:v>144-42 JEWEL AVENUE, FLUSHING, NY, 11367</x:v>
      </x:c>
      <x:c r="Q1560" t="str"/>
      <x:c r="R1560" t="str"/>
      <x:c r="S1560" t="str"/>
      <x:c r="T1560" t="str"/>
      <x:c r="U1560" t="str"/>
      <x:c r="V1560" t="str"/>
      <x:c r="W1560" t="str"/>
      <x:c r="X1560" t="str"/>
      <x:c r="Y1560" t="str">
        <x:v>https://data.ny.gov/Economic-Development/Active-Corporations-Beginning-1800/n9v6-gdp6</x:v>
      </x:c>
    </x:row>
    <x:row r="1561">
      <x:c r="A1561" t="str">
        <x:v>DOS-6-060</x:v>
      </x:c>
      <x:c r="B1561" t="n">
        <x:v>6</x:v>
      </x:c>
      <x:c r="C1561" t="str">
        <x:v>144-42 JEWEL AVENUE, FLUSHING, NY, 11367, US</x:v>
      </x:c>
      <x:c r="D1561" t="str">
        <x:v>SAINT MARKS DEVELOPMENT LLC</x:v>
      </x:c>
      <x:c r="E1561" t="str">
        <x:v>SAINT MARKS DEVELOPMENT LLC</x:v>
      </x:c>
      <x:c r="F1561" t="str">
        <x:v>Address-corroborated active match</x:v>
      </x:c>
      <x:c r="G1561" t="n">
        <x:v>1</x:v>
      </x:c>
      <x:c r="H1561" t="n">
        <x:v>2</x:v>
      </x:c>
      <x:c r="I1561" t="str">
        <x:v>5943644</x:v>
      </x:c>
      <x:c r="J1561" t="str">
        <x:v>SAINT MARKS DEVELOPMENT LLC</x:v>
      </x:c>
      <x:c r="K1561" s="55" t="n">
        <x:v>44244</x:v>
      </x:c>
      <x:c r="L1561" t="str">
        <x:v>Queens</x:v>
      </x:c>
      <x:c r="M1561" t="str">
        <x:v>New York</x:v>
      </x:c>
      <x:c r="N1561" t="str">
        <x:v>DOMESTIC LIMITED LIABILITY COMPANY</x:v>
      </x:c>
      <x:c r="O1561" t="str">
        <x:v>SAINT MARKS DEVELOPMENT LLC</x:v>
      </x:c>
      <x:c r="P1561" t="str">
        <x:v>144-42 JEWEL AVENUE, FLUSHING, NY, 11367</x:v>
      </x:c>
      <x:c r="Q1561" t="str"/>
      <x:c r="R1561" t="str"/>
      <x:c r="S1561" t="str"/>
      <x:c r="T1561" t="str"/>
      <x:c r="U1561" t="str"/>
      <x:c r="V1561" t="str"/>
      <x:c r="W1561" t="str"/>
      <x:c r="X1561" t="str"/>
      <x:c r="Y1561" t="str">
        <x:v>https://data.ny.gov/Economic-Development/Active-Corporations-Beginning-1800/n9v6-gdp6</x:v>
      </x:c>
    </x:row>
    <x:row r="1562">
      <x:c r="A1562" t="str">
        <x:v>DOS-6-061</x:v>
      </x:c>
      <x:c r="B1562" t="n">
        <x:v>6</x:v>
      </x:c>
      <x:c r="C1562" t="str">
        <x:v>1763 PITMAN AVE, BRONX, NY, 10466, US | 1763 PITMAN AVE., BRONX, NY, 10466, US</x:v>
      </x:c>
      <x:c r="D1562" t="str">
        <x:v>3961 CARPENTER AVE ASSOC LLC</x:v>
      </x:c>
      <x:c r="E1562" t="str">
        <x:v>3961 CARPENTER AVE ASSOC, LLC</x:v>
      </x:c>
      <x:c r="F1562" t="str">
        <x:v>Active name match</x:v>
      </x:c>
      <x:c r="G1562" t="n">
        <x:v>1</x:v>
      </x:c>
      <x:c r="H1562" t="n">
        <x:v>1</x:v>
      </x:c>
      <x:c r="I1562" t="str">
        <x:v>3980057</x:v>
      </x:c>
      <x:c r="J1562" t="str">
        <x:v>3961 CARPENTER AVE ASSOC, LLC</x:v>
      </x:c>
      <x:c r="K1562" s="55" t="n">
        <x:v>40392</x:v>
      </x:c>
      <x:c r="L1562" t="str">
        <x:v>Westchester</x:v>
      </x:c>
      <x:c r="M1562" t="str">
        <x:v>New York</x:v>
      </x:c>
      <x:c r="N1562" t="str">
        <x:v>DOMESTIC LIMITED LIABILITY COMPANY</x:v>
      </x:c>
      <x:c r="O1562" t="str">
        <x:v>3961 CARPENTER AVE ASSOC, LLC</x:v>
      </x:c>
      <x:c r="P1562" t="str">
        <x:v>1763 PITMAN AVENUE, BRONX, NY, 10466</x:v>
      </x:c>
      <x:c r="Q1562" t="str"/>
      <x:c r="R1562" t="str"/>
      <x:c r="S1562" t="str"/>
      <x:c r="T1562" t="str"/>
      <x:c r="U1562" t="str"/>
      <x:c r="V1562" t="str"/>
      <x:c r="W1562" t="str"/>
      <x:c r="X1562" t="str"/>
      <x:c r="Y1562" t="str">
        <x:v>https://data.ny.gov/Economic-Development/Active-Corporations-Beginning-1800/n9v6-gdp6</x:v>
      </x:c>
    </x:row>
    <x:row r="1563">
      <x:c r="A1563" t="str">
        <x:v>DOS-6-061</x:v>
      </x:c>
      <x:c r="B1563" t="n">
        <x:v>6</x:v>
      </x:c>
      <x:c r="C1563" t="str">
        <x:v>1763 PITMAN AVE, BRONX, NY, 10466, US | 1763 PITMAN AVE., BRONX, NY, 10466, US</x:v>
      </x:c>
      <x:c r="D1563" t="str">
        <x:v>AMANDA S TEN LLC</x:v>
      </x:c>
      <x:c r="E1563" t="str">
        <x:v>AMANDA'S TEN LLC</x:v>
      </x:c>
      <x:c r="F1563" t="str">
        <x:v>Active name match</x:v>
      </x:c>
      <x:c r="G1563" t="n">
        <x:v>1</x:v>
      </x:c>
      <x:c r="H1563" t="n">
        <x:v>1</x:v>
      </x:c>
      <x:c r="I1563" t="str">
        <x:v>2969514</x:v>
      </x:c>
      <x:c r="J1563" t="str">
        <x:v>AMANDA'S TEN, LLC</x:v>
      </x:c>
      <x:c r="K1563" s="55" t="n">
        <x:v>37921</x:v>
      </x:c>
      <x:c r="L1563" t="str">
        <x:v>Bronx</x:v>
      </x:c>
      <x:c r="M1563" t="str">
        <x:v>New York</x:v>
      </x:c>
      <x:c r="N1563" t="str">
        <x:v>DOMESTIC LIMITED LIABILITY COMPANY</x:v>
      </x:c>
      <x:c r="O1563" t="str">
        <x:v>AMANDA'S TEN, LLC</x:v>
      </x:c>
      <x:c r="P1563" t="str">
        <x:v>1763 PITMAN AVENUE, BRONX, NY, 10466</x:v>
      </x:c>
      <x:c r="Q1563" t="str"/>
      <x:c r="R1563" t="str"/>
      <x:c r="S1563" t="str"/>
      <x:c r="T1563" t="str"/>
      <x:c r="U1563" t="str"/>
      <x:c r="V1563" t="str"/>
      <x:c r="W1563" t="str"/>
      <x:c r="X1563" t="str"/>
      <x:c r="Y1563" t="str">
        <x:v>https://data.ny.gov/Economic-Development/Active-Corporations-Beginning-1800/n9v6-gdp6</x:v>
      </x:c>
    </x:row>
    <x:row r="1564">
      <x:c r="A1564" t="str">
        <x:v>DOS-6-061</x:v>
      </x:c>
      <x:c r="B1564" t="n">
        <x:v>6</x:v>
      </x:c>
      <x:c r="C1564" t="str">
        <x:v>1763 PITMAN AVE, BRONX, NY, 10466, US | 1763 PITMAN AVE., BRONX, NY, 10466, US</x:v>
      </x:c>
      <x:c r="D1564" t="str">
        <x:v>AMANDA S TEN LLC NULL</x:v>
      </x:c>
      <x:c r="E1564" t="str">
        <x:v>AMANDA'S TEN LLC, null</x:v>
      </x:c>
      <x:c r="F1564" t="str">
        <x:v>No active DOS match</x:v>
      </x:c>
      <x:c r="G1564" t="n">
        <x:v>0</x:v>
      </x:c>
      <x:c r="H1564" t="n">
        <x:v>0</x:v>
      </x:c>
      <x:c r="I1564" t="str"/>
      <x:c r="J1564" t="str"/>
      <x:c r="K1564" s="55" t="str"/>
      <x:c r="L1564" t="str"/>
      <x:c r="M1564" t="str"/>
      <x:c r="N1564" t="str"/>
      <x:c r="O1564" t="str"/>
      <x:c r="P1564" t="str"/>
      <x:c r="Q1564" t="str"/>
      <x:c r="R1564" t="str"/>
      <x:c r="S1564" t="str"/>
      <x:c r="T1564" t="str"/>
      <x:c r="U1564" t="str"/>
      <x:c r="V1564" t="str"/>
      <x:c r="W1564" t="str"/>
      <x:c r="X1564" t="str"/>
      <x:c r="Y1564" t="str">
        <x:v>https://data.ny.gov/Economic-Development/Active-Corporations-Beginning-1800/n9v6-gdp6</x:v>
      </x:c>
    </x:row>
    <x:row r="1565">
      <x:c r="A1565" t="str">
        <x:v>DOS-6-061</x:v>
      </x:c>
      <x:c r="B1565" t="n">
        <x:v>6</x:v>
      </x:c>
      <x:c r="C1565" t="str">
        <x:v>1763 PITMAN AVE, BRONX, NY, 10466, US | 1763 PITMAN AVE., BRONX, NY, 10466, US</x:v>
      </x:c>
      <x:c r="D1565" t="str">
        <x:v>BRONX LIVING LLC</x:v>
      </x:c>
      <x:c r="E1565" t="str">
        <x:v>BRONX LIVING LLC</x:v>
      </x:c>
      <x:c r="F1565" t="str">
        <x:v>Active name match</x:v>
      </x:c>
      <x:c r="G1565" t="n">
        <x:v>1</x:v>
      </x:c>
      <x:c r="H1565" t="n">
        <x:v>1</x:v>
      </x:c>
      <x:c r="I1565" t="str">
        <x:v>4326705</x:v>
      </x:c>
      <x:c r="J1565" t="str">
        <x:v>BRONX LIVING LLC</x:v>
      </x:c>
      <x:c r="K1565" s="55" t="n">
        <x:v>41243</x:v>
      </x:c>
      <x:c r="L1565" t="str">
        <x:v>Bronx</x:v>
      </x:c>
      <x:c r="M1565" t="str">
        <x:v>New York</x:v>
      </x:c>
      <x:c r="N1565" t="str">
        <x:v>DOMESTIC LIMITED LIABILITY COMPANY</x:v>
      </x:c>
      <x:c r="O1565" t="str">
        <x:v>BRONX LIVING LLC</x:v>
      </x:c>
      <x:c r="P1565" t="str">
        <x:v>1763 PITMAN AVENUE, BRONX, NY, 10466</x:v>
      </x:c>
      <x:c r="Q1565" t="str"/>
      <x:c r="R1565" t="str"/>
      <x:c r="S1565" t="str">
        <x:v>KATHLEEN BRADSHAW</x:v>
      </x:c>
      <x:c r="T1565" t="str">
        <x:v>3114 E TREMTON AVE., BRONX, NEW YORK, 10461</x:v>
      </x:c>
      <x:c r="U1565" t="str"/>
      <x:c r="V1565" t="str"/>
      <x:c r="W1565" t="str"/>
      <x:c r="X1565" t="str"/>
      <x:c r="Y1565" t="str">
        <x:v>https://data.ny.gov/Economic-Development/Active-Corporations-Beginning-1800/n9v6-gdp6</x:v>
      </x:c>
    </x:row>
    <x:row r="1566">
      <x:c r="A1566" t="str">
        <x:v>DOS-6-061</x:v>
      </x:c>
      <x:c r="B1566" t="n">
        <x:v>6</x:v>
      </x:c>
      <x:c r="C1566" t="str">
        <x:v>1763 PITMAN AVE, BRONX, NY, 10466, US | 1763 PITMAN AVE., BRONX, NY, 10466, US</x:v>
      </x:c>
      <x:c r="D1566" t="str">
        <x:v>RYAN S BRONX EXPRESS LLC</x:v>
      </x:c>
      <x:c r="E1566" t="str">
        <x:v>RYAN'S BRONX EXPRESS, LLC</x:v>
      </x:c>
      <x:c r="F1566" t="str">
        <x:v>Active name match</x:v>
      </x:c>
      <x:c r="G1566" t="n">
        <x:v>1</x:v>
      </x:c>
      <x:c r="H1566" t="n">
        <x:v>1</x:v>
      </x:c>
      <x:c r="I1566" t="str">
        <x:v>2876985</x:v>
      </x:c>
      <x:c r="J1566" t="str">
        <x:v>RYAN'S BRONX EXPRESS, LLC</x:v>
      </x:c>
      <x:c r="K1566" s="55" t="n">
        <x:v>37684</x:v>
      </x:c>
      <x:c r="L1566" t="str">
        <x:v>Bronx</x:v>
      </x:c>
      <x:c r="M1566" t="str">
        <x:v>New York</x:v>
      </x:c>
      <x:c r="N1566" t="str">
        <x:v>DOMESTIC LIMITED LIABILITY COMPANY</x:v>
      </x:c>
      <x:c r="O1566" t="str">
        <x:v>RYAN'S BRONX EXPRESS, LLC</x:v>
      </x:c>
      <x:c r="P1566" t="str">
        <x:v>1763 PITMAN AVENUE, BRONX, NY, 10466</x:v>
      </x:c>
      <x:c r="Q1566" t="str"/>
      <x:c r="R1566" t="str"/>
      <x:c r="S1566" t="str"/>
      <x:c r="T1566" t="str"/>
      <x:c r="U1566" t="str"/>
      <x:c r="V1566" t="str"/>
      <x:c r="W1566" t="str"/>
      <x:c r="X1566" t="str"/>
      <x:c r="Y1566" t="str">
        <x:v>https://data.ny.gov/Economic-Development/Active-Corporations-Beginning-1800/n9v6-gdp6</x:v>
      </x:c>
    </x:row>
    <x:row r="1567">
      <x:c r="A1567" t="str">
        <x:v>DOS-6-061</x:v>
      </x:c>
      <x:c r="B1567" t="n">
        <x:v>6</x:v>
      </x:c>
      <x:c r="C1567" t="str">
        <x:v>1763 PITMAN AVE, BRONX, NY, 10466, US | 1763 PITMAN AVE., BRONX, NY, 10466, US</x:v>
      </x:c>
      <x:c r="D1567" t="str">
        <x:v>SOUTH BRONX DEVELOPMENT I LLC</x:v>
      </x:c>
      <x:c r="E1567" t="str">
        <x:v>SOUTH BRONX DEVELOPMENT I LLC</x:v>
      </x:c>
      <x:c r="F1567" t="str">
        <x:v>Active name match</x:v>
      </x:c>
      <x:c r="G1567" t="n">
        <x:v>1</x:v>
      </x:c>
      <x:c r="H1567" t="n">
        <x:v>0</x:v>
      </x:c>
      <x:c r="I1567" t="str">
        <x:v>6351597</x:v>
      </x:c>
      <x:c r="J1567" t="str">
        <x:v>SOUTH BRONX DEVELOPMENT I LLC</x:v>
      </x:c>
      <x:c r="K1567" s="55" t="n">
        <x:v>44547</x:v>
      </x:c>
      <x:c r="L1567" t="str">
        <x:v>Nassau</x:v>
      </x:c>
      <x:c r="M1567" t="str">
        <x:v>New York</x:v>
      </x:c>
      <x:c r="N1567" t="str">
        <x:v>DOMESTIC LIMITED LIABILITY COMPANY</x:v>
      </x:c>
      <x:c r="O1567" t="str">
        <x:v>JORGE MADRUGA</x:v>
      </x:c>
      <x:c r="P1567" t="str">
        <x:v>15 VERBENA AVENUE SUITE 200, FLORAL PARK, NY, 11001</x:v>
      </x:c>
      <x:c r="Q1567" t="str"/>
      <x:c r="R1567" t="str"/>
      <x:c r="S1567" t="str"/>
      <x:c r="T1567" t="str"/>
      <x:c r="U1567" t="str"/>
      <x:c r="V1567" t="str"/>
      <x:c r="W1567" t="str"/>
      <x:c r="X1567" t="str"/>
      <x:c r="Y1567" t="str">
        <x:v>https://data.ny.gov/Economic-Development/Active-Corporations-Beginning-1800/n9v6-gdp6</x:v>
      </x:c>
    </x:row>
    <x:row r="1568">
      <x:c r="A1568" t="str">
        <x:v>DOS-6-062</x:v>
      </x:c>
      <x:c r="B1568" t="n">
        <x:v>6</x:v>
      </x:c>
      <x:c r="C1568" t="str">
        <x:v>1858 COLDEN AVENUE APT 2R, BRONX, NY, 10462, US | 1858 COLDEN AVENUE APT. 2R, BRONX, NY, 10462, US | 1858 COLDEN AVENUE, APT. 2R, BRONX, NY, 10462, US</x:v>
      </x:c>
      <x:c r="D1568" t="str">
        <x:v>1965 CLINTON AVENUE LLC</x:v>
      </x:c>
      <x:c r="E1568" t="str">
        <x:v>1965 CLINTON AVENUE LLC</x:v>
      </x:c>
      <x:c r="F1568" t="str">
        <x:v>Address-corroborated active match</x:v>
      </x:c>
      <x:c r="G1568" t="n">
        <x:v>1</x:v>
      </x:c>
      <x:c r="H1568" t="n">
        <x:v>2</x:v>
      </x:c>
      <x:c r="I1568" t="str">
        <x:v>7729171</x:v>
      </x:c>
      <x:c r="J1568" t="str">
        <x:v>1965 CLINTON AVENUE LLC</x:v>
      </x:c>
      <x:c r="K1568" s="55" t="n">
        <x:v>45938</x:v>
      </x:c>
      <x:c r="L1568" t="str">
        <x:v>Rockland</x:v>
      </x:c>
      <x:c r="M1568" t="str">
        <x:v>New York</x:v>
      </x:c>
      <x:c r="N1568" t="str">
        <x:v>DOMESTIC LIMITED LIABILITY COMPANY</x:v>
      </x:c>
      <x:c r="O1568" t="str">
        <x:v>THE LIMITED LIABILITY COMPANY</x:v>
      </x:c>
      <x:c r="P1568" t="str">
        <x:v>1858 COLDEN AVENUE APT 2R, BRONX, NY, 10462</x:v>
      </x:c>
      <x:c r="Q1568" t="str"/>
      <x:c r="R1568" t="str"/>
      <x:c r="S1568" t="str">
        <x:v>METRO BUSINESS SERVICES</x:v>
      </x:c>
      <x:c r="T1568" t="str">
        <x:v>1 BLUE HILL PLAZA #1509-43, PEARL RIVER, NEW YORK, 10965</x:v>
      </x:c>
      <x:c r="U1568" t="str"/>
      <x:c r="V1568" t="str"/>
      <x:c r="W1568" t="str"/>
      <x:c r="X1568" t="str"/>
      <x:c r="Y1568" t="str">
        <x:v>https://data.ny.gov/Economic-Development/Active-Corporations-Beginning-1800/n9v6-gdp6</x:v>
      </x:c>
    </x:row>
    <x:row r="1569">
      <x:c r="A1569" t="str">
        <x:v>DOS-6-062</x:v>
      </x:c>
      <x:c r="B1569" t="n">
        <x:v>6</x:v>
      </x:c>
      <x:c r="C1569" t="str">
        <x:v>1858 COLDEN AVENUE APT 2R, BRONX, NY, 10462, US | 1858 COLDEN AVENUE APT. 2R, BRONX, NY, 10462, US | 1858 COLDEN AVENUE, APT. 2R, BRONX, NY, 10462, US</x:v>
      </x:c>
      <x:c r="D1569" t="str">
        <x:v>2434 BRONX PARK EAST REALTY LLC</x:v>
      </x:c>
      <x:c r="E1569" t="str">
        <x:v>2434 BRONX PARK EAST REALTY LLC</x:v>
      </x:c>
      <x:c r="F1569" t="str">
        <x:v>Address-corroborated active match</x:v>
      </x:c>
      <x:c r="G1569" t="n">
        <x:v>1</x:v>
      </x:c>
      <x:c r="H1569" t="n">
        <x:v>2</x:v>
      </x:c>
      <x:c r="I1569" t="str">
        <x:v>5099455</x:v>
      </x:c>
      <x:c r="J1569" t="str">
        <x:v>2434 BRONX PARK EAST REALTY LLC</x:v>
      </x:c>
      <x:c r="K1569" s="55" t="n">
        <x:v>42803</x:v>
      </x:c>
      <x:c r="L1569" t="str">
        <x:v>Bronx</x:v>
      </x:c>
      <x:c r="M1569" t="str">
        <x:v>New York</x:v>
      </x:c>
      <x:c r="N1569" t="str">
        <x:v>DOMESTIC LIMITED LIABILITY COMPANY</x:v>
      </x:c>
      <x:c r="O1569" t="str">
        <x:v>FRANC GJINI</x:v>
      </x:c>
      <x:c r="P1569" t="str">
        <x:v>1858 COLDEN AVENUE, APT. 2R, BRONX, NY, 10462</x:v>
      </x:c>
      <x:c r="Q1569" t="str"/>
      <x:c r="R1569" t="str"/>
      <x:c r="S1569" t="str"/>
      <x:c r="T1569" t="str"/>
      <x:c r="U1569" t="str"/>
      <x:c r="V1569" t="str"/>
      <x:c r="W1569" t="str"/>
      <x:c r="X1569" t="str"/>
      <x:c r="Y1569" t="str">
        <x:v>https://data.ny.gov/Economic-Development/Active-Corporations-Beginning-1800/n9v6-gdp6</x:v>
      </x:c>
    </x:row>
    <x:row r="1570">
      <x:c r="A1570" t="str">
        <x:v>DOS-6-062</x:v>
      </x:c>
      <x:c r="B1570" t="n">
        <x:v>6</x:v>
      </x:c>
      <x:c r="C1570" t="str">
        <x:v>1858 COLDEN AVENUE APT 2R, BRONX, NY, 10462, US | 1858 COLDEN AVENUE APT. 2R, BRONX, NY, 10462, US | 1858 COLDEN AVENUE, APT. 2R, BRONX, NY, 10462, US</x:v>
      </x:c>
      <x:c r="D1570" t="str">
        <x:v>2439 BARKER LLC</x:v>
      </x:c>
      <x:c r="E1570" t="str">
        <x:v>2439 BARKER LLC</x:v>
      </x:c>
      <x:c r="F1570" t="str">
        <x:v>Active name match</x:v>
      </x:c>
      <x:c r="G1570" t="n">
        <x:v>1</x:v>
      </x:c>
      <x:c r="H1570" t="n">
        <x:v>1</x:v>
      </x:c>
      <x:c r="I1570" t="str">
        <x:v>5607518</x:v>
      </x:c>
      <x:c r="J1570" t="str">
        <x:v>2439 BARKER LLC</x:v>
      </x:c>
      <x:c r="K1570" s="55" t="n">
        <x:v>43697</x:v>
      </x:c>
      <x:c r="L1570" t="str">
        <x:v>Bronx</x:v>
      </x:c>
      <x:c r="M1570" t="str">
        <x:v>New York</x:v>
      </x:c>
      <x:c r="N1570" t="str">
        <x:v>DOMESTIC LIMITED LIABILITY COMPANY</x:v>
      </x:c>
      <x:c r="O1570" t="str">
        <x:v>2439 BARKER LLC</x:v>
      </x:c>
      <x:c r="P1570" t="str">
        <x:v>1858 COLDEN AVE #2R, BRONX, NY, 10462</x:v>
      </x:c>
      <x:c r="Q1570" t="str"/>
      <x:c r="R1570" t="str"/>
      <x:c r="S1570" t="str"/>
      <x:c r="T1570" t="str"/>
      <x:c r="U1570" t="str"/>
      <x:c r="V1570" t="str"/>
      <x:c r="W1570" t="str"/>
      <x:c r="X1570" t="str"/>
      <x:c r="Y1570" t="str">
        <x:v>https://data.ny.gov/Economic-Development/Active-Corporations-Beginning-1800/n9v6-gdp6</x:v>
      </x:c>
    </x:row>
    <x:row r="1571">
      <x:c r="A1571" t="str">
        <x:v>DOS-6-062</x:v>
      </x:c>
      <x:c r="B1571" t="n">
        <x:v>6</x:v>
      </x:c>
      <x:c r="C1571" t="str">
        <x:v>1858 COLDEN AVENUE APT 2R, BRONX, NY, 10462, US | 1858 COLDEN AVENUE APT. 2R, BRONX, NY, 10462, US | 1858 COLDEN AVENUE, APT. 2R, BRONX, NY, 10462, US</x:v>
      </x:c>
      <x:c r="D1571" t="str">
        <x:v>2621 GRAND LLC</x:v>
      </x:c>
      <x:c r="E1571" t="str">
        <x:v>2621 GRAND LLC</x:v>
      </x:c>
      <x:c r="F1571" t="str">
        <x:v>Address-corroborated active match</x:v>
      </x:c>
      <x:c r="G1571" t="n">
        <x:v>1</x:v>
      </x:c>
      <x:c r="H1571" t="n">
        <x:v>2</x:v>
      </x:c>
      <x:c r="I1571" t="str">
        <x:v>6477303</x:v>
      </x:c>
      <x:c r="J1571" t="str">
        <x:v>2621 GRAND LLC</x:v>
      </x:c>
      <x:c r="K1571" s="55" t="n">
        <x:v>44686</x:v>
      </x:c>
      <x:c r="L1571" t="str">
        <x:v>Rockland</x:v>
      </x:c>
      <x:c r="M1571" t="str">
        <x:v>New York</x:v>
      </x:c>
      <x:c r="N1571" t="str">
        <x:v>DOMESTIC LIMITED LIABILITY COMPANY</x:v>
      </x:c>
      <x:c r="O1571" t="str">
        <x:v>THE LIMITED LIABILITY COMPANY</x:v>
      </x:c>
      <x:c r="P1571" t="str">
        <x:v>1858 COLDEN AVENUE, APT. 2R, BRONX, NY, 10462</x:v>
      </x:c>
      <x:c r="Q1571" t="str"/>
      <x:c r="R1571" t="str"/>
      <x:c r="S1571" t="str">
        <x:v>METRO CORPORATE SERVICES LLC</x:v>
      </x:c>
      <x:c r="T1571" t="str">
        <x:v>1 BLUE HILL PLAZA, LL #1509-43, PEARL RIVER, NEW YORK, 10965</x:v>
      </x:c>
      <x:c r="U1571" t="str"/>
      <x:c r="V1571" t="str"/>
      <x:c r="W1571" t="str"/>
      <x:c r="X1571" t="str"/>
      <x:c r="Y1571" t="str">
        <x:v>https://data.ny.gov/Economic-Development/Active-Corporations-Beginning-1800/n9v6-gdp6</x:v>
      </x:c>
    </x:row>
    <x:row r="1572">
      <x:c r="A1572" t="str">
        <x:v>DOS-6-062</x:v>
      </x:c>
      <x:c r="B1572" t="n">
        <x:v>6</x:v>
      </x:c>
      <x:c r="C1572" t="str">
        <x:v>1858 COLDEN AVENUE APT 2R, BRONX, NY, 10462, US | 1858 COLDEN AVENUE APT. 2R, BRONX, NY, 10462, US | 1858 COLDEN AVENUE, APT. 2R, BRONX, NY, 10462, US</x:v>
      </x:c>
      <x:c r="D1572" t="str">
        <x:v>2732 KINGSBRIDGE TERRACE LLC</x:v>
      </x:c>
      <x:c r="E1572" t="str">
        <x:v>2732 KINGSBRIDGE TERRACE LLC</x:v>
      </x:c>
      <x:c r="F1572" t="str">
        <x:v>Active name match</x:v>
      </x:c>
      <x:c r="G1572" t="n">
        <x:v>1</x:v>
      </x:c>
      <x:c r="H1572" t="n">
        <x:v>1</x:v>
      </x:c>
      <x:c r="I1572" t="str">
        <x:v>5210285</x:v>
      </x:c>
      <x:c r="J1572" t="str">
        <x:v>2732 KINGSBRIDGE TERRACE LLC</x:v>
      </x:c>
      <x:c r="K1572" s="55" t="n">
        <x:v>43007</x:v>
      </x:c>
      <x:c r="L1572" t="str">
        <x:v>Bronx</x:v>
      </x:c>
      <x:c r="M1572" t="str">
        <x:v>New York</x:v>
      </x:c>
      <x:c r="N1572" t="str">
        <x:v>DOMESTIC LIMITED LIABILITY COMPANY</x:v>
      </x:c>
      <x:c r="O1572" t="str">
        <x:v>2732 KINGSBRIDGE TERRACE LLC</x:v>
      </x:c>
      <x:c r="P1572" t="str">
        <x:v>1858 COLDEN AVE., APT. 2R, BRONX, NY, 10462</x:v>
      </x:c>
      <x:c r="Q1572" t="str"/>
      <x:c r="R1572" t="str"/>
      <x:c r="S1572" t="str"/>
      <x:c r="T1572" t="str"/>
      <x:c r="U1572" t="str"/>
      <x:c r="V1572" t="str"/>
      <x:c r="W1572" t="str"/>
      <x:c r="X1572" t="str"/>
      <x:c r="Y1572" t="str">
        <x:v>https://data.ny.gov/Economic-Development/Active-Corporations-Beginning-1800/n9v6-gdp6</x:v>
      </x:c>
    </x:row>
    <x:row r="1573">
      <x:c r="A1573" t="str">
        <x:v>DOS-6-062</x:v>
      </x:c>
      <x:c r="B1573" t="n">
        <x:v>6</x:v>
      </x:c>
      <x:c r="C1573" t="str">
        <x:v>1858 COLDEN AVENUE APT 2R, BRONX, NY, 10462, US | 1858 COLDEN AVENUE APT. 2R, BRONX, NY, 10462, US | 1858 COLDEN AVENUE, APT. 2R, BRONX, NY, 10462, US</x:v>
      </x:c>
      <x:c r="D1573" t="str">
        <x:v>THIRD AVENUE REALTY GROUP LLC</x:v>
      </x:c>
      <x:c r="E1573" t="str">
        <x:v>THIRD AVENUE REALTY GROUP LLC</x:v>
      </x:c>
      <x:c r="F1573" t="str">
        <x:v>Address-corroborated active match</x:v>
      </x:c>
      <x:c r="G1573" t="n">
        <x:v>1</x:v>
      </x:c>
      <x:c r="H1573" t="n">
        <x:v>2</x:v>
      </x:c>
      <x:c r="I1573" t="str">
        <x:v>5731864</x:v>
      </x:c>
      <x:c r="J1573" t="str">
        <x:v>THIRD AVENUE REALTY GROUP LLC</x:v>
      </x:c>
      <x:c r="K1573" s="55" t="n">
        <x:v>43915</x:v>
      </x:c>
      <x:c r="L1573" t="str">
        <x:v>Bronx</x:v>
      </x:c>
      <x:c r="M1573" t="str">
        <x:v>New York</x:v>
      </x:c>
      <x:c r="N1573" t="str">
        <x:v>DOMESTIC LIMITED LIABILITY COMPANY</x:v>
      </x:c>
      <x:c r="O1573" t="str">
        <x:v>THIRD AVENUE REALTY GROUP LLC</x:v>
      </x:c>
      <x:c r="P1573" t="str">
        <x:v>1858 COLDEN AVENUE, APT 2R, BRONX, NY, 10462</x:v>
      </x:c>
      <x:c r="Q1573" t="str"/>
      <x:c r="R1573" t="str"/>
      <x:c r="S1573" t="str"/>
      <x:c r="T1573" t="str"/>
      <x:c r="U1573" t="str"/>
      <x:c r="V1573" t="str"/>
      <x:c r="W1573" t="str"/>
      <x:c r="X1573" t="str"/>
      <x:c r="Y1573" t="str">
        <x:v>https://data.ny.gov/Economic-Development/Active-Corporations-Beginning-1800/n9v6-gdp6</x:v>
      </x:c>
    </x:row>
    <x:row r="1574">
      <x:c r="A1574" t="str">
        <x:v>DOS-6-063</x:v>
      </x:c>
      <x:c r="B1574" t="n">
        <x:v>6</x:v>
      </x:c>
      <x:c r="C1574" t="str">
        <x:v>199 LEE AVENUE, SUITE 292, BROOKLYN, NY, 11211, US</x:v>
      </x:c>
      <x:c r="D1574" t="str">
        <x:v>11 DITMARS LLC</x:v>
      </x:c>
      <x:c r="E1574" t="str">
        <x:v>11 DITMARS LLC</x:v>
      </x:c>
      <x:c r="F1574" t="str">
        <x:v>Address-corroborated active match</x:v>
      </x:c>
      <x:c r="G1574" t="n">
        <x:v>1</x:v>
      </x:c>
      <x:c r="H1574" t="n">
        <x:v>2</x:v>
      </x:c>
      <x:c r="I1574" t="str">
        <x:v>4774824</x:v>
      </x:c>
      <x:c r="J1574" t="str">
        <x:v>11 DITMARS LLC</x:v>
      </x:c>
      <x:c r="K1574" s="55" t="n">
        <x:v>42170</x:v>
      </x:c>
      <x:c r="L1574" t="str">
        <x:v>Kings</x:v>
      </x:c>
      <x:c r="M1574" t="str">
        <x:v>New York</x:v>
      </x:c>
      <x:c r="N1574" t="str">
        <x:v>DOMESTIC LIMITED LIABILITY COMPANY</x:v>
      </x:c>
      <x:c r="O1574" t="str">
        <x:v>11 DITMARS LLC</x:v>
      </x:c>
      <x:c r="P1574" t="str">
        <x:v>199 LEE AVENUE SUITE 292, BROOKLYN, NY, 11211</x:v>
      </x:c>
      <x:c r="Q1574" t="str"/>
      <x:c r="R1574" t="str"/>
      <x:c r="S1574" t="str"/>
      <x:c r="T1574" t="str"/>
      <x:c r="U1574" t="str"/>
      <x:c r="V1574" t="str"/>
      <x:c r="W1574" t="str"/>
      <x:c r="X1574" t="str"/>
      <x:c r="Y1574" t="str">
        <x:v>https://data.ny.gov/Economic-Development/Active-Corporations-Beginning-1800/n9v6-gdp6</x:v>
      </x:c>
    </x:row>
    <x:row r="1575">
      <x:c r="A1575" t="str">
        <x:v>DOS-6-063</x:v>
      </x:c>
      <x:c r="B1575" t="n">
        <x:v>6</x:v>
      </x:c>
      <x:c r="C1575" t="str">
        <x:v>199 LEE AVENUE, SUITE 292, BROOKLYN, NY, 11211, US</x:v>
      </x:c>
      <x:c r="D1575" t="str">
        <x:v>554 WILSON AVE LLC</x:v>
      </x:c>
      <x:c r="E1575" t="str">
        <x:v>554 WILSON AVE LLC</x:v>
      </x:c>
      <x:c r="F1575" t="str">
        <x:v>Address-corroborated active match</x:v>
      </x:c>
      <x:c r="G1575" t="n">
        <x:v>1</x:v>
      </x:c>
      <x:c r="H1575" t="n">
        <x:v>2</x:v>
      </x:c>
      <x:c r="I1575" t="str">
        <x:v>4451043</x:v>
      </x:c>
      <x:c r="J1575" t="str">
        <x:v>554 WILSON AVE LLC</x:v>
      </x:c>
      <x:c r="K1575" s="55" t="n">
        <x:v>41512</x:v>
      </x:c>
      <x:c r="L1575" t="str">
        <x:v>Kings</x:v>
      </x:c>
      <x:c r="M1575" t="str">
        <x:v>New York</x:v>
      </x:c>
      <x:c r="N1575" t="str">
        <x:v>DOMESTIC LIMITED LIABILITY COMPANY</x:v>
      </x:c>
      <x:c r="O1575" t="str">
        <x:v>554 WILSON AVE LLC</x:v>
      </x:c>
      <x:c r="P1575" t="str">
        <x:v>199 LEE AVENUE, SUITE 292, BROOKLYN, NY, 11211</x:v>
      </x:c>
      <x:c r="Q1575" t="str"/>
      <x:c r="R1575" t="str"/>
      <x:c r="S1575" t="str"/>
      <x:c r="T1575" t="str"/>
      <x:c r="U1575" t="str"/>
      <x:c r="V1575" t="str"/>
      <x:c r="W1575" t="str"/>
      <x:c r="X1575" t="str"/>
      <x:c r="Y1575" t="str">
        <x:v>https://data.ny.gov/Economic-Development/Active-Corporations-Beginning-1800/n9v6-gdp6</x:v>
      </x:c>
    </x:row>
    <x:row r="1576">
      <x:c r="A1576" t="str">
        <x:v>DOS-6-063</x:v>
      </x:c>
      <x:c r="B1576" t="n">
        <x:v>6</x:v>
      </x:c>
      <x:c r="C1576" t="str">
        <x:v>199 LEE AVENUE, SUITE 292, BROOKLYN, NY, 11211, US</x:v>
      </x:c>
      <x:c r="D1576" t="str">
        <x:v>BUSHWICK ESTATES LLC</x:v>
      </x:c>
      <x:c r="E1576" t="str">
        <x:v>BUSHWICK ESTATES LLC</x:v>
      </x:c>
      <x:c r="F1576" t="str">
        <x:v>Active name match</x:v>
      </x:c>
      <x:c r="G1576" t="n">
        <x:v>1</x:v>
      </x:c>
      <x:c r="H1576" t="n">
        <x:v>1</x:v>
      </x:c>
      <x:c r="I1576" t="str">
        <x:v>3685690</x:v>
      </x:c>
      <x:c r="J1576" t="str">
        <x:v>BUSHWICK ESTATES LLC</x:v>
      </x:c>
      <x:c r="K1576" s="55" t="n">
        <x:v>39616</x:v>
      </x:c>
      <x:c r="L1576" t="str">
        <x:v>Kings</x:v>
      </x:c>
      <x:c r="M1576" t="str">
        <x:v>New York</x:v>
      </x:c>
      <x:c r="N1576" t="str">
        <x:v>DOMESTIC LIMITED LIABILITY COMPANY</x:v>
      </x:c>
      <x:c r="O1576" t="str">
        <x:v>BUSHWICK ESTATES LLC</x:v>
      </x:c>
      <x:c r="P1576" t="str">
        <x:v>199 LEE AVE SUITE 292, BROOKLYN, NY, 11211</x:v>
      </x:c>
      <x:c r="Q1576" t="str"/>
      <x:c r="R1576" t="str"/>
      <x:c r="S1576" t="str"/>
      <x:c r="T1576" t="str"/>
      <x:c r="U1576" t="str"/>
      <x:c r="V1576" t="str"/>
      <x:c r="W1576" t="str"/>
      <x:c r="X1576" t="str"/>
      <x:c r="Y1576" t="str">
        <x:v>https://data.ny.gov/Economic-Development/Active-Corporations-Beginning-1800/n9v6-gdp6</x:v>
      </x:c>
    </x:row>
    <x:row r="1577">
      <x:c r="A1577" t="str">
        <x:v>DOS-6-063</x:v>
      </x:c>
      <x:c r="B1577" t="n">
        <x:v>6</x:v>
      </x:c>
      <x:c r="C1577" t="str">
        <x:v>199 LEE AVENUE, SUITE 292, BROOKLYN, NY, 11211, US</x:v>
      </x:c>
      <x:c r="D1577" t="str">
        <x:v>LUCKY SPACE LLC</x:v>
      </x:c>
      <x:c r="E1577" t="str">
        <x:v>LUCKY SPACE LLC</x:v>
      </x:c>
      <x:c r="F1577" t="str">
        <x:v>Active name match</x:v>
      </x:c>
      <x:c r="G1577" t="n">
        <x:v>1</x:v>
      </x:c>
      <x:c r="H1577" t="n">
        <x:v>1</x:v>
      </x:c>
      <x:c r="I1577" t="str">
        <x:v>4910262</x:v>
      </x:c>
      <x:c r="J1577" t="str">
        <x:v>LUCKY SPACE LLC</x:v>
      </x:c>
      <x:c r="K1577" s="55" t="n">
        <x:v>42439</x:v>
      </x:c>
      <x:c r="L1577" t="str">
        <x:v>Kings</x:v>
      </x:c>
      <x:c r="M1577" t="str">
        <x:v>New York</x:v>
      </x:c>
      <x:c r="N1577" t="str">
        <x:v>DOMESTIC LIMITED LIABILITY COMPANY</x:v>
      </x:c>
      <x:c r="O1577" t="str">
        <x:v>LUCKY SPACE LLC</x:v>
      </x:c>
      <x:c r="P1577" t="str">
        <x:v>199 LEE AVE SUITE 292, BROOKLYN, NY, 11211</x:v>
      </x:c>
      <x:c r="Q1577" t="str"/>
      <x:c r="R1577" t="str"/>
      <x:c r="S1577" t="str"/>
      <x:c r="T1577" t="str"/>
      <x:c r="U1577" t="str"/>
      <x:c r="V1577" t="str"/>
      <x:c r="W1577" t="str"/>
      <x:c r="X1577" t="str"/>
      <x:c r="Y1577" t="str">
        <x:v>https://data.ny.gov/Economic-Development/Active-Corporations-Beginning-1800/n9v6-gdp6</x:v>
      </x:c>
    </x:row>
    <x:row r="1578">
      <x:c r="A1578" t="str">
        <x:v>DOS-6-063</x:v>
      </x:c>
      <x:c r="B1578" t="n">
        <x:v>6</x:v>
      </x:c>
      <x:c r="C1578" t="str">
        <x:v>199 LEE AVENUE, SUITE 292, BROOKLYN, NY, 11211, US</x:v>
      </x:c>
      <x:c r="D1578" t="str">
        <x:v>POWELL YH LLC</x:v>
      </x:c>
      <x:c r="E1578" t="str">
        <x:v>POWELL YH LLC</x:v>
      </x:c>
      <x:c r="F1578" t="str">
        <x:v>Address-corroborated active match</x:v>
      </x:c>
      <x:c r="G1578" t="n">
        <x:v>1</x:v>
      </x:c>
      <x:c r="H1578" t="n">
        <x:v>2</x:v>
      </x:c>
      <x:c r="I1578" t="str">
        <x:v>4756599</x:v>
      </x:c>
      <x:c r="J1578" t="str">
        <x:v>POWELL YH LLC</x:v>
      </x:c>
      <x:c r="K1578" s="55" t="n">
        <x:v>42135</x:v>
      </x:c>
      <x:c r="L1578" t="str">
        <x:v>Kings</x:v>
      </x:c>
      <x:c r="M1578" t="str">
        <x:v>New York</x:v>
      </x:c>
      <x:c r="N1578" t="str">
        <x:v>DOMESTIC LIMITED LIABILITY COMPANY</x:v>
      </x:c>
      <x:c r="O1578" t="str">
        <x:v>POWELL YH LLC</x:v>
      </x:c>
      <x:c r="P1578" t="str">
        <x:v>199 LEE AVENUE SUITE 292, BROOKLYN, NY, 11211</x:v>
      </x:c>
      <x:c r="Q1578" t="str"/>
      <x:c r="R1578" t="str"/>
      <x:c r="S1578" t="str"/>
      <x:c r="T1578" t="str"/>
      <x:c r="U1578" t="str"/>
      <x:c r="V1578" t="str"/>
      <x:c r="W1578" t="str"/>
      <x:c r="X1578" t="str"/>
      <x:c r="Y1578" t="str">
        <x:v>https://data.ny.gov/Economic-Development/Active-Corporations-Beginning-1800/n9v6-gdp6</x:v>
      </x:c>
    </x:row>
    <x:row r="1579">
      <x:c r="A1579" t="str">
        <x:v>DOS-6-063</x:v>
      </x:c>
      <x:c r="B1579" t="n">
        <x:v>6</x:v>
      </x:c>
      <x:c r="C1579" t="str">
        <x:v>199 LEE AVENUE, SUITE 292, BROOKLYN, NY, 11211, US</x:v>
      </x:c>
      <x:c r="D1579" t="str">
        <x:v>THE MADISON PLAZA LLC</x:v>
      </x:c>
      <x:c r="E1579" t="str">
        <x:v>THE MADISON PLAZA LLC</x:v>
      </x:c>
      <x:c r="F1579" t="str">
        <x:v>Address-corroborated active match</x:v>
      </x:c>
      <x:c r="G1579" t="n">
        <x:v>1</x:v>
      </x:c>
      <x:c r="H1579" t="n">
        <x:v>2</x:v>
      </x:c>
      <x:c r="I1579" t="str">
        <x:v>3434149</x:v>
      </x:c>
      <x:c r="J1579" t="str">
        <x:v>THE MADISON PLAZA LLC</x:v>
      </x:c>
      <x:c r="K1579" s="55" t="n">
        <x:v>39028</x:v>
      </x:c>
      <x:c r="L1579" t="str">
        <x:v>Kings</x:v>
      </x:c>
      <x:c r="M1579" t="str">
        <x:v>New York</x:v>
      </x:c>
      <x:c r="N1579" t="str">
        <x:v>DOMESTIC LIMITED LIABILITY COMPANY</x:v>
      </x:c>
      <x:c r="O1579" t="str">
        <x:v>THE MADISON PLAZA LLC</x:v>
      </x:c>
      <x:c r="P1579" t="str">
        <x:v>199 LEE AVE, SUITE 1000, BROOKLYN, NY, 11211</x:v>
      </x:c>
      <x:c r="Q1579" t="str"/>
      <x:c r="R1579" t="str"/>
      <x:c r="S1579" t="str"/>
      <x:c r="T1579" t="str"/>
      <x:c r="U1579" t="str"/>
      <x:c r="V1579" t="str"/>
      <x:c r="W1579" t="str"/>
      <x:c r="X1579" t="str"/>
      <x:c r="Y1579" t="str">
        <x:v>https://data.ny.gov/Economic-Development/Active-Corporations-Beginning-1800/n9v6-gdp6</x:v>
      </x:c>
    </x:row>
    <x:row r="1580">
      <x:c r="A1580" t="str">
        <x:v>DOS-6-064</x:v>
      </x:c>
      <x:c r="B1580" t="n">
        <x:v>6</x:v>
      </x:c>
      <x:c r="C1580" t="str">
        <x:v>19C TROLLEY SQUARE, WILMINGTON, DE, 19806, US</x:v>
      </x:c>
      <x:c r="D1580" t="str">
        <x:v>CENTRIA INVESTING LLC</x:v>
      </x:c>
      <x:c r="E1580" t="str">
        <x:v>CENTRIA INVESTING LLC</x:v>
      </x:c>
      <x:c r="F1580" t="str">
        <x:v>Active name match</x:v>
      </x:c>
      <x:c r="G1580" t="n">
        <x:v>1</x:v>
      </x:c>
      <x:c r="H1580" t="n">
        <x:v>0</x:v>
      </x:c>
      <x:c r="I1580" t="str">
        <x:v>4432805</x:v>
      </x:c>
      <x:c r="J1580" t="str">
        <x:v>CENTRIA INVESTING LLC</x:v>
      </x:c>
      <x:c r="K1580" s="55" t="n">
        <x:v>41473</x:v>
      </x:c>
      <x:c r="L1580" t="str">
        <x:v>Albany</x:v>
      </x:c>
      <x:c r="M1580" t="str">
        <x:v>New York</x:v>
      </x:c>
      <x:c r="N1580" t="str">
        <x:v>DOMESTIC LIMITED LIABILITY COMPANY</x:v>
      </x:c>
      <x:c r="O1580" t="str">
        <x:v>CENTRIA INVESTING LLC</x:v>
      </x:c>
      <x:c r="P1580" t="str">
        <x:v>3500 S DUPONT HWY, STE 300, DOVER, DE, 19901</x:v>
      </x:c>
      <x:c r="Q1580" t="str"/>
      <x:c r="R1580" t="str"/>
      <x:c r="S1580" t="str"/>
      <x:c r="T1580" t="str"/>
      <x:c r="U1580" t="str"/>
      <x:c r="V1580" t="str"/>
      <x:c r="W1580" t="str"/>
      <x:c r="X1580" t="str"/>
      <x:c r="Y1580" t="str">
        <x:v>https://data.ny.gov/Economic-Development/Active-Corporations-Beginning-1800/n9v6-gdp6</x:v>
      </x:c>
    </x:row>
    <x:row r="1581">
      <x:c r="A1581" t="str">
        <x:v>DOS-6-064</x:v>
      </x:c>
      <x:c r="B1581" t="n">
        <x:v>6</x:v>
      </x:c>
      <x:c r="C1581" t="str">
        <x:v>19C TROLLEY SQUARE, WILMINGTON, DE, 19806, US</x:v>
      </x:c>
      <x:c r="D1581" t="str">
        <x:v>JAVESTI INVESTING LLC</x:v>
      </x:c>
      <x:c r="E1581" t="str">
        <x:v>JAVESTI INVESTING LLC</x:v>
      </x:c>
      <x:c r="F1581" t="str">
        <x:v>Active name match</x:v>
      </x:c>
      <x:c r="G1581" t="n">
        <x:v>1</x:v>
      </x:c>
      <x:c r="H1581" t="n">
        <x:v>0</x:v>
      </x:c>
      <x:c r="I1581" t="str">
        <x:v>4384765</x:v>
      </x:c>
      <x:c r="J1581" t="str">
        <x:v>JAVESTI INVESTING LLC</x:v>
      </x:c>
      <x:c r="K1581" s="55" t="n">
        <x:v>41372</x:v>
      </x:c>
      <x:c r="L1581" t="str">
        <x:v>Albany</x:v>
      </x:c>
      <x:c r="M1581" t="str">
        <x:v>New York</x:v>
      </x:c>
      <x:c r="N1581" t="str">
        <x:v>DOMESTIC LIMITED LIABILITY COMPANY</x:v>
      </x:c>
      <x:c r="O1581" t="str">
        <x:v>C/O INCORPORATING SERVICES, LTD.</x:v>
      </x:c>
      <x:c r="P1581" t="str">
        <x:v>3500 S DUPONT HWY, DOVER, DE, 19901</x:v>
      </x:c>
      <x:c r="Q1581" t="str"/>
      <x:c r="R1581" t="str"/>
      <x:c r="S1581" t="str"/>
      <x:c r="T1581" t="str"/>
      <x:c r="U1581" t="str"/>
      <x:c r="V1581" t="str"/>
      <x:c r="W1581" t="str"/>
      <x:c r="X1581" t="str"/>
      <x:c r="Y1581" t="str">
        <x:v>https://data.ny.gov/Economic-Development/Active-Corporations-Beginning-1800/n9v6-gdp6</x:v>
      </x:c>
    </x:row>
    <x:row r="1582">
      <x:c r="A1582" t="str">
        <x:v>DOS-6-064</x:v>
      </x:c>
      <x:c r="B1582" t="n">
        <x:v>6</x:v>
      </x:c>
      <x:c r="C1582" t="str">
        <x:v>19C TROLLEY SQUARE, WILMINGTON, DE, 19806, US</x:v>
      </x:c>
      <x:c r="D1582" t="str">
        <x:v>ORION 15 INVESTING LLC</x:v>
      </x:c>
      <x:c r="E1582" t="str">
        <x:v>ORION 15 INVESTING LLC</x:v>
      </x:c>
      <x:c r="F1582" t="str">
        <x:v>Active name match</x:v>
      </x:c>
      <x:c r="G1582" t="n">
        <x:v>1</x:v>
      </x:c>
      <x:c r="H1582" t="n">
        <x:v>0</x:v>
      </x:c>
      <x:c r="I1582" t="str">
        <x:v>4432394</x:v>
      </x:c>
      <x:c r="J1582" t="str">
        <x:v>ORION 15 INVESTING LLC</x:v>
      </x:c>
      <x:c r="K1582" s="55" t="n">
        <x:v>41472</x:v>
      </x:c>
      <x:c r="L1582" t="str">
        <x:v>Albany</x:v>
      </x:c>
      <x:c r="M1582" t="str">
        <x:v>New York</x:v>
      </x:c>
      <x:c r="N1582" t="str">
        <x:v>DOMESTIC LIMITED LIABILITY COMPANY</x:v>
      </x:c>
      <x:c r="O1582" t="str">
        <x:v>INCORPORATING SERVICES, LTD.</x:v>
      </x:c>
      <x:c r="P1582" t="str">
        <x:v>3500 SOUTH DUPONT HIGHWAY, DOVER, DE, 19901</x:v>
      </x:c>
      <x:c r="Q1582" t="str"/>
      <x:c r="R1582" t="str"/>
      <x:c r="S1582" t="str"/>
      <x:c r="T1582" t="str"/>
      <x:c r="U1582" t="str"/>
      <x:c r="V1582" t="str"/>
      <x:c r="W1582" t="str"/>
      <x:c r="X1582" t="str"/>
      <x:c r="Y1582" t="str">
        <x:v>https://data.ny.gov/Economic-Development/Active-Corporations-Beginning-1800/n9v6-gdp6</x:v>
      </x:c>
    </x:row>
    <x:row r="1583">
      <x:c r="A1583" t="str">
        <x:v>DOS-6-064</x:v>
      </x:c>
      <x:c r="B1583" t="n">
        <x:v>6</x:v>
      </x:c>
      <x:c r="C1583" t="str">
        <x:v>19C TROLLEY SQUARE, WILMINGTON, DE, 19806, US</x:v>
      </x:c>
      <x:c r="D1583" t="str">
        <x:v>ORION 96 PROPERTIES LLC</x:v>
      </x:c>
      <x:c r="E1583" t="str">
        <x:v>ORION 96 PROPERTIES, LLC</x:v>
      </x:c>
      <x:c r="F1583" t="str">
        <x:v>No active DOS match</x:v>
      </x:c>
      <x:c r="G1583" t="n">
        <x:v>0</x:v>
      </x:c>
      <x:c r="H1583" t="n">
        <x:v>0</x:v>
      </x:c>
      <x:c r="I1583" t="str"/>
      <x:c r="J1583" t="str"/>
      <x:c r="K1583" s="55" t="str"/>
      <x:c r="L1583" t="str"/>
      <x:c r="M1583" t="str"/>
      <x:c r="N1583" t="str"/>
      <x:c r="O1583" t="str"/>
      <x:c r="P1583" t="str"/>
      <x:c r="Q1583" t="str"/>
      <x:c r="R1583" t="str"/>
      <x:c r="S1583" t="str"/>
      <x:c r="T1583" t="str"/>
      <x:c r="U1583" t="str"/>
      <x:c r="V1583" t="str"/>
      <x:c r="W1583" t="str"/>
      <x:c r="X1583" t="str"/>
      <x:c r="Y1583" t="str">
        <x:v>https://data.ny.gov/Economic-Development/Active-Corporations-Beginning-1800/n9v6-gdp6</x:v>
      </x:c>
    </x:row>
    <x:row r="1584">
      <x:c r="A1584" t="str">
        <x:v>DOS-6-064</x:v>
      </x:c>
      <x:c r="B1584" t="n">
        <x:v>6</x:v>
      </x:c>
      <x:c r="C1584" t="str">
        <x:v>19C TROLLEY SQUARE, WILMINGTON, DE, 19806, US</x:v>
      </x:c>
      <x:c r="D1584" t="str">
        <x:v>ORION96 PROPERTIES LLC</x:v>
      </x:c>
      <x:c r="E1584" t="str">
        <x:v>ORION96 PROPERTIES LLC</x:v>
      </x:c>
      <x:c r="F1584" t="str">
        <x:v>Active name match</x:v>
      </x:c>
      <x:c r="G1584" t="n">
        <x:v>1</x:v>
      </x:c>
      <x:c r="H1584" t="n">
        <x:v>0</x:v>
      </x:c>
      <x:c r="I1584" t="str">
        <x:v>4384704</x:v>
      </x:c>
      <x:c r="J1584" t="str">
        <x:v>ORION96 PROPERTIES LLC</x:v>
      </x:c>
      <x:c r="K1584" s="55" t="n">
        <x:v>41372</x:v>
      </x:c>
      <x:c r="L1584" t="str">
        <x:v>Albany</x:v>
      </x:c>
      <x:c r="M1584" t="str">
        <x:v>New York</x:v>
      </x:c>
      <x:c r="N1584" t="str">
        <x:v>DOMESTIC LIMITED LIABILITY COMPANY</x:v>
      </x:c>
      <x:c r="O1584" t="str">
        <x:v>C/O INCORPORATING SERVICES, LTD.</x:v>
      </x:c>
      <x:c r="P1584" t="str">
        <x:v>3500 S DUPONT HWY, DOVER, DE, 19901</x:v>
      </x:c>
      <x:c r="Q1584" t="str"/>
      <x:c r="R1584" t="str"/>
      <x:c r="S1584" t="str"/>
      <x:c r="T1584" t="str"/>
      <x:c r="U1584" t="str"/>
      <x:c r="V1584" t="str"/>
      <x:c r="W1584" t="str"/>
      <x:c r="X1584" t="str"/>
      <x:c r="Y1584" t="str">
        <x:v>https://data.ny.gov/Economic-Development/Active-Corporations-Beginning-1800/n9v6-gdp6</x:v>
      </x:c>
    </x:row>
    <x:row r="1585">
      <x:c r="A1585" t="str">
        <x:v>DOS-6-064</x:v>
      </x:c>
      <x:c r="B1585" t="n">
        <x:v>6</x:v>
      </x:c>
      <x:c r="C1585" t="str">
        <x:v>19C TROLLEY SQUARE, WILMINGTON, DE, 19806, US</x:v>
      </x:c>
      <x:c r="D1585" t="str">
        <x:v>TWINS ASSETS MANAGEMENT LLC</x:v>
      </x:c>
      <x:c r="E1585" t="str">
        <x:v>TWINS ASSETS MANAGEMENT, LLC.</x:v>
      </x:c>
      <x:c r="F1585" t="str">
        <x:v>Active name match</x:v>
      </x:c>
      <x:c r="G1585" t="n">
        <x:v>1</x:v>
      </x:c>
      <x:c r="H1585" t="n">
        <x:v>0</x:v>
      </x:c>
      <x:c r="I1585" t="str">
        <x:v>4384638</x:v>
      </x:c>
      <x:c r="J1585" t="str">
        <x:v>TWINS ASSETS MANAGEMENT LLC</x:v>
      </x:c>
      <x:c r="K1585" s="55" t="n">
        <x:v>41372</x:v>
      </x:c>
      <x:c r="L1585" t="str">
        <x:v>Albany</x:v>
      </x:c>
      <x:c r="M1585" t="str">
        <x:v>New York</x:v>
      </x:c>
      <x:c r="N1585" t="str">
        <x:v>DOMESTIC LIMITED LIABILITY COMPANY</x:v>
      </x:c>
      <x:c r="O1585" t="str">
        <x:v>C/O INCORPORATING SERVICES, LTD.</x:v>
      </x:c>
      <x:c r="P1585" t="str">
        <x:v>3500 S DUPONT HWY, DOVER, DE, 19901</x:v>
      </x:c>
      <x:c r="Q1585" t="str"/>
      <x:c r="R1585" t="str"/>
      <x:c r="S1585" t="str"/>
      <x:c r="T1585" t="str"/>
      <x:c r="U1585" t="str"/>
      <x:c r="V1585" t="str"/>
      <x:c r="W1585" t="str"/>
      <x:c r="X1585" t="str"/>
      <x:c r="Y1585" t="str">
        <x:v>https://data.ny.gov/Economic-Development/Active-Corporations-Beginning-1800/n9v6-gdp6</x:v>
      </x:c>
    </x:row>
    <x:row r="1586">
      <x:c r="A1586" t="str">
        <x:v>DOS-6-065</x:v>
      </x:c>
      <x:c r="B1586" t="n">
        <x:v>6</x:v>
      </x:c>
      <x:c r="C1586" t="str">
        <x:v>200 BROADWAY, BROOKLYN, NY, 11211, US</x:v>
      </x:c>
      <x:c r="D1586" t="str">
        <x:v>1465 69 71 BUSHWICK AVE LLC</x:v>
      </x:c>
      <x:c r="E1586" t="str">
        <x:v>1465-69-71 BUSHWICK AVE. LLC</x:v>
      </x:c>
      <x:c r="F1586" t="str">
        <x:v>Active name match</x:v>
      </x:c>
      <x:c r="G1586" t="n">
        <x:v>1</x:v>
      </x:c>
      <x:c r="H1586" t="n">
        <x:v>1</x:v>
      </x:c>
      <x:c r="I1586" t="str">
        <x:v>3521235</x:v>
      </x:c>
      <x:c r="J1586" t="str">
        <x:v>1465-69-71 BUSHWICK AVE. LLC</x:v>
      </x:c>
      <x:c r="K1586" s="55" t="n">
        <x:v>39225</x:v>
      </x:c>
      <x:c r="L1586" t="str">
        <x:v>Kings</x:v>
      </x:c>
      <x:c r="M1586" t="str">
        <x:v>New York</x:v>
      </x:c>
      <x:c r="N1586" t="str">
        <x:v>DOMESTIC LIMITED LIABILITY COMPANY</x:v>
      </x:c>
      <x:c r="O1586" t="str">
        <x:v>1465-69-71 BUSHWICK AVE. LLC</x:v>
      </x:c>
      <x:c r="P1586" t="str">
        <x:v>320 ROEBLING ST, SUITE 125, BROOKLYN, NY, 11211</x:v>
      </x:c>
      <x:c r="Q1586" t="str"/>
      <x:c r="R1586" t="str"/>
      <x:c r="S1586" t="str"/>
      <x:c r="T1586" t="str"/>
      <x:c r="U1586" t="str"/>
      <x:c r="V1586" t="str"/>
      <x:c r="W1586" t="str"/>
      <x:c r="X1586" t="str"/>
      <x:c r="Y1586" t="str">
        <x:v>https://data.ny.gov/Economic-Development/Active-Corporations-Beginning-1800/n9v6-gdp6</x:v>
      </x:c>
    </x:row>
    <x:row r="1587">
      <x:c r="A1587" t="str">
        <x:v>DOS-6-065</x:v>
      </x:c>
      <x:c r="B1587" t="n">
        <x:v>6</x:v>
      </x:c>
      <x:c r="C1587" t="str">
        <x:v>200 BROADWAY, BROOKLYN, NY, 11211, US</x:v>
      </x:c>
      <x:c r="D1587" t="str">
        <x:v>1743 NORMAN LLC</x:v>
      </x:c>
      <x:c r="E1587" t="str">
        <x:v>1743 NORMAN LLC</x:v>
      </x:c>
      <x:c r="F1587" t="str">
        <x:v>Address-corroborated active match</x:v>
      </x:c>
      <x:c r="G1587" t="n">
        <x:v>1</x:v>
      </x:c>
      <x:c r="H1587" t="n">
        <x:v>2</x:v>
      </x:c>
      <x:c r="I1587" t="str">
        <x:v>4463726</x:v>
      </x:c>
      <x:c r="J1587" t="str">
        <x:v>1743 NORMAN LLC</x:v>
      </x:c>
      <x:c r="K1587" s="55" t="n">
        <x:v>41542</x:v>
      </x:c>
      <x:c r="L1587" t="str">
        <x:v>Greene</x:v>
      </x:c>
      <x:c r="M1587" t="str">
        <x:v>New York</x:v>
      </x:c>
      <x:c r="N1587" t="str">
        <x:v>DOMESTIC LIMITED LIABILITY COMPANY</x:v>
      </x:c>
      <x:c r="O1587" t="str">
        <x:v>1743 NORMAN LLC</x:v>
      </x:c>
      <x:c r="P1587" t="str">
        <x:v>200 BROADWAY, BROOKLYN, NY, 11211</x:v>
      </x:c>
      <x:c r="Q1587" t="str"/>
      <x:c r="R1587" t="str"/>
      <x:c r="S1587" t="str"/>
      <x:c r="T1587" t="str"/>
      <x:c r="U1587" t="str"/>
      <x:c r="V1587" t="str"/>
      <x:c r="W1587" t="str"/>
      <x:c r="X1587" t="str"/>
      <x:c r="Y1587" t="str">
        <x:v>https://data.ny.gov/Economic-Development/Active-Corporations-Beginning-1800/n9v6-gdp6</x:v>
      </x:c>
    </x:row>
    <x:row r="1588">
      <x:c r="A1588" t="str">
        <x:v>DOS-6-065</x:v>
      </x:c>
      <x:c r="B1588" t="n">
        <x:v>6</x:v>
      </x:c>
      <x:c r="C1588" t="str">
        <x:v>200 BROADWAY, BROOKLYN, NY, 11211, US</x:v>
      </x:c>
      <x:c r="D1588" t="str">
        <x:v>243 HARMAN STREET LLC</x:v>
      </x:c>
      <x:c r="E1588" t="str">
        <x:v>243 HARMAN STREET LLC</x:v>
      </x:c>
      <x:c r="F1588" t="str">
        <x:v>Active name match</x:v>
      </x:c>
      <x:c r="G1588" t="n">
        <x:v>1</x:v>
      </x:c>
      <x:c r="H1588" t="n">
        <x:v>1</x:v>
      </x:c>
      <x:c r="I1588" t="str">
        <x:v>4451129</x:v>
      </x:c>
      <x:c r="J1588" t="str">
        <x:v>243 HARMAN STREET LLC</x:v>
      </x:c>
      <x:c r="K1588" s="55" t="n">
        <x:v>41513</x:v>
      </x:c>
      <x:c r="L1588" t="str">
        <x:v>Greene</x:v>
      </x:c>
      <x:c r="M1588" t="str">
        <x:v>New York</x:v>
      </x:c>
      <x:c r="N1588" t="str">
        <x:v>DOMESTIC LIMITED LIABILITY COMPANY</x:v>
      </x:c>
      <x:c r="O1588" t="str">
        <x:v>243 HARMAN STREET LLC</x:v>
      </x:c>
      <x:c r="P1588" t="str">
        <x:v>183 Wilson Street #127, BROOKLYN, NY, 11211</x:v>
      </x:c>
      <x:c r="Q1588" t="str"/>
      <x:c r="R1588" t="str"/>
      <x:c r="S1588" t="str"/>
      <x:c r="T1588" t="str"/>
      <x:c r="U1588" t="str"/>
      <x:c r="V1588" t="str"/>
      <x:c r="W1588" t="str"/>
      <x:c r="X1588" t="str"/>
      <x:c r="Y1588" t="str">
        <x:v>https://data.ny.gov/Economic-Development/Active-Corporations-Beginning-1800/n9v6-gdp6</x:v>
      </x:c>
    </x:row>
    <x:row r="1589">
      <x:c r="A1589" t="str">
        <x:v>DOS-6-065</x:v>
      </x:c>
      <x:c r="B1589" t="n">
        <x:v>6</x:v>
      </x:c>
      <x:c r="C1589" t="str">
        <x:v>200 BROADWAY, BROOKLYN, NY, 11211, US</x:v>
      </x:c>
      <x:c r="D1589" t="str">
        <x:v>348 HARLEM LLC</x:v>
      </x:c>
      <x:c r="E1589" t="str">
        <x:v>348 HARLEM LLC</x:v>
      </x:c>
      <x:c r="F1589" t="str">
        <x:v>Address-corroborated active match</x:v>
      </x:c>
      <x:c r="G1589" t="n">
        <x:v>1</x:v>
      </x:c>
      <x:c r="H1589" t="n">
        <x:v>2</x:v>
      </x:c>
      <x:c r="I1589" t="str">
        <x:v>4458196</x:v>
      </x:c>
      <x:c r="J1589" t="str">
        <x:v>348 HARLEM LLC</x:v>
      </x:c>
      <x:c r="K1589" s="55" t="n">
        <x:v>41529</x:v>
      </x:c>
      <x:c r="L1589" t="str">
        <x:v>Greene</x:v>
      </x:c>
      <x:c r="M1589" t="str">
        <x:v>New York</x:v>
      </x:c>
      <x:c r="N1589" t="str">
        <x:v>DOMESTIC LIMITED LIABILITY COMPANY</x:v>
      </x:c>
      <x:c r="O1589" t="str">
        <x:v>348 HARLEM LLC</x:v>
      </x:c>
      <x:c r="P1589" t="str">
        <x:v>200 BROADWAY, BROOKLYN, NY, 11211</x:v>
      </x:c>
      <x:c r="Q1589" t="str"/>
      <x:c r="R1589" t="str"/>
      <x:c r="S1589" t="str"/>
      <x:c r="T1589" t="str"/>
      <x:c r="U1589" t="str"/>
      <x:c r="V1589" t="str"/>
      <x:c r="W1589" t="str"/>
      <x:c r="X1589" t="str"/>
      <x:c r="Y1589" t="str">
        <x:v>https://data.ny.gov/Economic-Development/Active-Corporations-Beginning-1800/n9v6-gdp6</x:v>
      </x:c>
    </x:row>
    <x:row r="1590">
      <x:c r="A1590" t="str">
        <x:v>DOS-6-065</x:v>
      </x:c>
      <x:c r="B1590" t="n">
        <x:v>6</x:v>
      </x:c>
      <x:c r="C1590" t="str">
        <x:v>200 BROADWAY, BROOKLYN, NY, 11211, US</x:v>
      </x:c>
      <x:c r="D1590" t="str">
        <x:v>443 HARMAN LLC</x:v>
      </x:c>
      <x:c r="E1590" t="str">
        <x:v>443 HARMAN LLC</x:v>
      </x:c>
      <x:c r="F1590" t="str">
        <x:v>Address-corroborated active match</x:v>
      </x:c>
      <x:c r="G1590" t="n">
        <x:v>1</x:v>
      </x:c>
      <x:c r="H1590" t="n">
        <x:v>2</x:v>
      </x:c>
      <x:c r="I1590" t="str">
        <x:v>4444202</x:v>
      </x:c>
      <x:c r="J1590" t="str">
        <x:v>443 HARMAN LLC</x:v>
      </x:c>
      <x:c r="K1590" s="55" t="n">
        <x:v>41498</x:v>
      </x:c>
      <x:c r="L1590" t="str">
        <x:v>Greene</x:v>
      </x:c>
      <x:c r="M1590" t="str">
        <x:v>New York</x:v>
      </x:c>
      <x:c r="N1590" t="str">
        <x:v>DOMESTIC LIMITED LIABILITY COMPANY</x:v>
      </x:c>
      <x:c r="O1590" t="str">
        <x:v>443 HARMAN LLC</x:v>
      </x:c>
      <x:c r="P1590" t="str">
        <x:v>200 BROADWAY, BROOKLYN, NY, 11211</x:v>
      </x:c>
      <x:c r="Q1590" t="str"/>
      <x:c r="R1590" t="str"/>
      <x:c r="S1590" t="str"/>
      <x:c r="T1590" t="str"/>
      <x:c r="U1590" t="str"/>
      <x:c r="V1590" t="str"/>
      <x:c r="W1590" t="str"/>
      <x:c r="X1590" t="str"/>
      <x:c r="Y1590" t="str">
        <x:v>https://data.ny.gov/Economic-Development/Active-Corporations-Beginning-1800/n9v6-gdp6</x:v>
      </x:c>
    </x:row>
    <x:row r="1591">
      <x:c r="A1591" t="str">
        <x:v>DOS-6-065</x:v>
      </x:c>
      <x:c r="B1591" t="n">
        <x:v>6</x:v>
      </x:c>
      <x:c r="C1591" t="str">
        <x:v>200 BROADWAY, BROOKLYN, NY, 11211, US</x:v>
      </x:c>
      <x:c r="D1591" t="str">
        <x:v>804 BERGEN LLC</x:v>
      </x:c>
      <x:c r="E1591" t="str">
        <x:v>804 BERGEN LLC</x:v>
      </x:c>
      <x:c r="F1591" t="str">
        <x:v>Active name match</x:v>
      </x:c>
      <x:c r="G1591" t="n">
        <x:v>1</x:v>
      </x:c>
      <x:c r="H1591" t="n">
        <x:v>0</x:v>
      </x:c>
      <x:c r="I1591" t="str">
        <x:v>3427045</x:v>
      </x:c>
      <x:c r="J1591" t="str">
        <x:v>804 BERGEN LLC</x:v>
      </x:c>
      <x:c r="K1591" s="55" t="n">
        <x:v>39010</x:v>
      </x:c>
      <x:c r="L1591" t="str">
        <x:v>Kings</x:v>
      </x:c>
      <x:c r="M1591" t="str">
        <x:v>New York</x:v>
      </x:c>
      <x:c r="N1591" t="str">
        <x:v>DOMESTIC LIMITED LIABILITY COMPANY</x:v>
      </x:c>
      <x:c r="O1591" t="str">
        <x:v>804 BERGEN LLC</x:v>
      </x:c>
      <x:c r="P1591" t="str">
        <x:v>325 KOSCIUSZKO STREET, BROOKLYN, NY, 11221</x:v>
      </x:c>
      <x:c r="Q1591" t="str"/>
      <x:c r="R1591" t="str"/>
      <x:c r="S1591" t="str"/>
      <x:c r="T1591" t="str"/>
      <x:c r="U1591" t="str"/>
      <x:c r="V1591" t="str"/>
      <x:c r="W1591" t="str"/>
      <x:c r="X1591" t="str"/>
      <x:c r="Y1591" t="str">
        <x:v>https://data.ny.gov/Economic-Development/Active-Corporations-Beginning-1800/n9v6-gdp6</x:v>
      </x:c>
    </x:row>
    <x:row r="1592">
      <x:c r="A1592" t="str">
        <x:v>DOS-6-066</x:v>
      </x:c>
      <x:c r="B1592" t="n">
        <x:v>6</x:v>
      </x:c>
      <x:c r="C1592" t="str">
        <x:v>2148-2150 BROADWAY, NEW YORK, NY, 10023, US</x:v>
      </x:c>
      <x:c r="D1592" t="str">
        <x:v>2148 BROADWAY PH2B LLC</x:v>
      </x:c>
      <x:c r="E1592" t="str">
        <x:v>2148 BROADWAY PH2B, LLC</x:v>
      </x:c>
      <x:c r="F1592" t="str">
        <x:v>Active name match</x:v>
      </x:c>
      <x:c r="G1592" t="n">
        <x:v>1</x:v>
      </x:c>
      <x:c r="H1592" t="n">
        <x:v>0</x:v>
      </x:c>
      <x:c r="I1592" t="str">
        <x:v>4081834</x:v>
      </x:c>
      <x:c r="J1592" t="str">
        <x:v>2148 BROADWAY PH2B, LLC</x:v>
      </x:c>
      <x:c r="K1592" s="55" t="n">
        <x:v>40647</x:v>
      </x:c>
      <x:c r="L1592" t="str">
        <x:v>New York</x:v>
      </x:c>
      <x:c r="M1592" t="str">
        <x:v>New York</x:v>
      </x:c>
      <x:c r="N1592" t="str">
        <x:v>DOMESTIC LIMITED LIABILITY COMPANY</x:v>
      </x:c>
      <x:c r="O1592" t="str">
        <x:v>2148 BROADWAY PH2B, LLC</x:v>
      </x:c>
      <x:c r="P1592" t="str">
        <x:v>C/O VAL MANDEL, P.C., 40 EXCHANGE PLACE, SUITE 1203, NEW YORK, NY, 10005</x:v>
      </x:c>
      <x:c r="Q1592" t="str"/>
      <x:c r="R1592" t="str"/>
      <x:c r="S1592" t="str"/>
      <x:c r="T1592" t="str"/>
      <x:c r="U1592" t="str"/>
      <x:c r="V1592" t="str"/>
      <x:c r="W1592" t="str"/>
      <x:c r="X1592" t="str"/>
      <x:c r="Y1592" t="str">
        <x:v>https://data.ny.gov/Economic-Development/Active-Corporations-Beginning-1800/n9v6-gdp6</x:v>
      </x:c>
    </x:row>
    <x:row r="1593">
      <x:c r="A1593" t="str">
        <x:v>DOS-6-066</x:v>
      </x:c>
      <x:c r="B1593" t="n">
        <x:v>6</x:v>
      </x:c>
      <x:c r="C1593" t="str">
        <x:v>2148-2150 BROADWAY, NEW YORK, NY, 10023, US</x:v>
      </x:c>
      <x:c r="D1593" t="str">
        <x:v>2150 BROADWAY 5F LLC</x:v>
      </x:c>
      <x:c r="E1593" t="str">
        <x:v>2150 BROADWAY 5F LLC</x:v>
      </x:c>
      <x:c r="F1593" t="str">
        <x:v>Active name match</x:v>
      </x:c>
      <x:c r="G1593" t="n">
        <x:v>1</x:v>
      </x:c>
      <x:c r="H1593" t="n">
        <x:v>0</x:v>
      </x:c>
      <x:c r="I1593" t="str">
        <x:v>4101103</x:v>
      </x:c>
      <x:c r="J1593" t="str">
        <x:v>2150 BROADWAY 5F LLC</x:v>
      </x:c>
      <x:c r="K1593" s="55" t="n">
        <x:v>40695</x:v>
      </x:c>
      <x:c r="L1593" t="str">
        <x:v>Westchester</x:v>
      </x:c>
      <x:c r="M1593" t="str">
        <x:v>New York</x:v>
      </x:c>
      <x:c r="N1593" t="str">
        <x:v>DOMESTIC LIMITED LIABILITY COMPANY</x:v>
      </x:c>
      <x:c r="O1593" t="str">
        <x:v>UNITED CORPORATE SERVICES, INC.</x:v>
      </x:c>
      <x:c r="P1593" t="str">
        <x:v>10 BANK STREET,, ste 560, WHITE PLAINS, NY, 10606</x:v>
      </x:c>
      <x:c r="Q1593" t="str"/>
      <x:c r="R1593" t="str"/>
      <x:c r="S1593" t="str"/>
      <x:c r="T1593" t="str"/>
      <x:c r="U1593" t="str"/>
      <x:c r="V1593" t="str"/>
      <x:c r="W1593" t="str"/>
      <x:c r="X1593" t="str"/>
      <x:c r="Y1593" t="str">
        <x:v>https://data.ny.gov/Economic-Development/Active-Corporations-Beginning-1800/n9v6-gdp6</x:v>
      </x:c>
    </x:row>
    <x:row r="1594">
      <x:c r="A1594" t="str">
        <x:v>DOS-6-066</x:v>
      </x:c>
      <x:c r="B1594" t="n">
        <x:v>6</x:v>
      </x:c>
      <x:c r="C1594" t="str">
        <x:v>2148-2150 BROADWAY, NEW YORK, NY, 10023, US</x:v>
      </x:c>
      <x:c r="D1594" t="str">
        <x:v>2150 BROADWAY 6E OWNERSHIP LLC</x:v>
      </x:c>
      <x:c r="E1594" t="str">
        <x:v>2150 BROADWAY 6E OWNERSHIP LLC</x:v>
      </x:c>
      <x:c r="F1594" t="str">
        <x:v>Active name match</x:v>
      </x:c>
      <x:c r="G1594" t="n">
        <x:v>1</x:v>
      </x:c>
      <x:c r="H1594" t="n">
        <x:v>0</x:v>
      </x:c>
      <x:c r="I1594" t="str">
        <x:v>4129095</x:v>
      </x:c>
      <x:c r="J1594" t="str">
        <x:v>2150 BROADWAY 6E OWNERSHIP LLC</x:v>
      </x:c>
      <x:c r="K1594" s="55" t="n">
        <x:v>40765</x:v>
      </x:c>
      <x:c r="L1594" t="str">
        <x:v>New York</x:v>
      </x:c>
      <x:c r="M1594" t="str">
        <x:v>New York</x:v>
      </x:c>
      <x:c r="N1594" t="str">
        <x:v>DOMESTIC LIMITED LIABILITY COMPANY</x:v>
      </x:c>
      <x:c r="O1594" t="str">
        <x:v>C T CORPORATION SYSTEM</x:v>
      </x:c>
      <x:c r="P1594" t="str">
        <x:v>28 LIBERTY ST., NEW YORK, NY, 10005</x:v>
      </x:c>
      <x:c r="Q1594" t="str"/>
      <x:c r="R1594" t="str"/>
      <x:c r="S1594" t="str">
        <x:v>C T CORPORATION SYSTEM</x:v>
      </x:c>
      <x:c r="T1594" t="str">
        <x:v>28 LIBERTY ST., NEW YORK, NEW YORK, 10005</x:v>
      </x:c>
      <x:c r="U1594" t="str"/>
      <x:c r="V1594" t="str"/>
      <x:c r="W1594" t="str"/>
      <x:c r="X1594" t="str"/>
      <x:c r="Y1594" t="str">
        <x:v>https://data.ny.gov/Economic-Development/Active-Corporations-Beginning-1800/n9v6-gdp6</x:v>
      </x:c>
    </x:row>
    <x:row r="1595">
      <x:c r="A1595" t="str">
        <x:v>DOS-6-066</x:v>
      </x:c>
      <x:c r="B1595" t="n">
        <x:v>6</x:v>
      </x:c>
      <x:c r="C1595" t="str">
        <x:v>2148-2150 BROADWAY, NEW YORK, NY, 10023, US</x:v>
      </x:c>
      <x:c r="D1595" t="str">
        <x:v>2192 MILES LLC</x:v>
      </x:c>
      <x:c r="E1595" t="str">
        <x:v>2192 MILES LLC</x:v>
      </x:c>
      <x:c r="F1595" t="str">
        <x:v>Active name match</x:v>
      </x:c>
      <x:c r="G1595" t="n">
        <x:v>1</x:v>
      </x:c>
      <x:c r="H1595" t="n">
        <x:v>0</x:v>
      </x:c>
      <x:c r="I1595" t="str">
        <x:v>4156498</x:v>
      </x:c>
      <x:c r="J1595" t="str">
        <x:v>2192 MILES LLC</x:v>
      </x:c>
      <x:c r="K1595" s="55" t="n">
        <x:v>40837</x:v>
      </x:c>
      <x:c r="L1595" t="str">
        <x:v>New York</x:v>
      </x:c>
      <x:c r="M1595" t="str">
        <x:v>New York</x:v>
      </x:c>
      <x:c r="N1595" t="str">
        <x:v>DOMESTIC LIMITED LIABILITY COMPANY</x:v>
      </x:c>
      <x:c r="O1595" t="str">
        <x:v>2192 MILES LLC</x:v>
      </x:c>
      <x:c r="P1595" t="str">
        <x:v>C/O COHEN &amp; FRANKEL, LLP, 11 EAST 44TH ST, #1800, NEW YORK, NY, 10017</x:v>
      </x:c>
      <x:c r="Q1595" t="str"/>
      <x:c r="R1595" t="str"/>
      <x:c r="S1595" t="str"/>
      <x:c r="T1595" t="str"/>
      <x:c r="U1595" t="str"/>
      <x:c r="V1595" t="str"/>
      <x:c r="W1595" t="str"/>
      <x:c r="X1595" t="str"/>
      <x:c r="Y1595" t="str">
        <x:v>https://data.ny.gov/Economic-Development/Active-Corporations-Beginning-1800/n9v6-gdp6</x:v>
      </x:c>
    </x:row>
    <x:row r="1596">
      <x:c r="A1596" t="str">
        <x:v>DOS-6-066</x:v>
      </x:c>
      <x:c r="B1596" t="n">
        <x:v>6</x:v>
      </x:c>
      <x:c r="C1596" t="str">
        <x:v>2148-2150 BROADWAY, NEW YORK, NY, 10023, US</x:v>
      </x:c>
      <x:c r="D1596" t="str">
        <x:v>GREENDAYS LLC</x:v>
      </x:c>
      <x:c r="E1596" t="str">
        <x:v>GREENDAYS, LLC</x:v>
      </x:c>
      <x:c r="F1596" t="str">
        <x:v>Active name match</x:v>
      </x:c>
      <x:c r="G1596" t="n">
        <x:v>1</x:v>
      </x:c>
      <x:c r="H1596" t="n">
        <x:v>0</x:v>
      </x:c>
      <x:c r="I1596" t="str">
        <x:v>4156504</x:v>
      </x:c>
      <x:c r="J1596" t="str">
        <x:v>GREENDAYS, LLC</x:v>
      </x:c>
      <x:c r="K1596" s="55" t="n">
        <x:v>40837</x:v>
      </x:c>
      <x:c r="L1596" t="str">
        <x:v>New York</x:v>
      </x:c>
      <x:c r="M1596" t="str">
        <x:v>New York</x:v>
      </x:c>
      <x:c r="N1596" t="str">
        <x:v>DOMESTIC LIMITED LIABILITY COMPANY</x:v>
      </x:c>
      <x:c r="O1596" t="str">
        <x:v>GREENDAYS, LLC</x:v>
      </x:c>
      <x:c r="P1596" t="str">
        <x:v>C/O COHEN &amp; FRANKEL, LLP, 11 EAST 44TH ST, STE 1800, NEW YORK, NY, 10017</x:v>
      </x:c>
      <x:c r="Q1596" t="str"/>
      <x:c r="R1596" t="str"/>
      <x:c r="S1596" t="str"/>
      <x:c r="T1596" t="str"/>
      <x:c r="U1596" t="str"/>
      <x:c r="V1596" t="str"/>
      <x:c r="W1596" t="str"/>
      <x:c r="X1596" t="str"/>
      <x:c r="Y1596" t="str">
        <x:v>https://data.ny.gov/Economic-Development/Active-Corporations-Beginning-1800/n9v6-gdp6</x:v>
      </x:c>
    </x:row>
    <x:row r="1597">
      <x:c r="A1597" t="str">
        <x:v>DOS-6-066</x:v>
      </x:c>
      <x:c r="B1597" t="n">
        <x:v>6</x:v>
      </x:c>
      <x:c r="C1597" t="str">
        <x:v>2148-2150 BROADWAY, NEW YORK, NY, 10023, US</x:v>
      </x:c>
      <x:c r="D1597" t="str">
        <x:v>LAUREATE 5C LLC</x:v>
      </x:c>
      <x:c r="E1597" t="str">
        <x:v>LAUREATE 5C, LLC</x:v>
      </x:c>
      <x:c r="F1597" t="str">
        <x:v>No active DOS match</x:v>
      </x:c>
      <x:c r="G1597" t="n">
        <x:v>0</x:v>
      </x:c>
      <x:c r="H1597" t="n">
        <x:v>0</x:v>
      </x:c>
      <x:c r="I1597" t="str"/>
      <x:c r="J1597" t="str"/>
      <x:c r="K1597" s="55" t="str"/>
      <x:c r="L1597" t="str"/>
      <x:c r="M1597" t="str"/>
      <x:c r="N1597" t="str"/>
      <x:c r="O1597" t="str"/>
      <x:c r="P1597" t="str"/>
      <x:c r="Q1597" t="str"/>
      <x:c r="R1597" t="str"/>
      <x:c r="S1597" t="str"/>
      <x:c r="T1597" t="str"/>
      <x:c r="U1597" t="str"/>
      <x:c r="V1597" t="str"/>
      <x:c r="W1597" t="str"/>
      <x:c r="X1597" t="str"/>
      <x:c r="Y1597" t="str">
        <x:v>https://data.ny.gov/Economic-Development/Active-Corporations-Beginning-1800/n9v6-gdp6</x:v>
      </x:c>
    </x:row>
    <x:row r="1598">
      <x:c r="A1598" t="str">
        <x:v>DOS-6-067</x:v>
      </x:c>
      <x:c r="B1598" t="n">
        <x:v>6</x:v>
      </x:c>
      <x:c r="C1598" t="str">
        <x:v>2161 81ST STREET, BROOKLYN, NY, 11214, US</x:v>
      </x:c>
      <x:c r="D1598" t="str">
        <x:v>2161 81ST STREET LLC</x:v>
      </x:c>
      <x:c r="E1598" t="str">
        <x:v>2161 81ST STREET LLC</x:v>
      </x:c>
      <x:c r="F1598" t="str">
        <x:v>Address-corroborated active match</x:v>
      </x:c>
      <x:c r="G1598" t="n">
        <x:v>1</x:v>
      </x:c>
      <x:c r="H1598" t="n">
        <x:v>2</x:v>
      </x:c>
      <x:c r="I1598" t="str">
        <x:v>7403395</x:v>
      </x:c>
      <x:c r="J1598" t="str">
        <x:v>2161 81ST STREET LLC</x:v>
      </x:c>
      <x:c r="K1598" s="55" t="n">
        <x:v>45526</x:v>
      </x:c>
      <x:c r="L1598" t="str">
        <x:v>Albany</x:v>
      </x:c>
      <x:c r="M1598" t="str">
        <x:v>New York</x:v>
      </x:c>
      <x:c r="N1598" t="str">
        <x:v>DOMESTIC LIMITED LIABILITY COMPANY</x:v>
      </x:c>
      <x:c r="O1598" t="str">
        <x:v>THE LIMITED LIABILITY COMPANY</x:v>
      </x:c>
      <x:c r="P1598" t="str">
        <x:v>2161 81st Street, Brooklyn, NY, 11214</x:v>
      </x:c>
      <x:c r="Q1598" t="str"/>
      <x:c r="R1598" t="str"/>
      <x:c r="S1598" t="str"/>
      <x:c r="T1598" t="str"/>
      <x:c r="U1598" t="str"/>
      <x:c r="V1598" t="str"/>
      <x:c r="W1598" t="str"/>
      <x:c r="X1598" t="str"/>
      <x:c r="Y1598" t="str">
        <x:v>https://data.ny.gov/Economic-Development/Active-Corporations-Beginning-1800/n9v6-gdp6</x:v>
      </x:c>
    </x:row>
    <x:row r="1599">
      <x:c r="A1599" t="str">
        <x:v>DOS-6-067</x:v>
      </x:c>
      <x:c r="B1599" t="n">
        <x:v>6</x:v>
      </x:c>
      <x:c r="C1599" t="str">
        <x:v>2161 81ST STREET, BROOKLYN, NY, 11214, US</x:v>
      </x:c>
      <x:c r="D1599" t="str">
        <x:v>6208 4TH AVENUE LLC</x:v>
      </x:c>
      <x:c r="E1599" t="str">
        <x:v>6208 4TH AVENUE LLC</x:v>
      </x:c>
      <x:c r="F1599" t="str">
        <x:v>Address-corroborated active match</x:v>
      </x:c>
      <x:c r="G1599" t="n">
        <x:v>1</x:v>
      </x:c>
      <x:c r="H1599" t="n">
        <x:v>2</x:v>
      </x:c>
      <x:c r="I1599" t="str">
        <x:v>7428563</x:v>
      </x:c>
      <x:c r="J1599" t="str">
        <x:v>6208 4TH AVENUE LLC</x:v>
      </x:c>
      <x:c r="K1599" s="55" t="n">
        <x:v>45560</x:v>
      </x:c>
      <x:c r="L1599" t="str">
        <x:v>Albany</x:v>
      </x:c>
      <x:c r="M1599" t="str">
        <x:v>New York</x:v>
      </x:c>
      <x:c r="N1599" t="str">
        <x:v>DOMESTIC LIMITED LIABILITY COMPANY</x:v>
      </x:c>
      <x:c r="O1599" t="str">
        <x:v>THE LIMITED LIABILITY COMPANY</x:v>
      </x:c>
      <x:c r="P1599" t="str">
        <x:v>2161 81st Street, Brooklyn, NY, 11214</x:v>
      </x:c>
      <x:c r="Q1599" t="str"/>
      <x:c r="R1599" t="str"/>
      <x:c r="S1599" t="str"/>
      <x:c r="T1599" t="str"/>
      <x:c r="U1599" t="str"/>
      <x:c r="V1599" t="str"/>
      <x:c r="W1599" t="str"/>
      <x:c r="X1599" t="str"/>
      <x:c r="Y1599" t="str">
        <x:v>https://data.ny.gov/Economic-Development/Active-Corporations-Beginning-1800/n9v6-gdp6</x:v>
      </x:c>
    </x:row>
    <x:row r="1600">
      <x:c r="A1600" t="str">
        <x:v>DOS-6-067</x:v>
      </x:c>
      <x:c r="B1600" t="n">
        <x:v>6</x:v>
      </x:c>
      <x:c r="C1600" t="str">
        <x:v>2161 81ST STREET, BROOKLYN, NY, 11214, US</x:v>
      </x:c>
      <x:c r="D1600" t="str">
        <x:v>6317 4TH AVENUE LLC</x:v>
      </x:c>
      <x:c r="E1600" t="str">
        <x:v>6317 4TH AVENUE LLC</x:v>
      </x:c>
      <x:c r="F1600" t="str">
        <x:v>Address-corroborated active match</x:v>
      </x:c>
      <x:c r="G1600" t="n">
        <x:v>1</x:v>
      </x:c>
      <x:c r="H1600" t="n">
        <x:v>2</x:v>
      </x:c>
      <x:c r="I1600" t="str">
        <x:v>7428565</x:v>
      </x:c>
      <x:c r="J1600" t="str">
        <x:v>6317 4TH AVENUE LLC</x:v>
      </x:c>
      <x:c r="K1600" s="55" t="n">
        <x:v>45560</x:v>
      </x:c>
      <x:c r="L1600" t="str">
        <x:v>Albany</x:v>
      </x:c>
      <x:c r="M1600" t="str">
        <x:v>New York</x:v>
      </x:c>
      <x:c r="N1600" t="str">
        <x:v>DOMESTIC LIMITED LIABILITY COMPANY</x:v>
      </x:c>
      <x:c r="O1600" t="str">
        <x:v>THE LIMITED LIABILITY COMPANY</x:v>
      </x:c>
      <x:c r="P1600" t="str">
        <x:v>2161 81st Street, Brooklyn, NY, 11214</x:v>
      </x:c>
      <x:c r="Q1600" t="str"/>
      <x:c r="R1600" t="str"/>
      <x:c r="S1600" t="str"/>
      <x:c r="T1600" t="str"/>
      <x:c r="U1600" t="str"/>
      <x:c r="V1600" t="str"/>
      <x:c r="W1600" t="str"/>
      <x:c r="X1600" t="str"/>
      <x:c r="Y1600" t="str">
        <x:v>https://data.ny.gov/Economic-Development/Active-Corporations-Beginning-1800/n9v6-gdp6</x:v>
      </x:c>
    </x:row>
    <x:row r="1601">
      <x:c r="A1601" t="str">
        <x:v>DOS-6-067</x:v>
      </x:c>
      <x:c r="B1601" t="n">
        <x:v>6</x:v>
      </x:c>
      <x:c r="C1601" t="str">
        <x:v>2161 81ST STREET, BROOKLYN, NY, 11214, US</x:v>
      </x:c>
      <x:c r="D1601" t="str">
        <x:v>6321 4TH AVENUE LLC</x:v>
      </x:c>
      <x:c r="E1601" t="str">
        <x:v>6321 4TH AVENUE LLC</x:v>
      </x:c>
      <x:c r="F1601" t="str">
        <x:v>Address-corroborated active match</x:v>
      </x:c>
      <x:c r="G1601" t="n">
        <x:v>1</x:v>
      </x:c>
      <x:c r="H1601" t="n">
        <x:v>2</x:v>
      </x:c>
      <x:c r="I1601" t="str">
        <x:v>7428571</x:v>
      </x:c>
      <x:c r="J1601" t="str">
        <x:v>6321 4TH AVENUE LLC</x:v>
      </x:c>
      <x:c r="K1601" s="55" t="n">
        <x:v>45560</x:v>
      </x:c>
      <x:c r="L1601" t="str">
        <x:v>Albany</x:v>
      </x:c>
      <x:c r="M1601" t="str">
        <x:v>New York</x:v>
      </x:c>
      <x:c r="N1601" t="str">
        <x:v>DOMESTIC LIMITED LIABILITY COMPANY</x:v>
      </x:c>
      <x:c r="O1601" t="str">
        <x:v>THE LIMITED LIABILITY COMPANY</x:v>
      </x:c>
      <x:c r="P1601" t="str">
        <x:v>2161 81st Street, Brooklyn, NY, 11214</x:v>
      </x:c>
      <x:c r="Q1601" t="str"/>
      <x:c r="R1601" t="str"/>
      <x:c r="S1601" t="str"/>
      <x:c r="T1601" t="str"/>
      <x:c r="U1601" t="str"/>
      <x:c r="V1601" t="str"/>
      <x:c r="W1601" t="str"/>
      <x:c r="X1601" t="str"/>
      <x:c r="Y1601" t="str">
        <x:v>https://data.ny.gov/Economic-Development/Active-Corporations-Beginning-1800/n9v6-gdp6</x:v>
      </x:c>
    </x:row>
    <x:row r="1602">
      <x:c r="A1602" t="str">
        <x:v>DOS-6-067</x:v>
      </x:c>
      <x:c r="B1602" t="n">
        <x:v>6</x:v>
      </x:c>
      <x:c r="C1602" t="str">
        <x:v>2161 81ST STREET, BROOKLYN, NY, 11214, US</x:v>
      </x:c>
      <x:c r="D1602" t="str">
        <x:v>823 65TH STREET LLC</x:v>
      </x:c>
      <x:c r="E1602" t="str">
        <x:v>823 65TH STREET LLC</x:v>
      </x:c>
      <x:c r="F1602" t="str">
        <x:v>Address-corroborated active match</x:v>
      </x:c>
      <x:c r="G1602" t="n">
        <x:v>1</x:v>
      </x:c>
      <x:c r="H1602" t="n">
        <x:v>2</x:v>
      </x:c>
      <x:c r="I1602" t="str">
        <x:v>7428574</x:v>
      </x:c>
      <x:c r="J1602" t="str">
        <x:v>823 65TH STREET LLC</x:v>
      </x:c>
      <x:c r="K1602" s="55" t="n">
        <x:v>45560</x:v>
      </x:c>
      <x:c r="L1602" t="str">
        <x:v>Albany</x:v>
      </x:c>
      <x:c r="M1602" t="str">
        <x:v>New York</x:v>
      </x:c>
      <x:c r="N1602" t="str">
        <x:v>DOMESTIC LIMITED LIABILITY COMPANY</x:v>
      </x:c>
      <x:c r="O1602" t="str">
        <x:v>THE LIMITED LIABILITY COMPANY</x:v>
      </x:c>
      <x:c r="P1602" t="str">
        <x:v>2161 81st Street, Brooklyn, NY, 11214</x:v>
      </x:c>
      <x:c r="Q1602" t="str"/>
      <x:c r="R1602" t="str"/>
      <x:c r="S1602" t="str"/>
      <x:c r="T1602" t="str"/>
      <x:c r="U1602" t="str"/>
      <x:c r="V1602" t="str"/>
      <x:c r="W1602" t="str"/>
      <x:c r="X1602" t="str"/>
      <x:c r="Y1602" t="str">
        <x:v>https://data.ny.gov/Economic-Development/Active-Corporations-Beginning-1800/n9v6-gdp6</x:v>
      </x:c>
    </x:row>
    <x:row r="1603">
      <x:c r="A1603" t="str">
        <x:v>DOS-6-067</x:v>
      </x:c>
      <x:c r="B1603" t="n">
        <x:v>6</x:v>
      </x:c>
      <x:c r="C1603" t="str">
        <x:v>2161 81ST STREET, BROOKLYN, NY, 11214, US</x:v>
      </x:c>
      <x:c r="D1603" t="str">
        <x:v>ALVIN BERGER LLC</x:v>
      </x:c>
      <x:c r="E1603" t="str">
        <x:v>ALVIN BERGER LLC</x:v>
      </x:c>
      <x:c r="F1603" t="str">
        <x:v>Active name match</x:v>
      </x:c>
      <x:c r="G1603" t="n">
        <x:v>1</x:v>
      </x:c>
      <x:c r="H1603" t="n">
        <x:v>0</x:v>
      </x:c>
      <x:c r="I1603" t="str">
        <x:v>5678824</x:v>
      </x:c>
      <x:c r="J1603" t="str">
        <x:v>ALVIN BERGER LLC</x:v>
      </x:c>
      <x:c r="K1603" s="55" t="n">
        <x:v>43829</x:v>
      </x:c>
      <x:c r="L1603" t="str">
        <x:v>Kings</x:v>
      </x:c>
      <x:c r="M1603" t="str">
        <x:v>New York</x:v>
      </x:c>
      <x:c r="N1603" t="str">
        <x:v>DOMESTIC LIMITED LIABILITY COMPANY</x:v>
      </x:c>
      <x:c r="O1603" t="str">
        <x:v>JOSEPH KLEIN ESQ.</x:v>
      </x:c>
      <x:c r="P1603" t="str">
        <x:v>2926 AVENUE L, BROOKLYN, NY, 11210</x:v>
      </x:c>
      <x:c r="Q1603" t="str"/>
      <x:c r="R1603" t="str"/>
      <x:c r="S1603" t="str"/>
      <x:c r="T1603" t="str"/>
      <x:c r="U1603" t="str"/>
      <x:c r="V1603" t="str"/>
      <x:c r="W1603" t="str"/>
      <x:c r="X1603" t="str"/>
      <x:c r="Y1603" t="str">
        <x:v>https://data.ny.gov/Economic-Development/Active-Corporations-Beginning-1800/n9v6-gdp6</x:v>
      </x:c>
    </x:row>
    <x:row r="1604">
      <x:c r="A1604" t="str">
        <x:v>DOS-6-068</x:v>
      </x:c>
      <x:c r="B1604" t="n">
        <x:v>6</x:v>
      </x:c>
      <x:c r="C1604" t="str">
        <x:v>2209 AVENUE K, BROOKLYN, NY, 11210, US</x:v>
      </x:c>
      <x:c r="D1604" t="str">
        <x:v>136 79 ROOSEVELT AVENUE LLC</x:v>
      </x:c>
      <x:c r="E1604" t="str">
        <x:v>136-79 ROOSEVELT AVENUE LLC</x:v>
      </x:c>
      <x:c r="F1604" t="str">
        <x:v>Active name match</x:v>
      </x:c>
      <x:c r="G1604" t="n">
        <x:v>1</x:v>
      </x:c>
      <x:c r="H1604" t="n">
        <x:v>0</x:v>
      </x:c>
      <x:c r="I1604" t="str">
        <x:v>3776652</x:v>
      </x:c>
      <x:c r="J1604" t="str">
        <x:v>136-79 ROOSEVELT AVENUE LLC</x:v>
      </x:c>
      <x:c r="K1604" s="55" t="n">
        <x:v>39863</x:v>
      </x:c>
      <x:c r="L1604" t="str">
        <x:v>Queens</x:v>
      </x:c>
      <x:c r="M1604" t="str">
        <x:v>New York</x:v>
      </x:c>
      <x:c r="N1604" t="str">
        <x:v>DOMESTIC LIMITED LIABILITY COMPANY</x:v>
      </x:c>
      <x:c r="O1604" t="str">
        <x:v>MICHAEL MENAHEM</x:v>
      </x:c>
      <x:c r="P1604" t="str">
        <x:v>323 WALL STREET, WEST LONG BRANCH, NJ, 07764</x:v>
      </x:c>
      <x:c r="Q1604" t="str"/>
      <x:c r="R1604" t="str"/>
      <x:c r="S1604" t="str"/>
      <x:c r="T1604" t="str"/>
      <x:c r="U1604" t="str"/>
      <x:c r="V1604" t="str"/>
      <x:c r="W1604" t="str"/>
      <x:c r="X1604" t="str"/>
      <x:c r="Y1604" t="str">
        <x:v>https://data.ny.gov/Economic-Development/Active-Corporations-Beginning-1800/n9v6-gdp6</x:v>
      </x:c>
    </x:row>
    <x:row r="1605">
      <x:c r="A1605" t="str">
        <x:v>DOS-6-068</x:v>
      </x:c>
      <x:c r="B1605" t="n">
        <x:v>6</x:v>
      </x:c>
      <x:c r="C1605" t="str">
        <x:v>2209 AVENUE K, BROOKLYN, NY, 11210, US</x:v>
      </x:c>
      <x:c r="D1605" t="str">
        <x:v>136 80 ROOSEVELT AVENUE LLC</x:v>
      </x:c>
      <x:c r="E1605" t="str">
        <x:v>136-80 ROOSEVELT AVENUE LLC</x:v>
      </x:c>
      <x:c r="F1605" t="str">
        <x:v>Active name match</x:v>
      </x:c>
      <x:c r="G1605" t="n">
        <x:v>1</x:v>
      </x:c>
      <x:c r="H1605" t="n">
        <x:v>0</x:v>
      </x:c>
      <x:c r="I1605" t="str">
        <x:v>3776654</x:v>
      </x:c>
      <x:c r="J1605" t="str">
        <x:v>136-80 ROOSEVELT AVENUE LLC</x:v>
      </x:c>
      <x:c r="K1605" s="55" t="n">
        <x:v>39863</x:v>
      </x:c>
      <x:c r="L1605" t="str">
        <x:v>Queens</x:v>
      </x:c>
      <x:c r="M1605" t="str">
        <x:v>New York</x:v>
      </x:c>
      <x:c r="N1605" t="str">
        <x:v>DOMESTIC LIMITED LIABILITY COMPANY</x:v>
      </x:c>
      <x:c r="O1605" t="str">
        <x:v>JACK ABOUD</x:v>
      </x:c>
      <x:c r="P1605" t="str">
        <x:v>26 WOODBOROUGH WAY, THE WOODLANDS, TX, 77389</x:v>
      </x:c>
      <x:c r="Q1605" t="str"/>
      <x:c r="R1605" t="str"/>
      <x:c r="S1605" t="str"/>
      <x:c r="T1605" t="str"/>
      <x:c r="U1605" t="str"/>
      <x:c r="V1605" t="str"/>
      <x:c r="W1605" t="str"/>
      <x:c r="X1605" t="str"/>
      <x:c r="Y1605" t="str">
        <x:v>https://data.ny.gov/Economic-Development/Active-Corporations-Beginning-1800/n9v6-gdp6</x:v>
      </x:c>
    </x:row>
    <x:row r="1606">
      <x:c r="A1606" t="str">
        <x:v>DOS-6-068</x:v>
      </x:c>
      <x:c r="B1606" t="n">
        <x:v>6</x:v>
      </x:c>
      <x:c r="C1606" t="str">
        <x:v>2209 AVENUE K, BROOKLYN, NY, 11210, US</x:v>
      </x:c>
      <x:c r="D1606" t="str">
        <x:v>22 32 31ST STREET LLC</x:v>
      </x:c>
      <x:c r="E1606" t="str">
        <x:v>22-32 31ST STREET LLC</x:v>
      </x:c>
      <x:c r="F1606" t="str">
        <x:v>Active name match</x:v>
      </x:c>
      <x:c r="G1606" t="n">
        <x:v>1</x:v>
      </x:c>
      <x:c r="H1606" t="n">
        <x:v>0</x:v>
      </x:c>
      <x:c r="I1606" t="str">
        <x:v>3776703</x:v>
      </x:c>
      <x:c r="J1606" t="str">
        <x:v>22-32 31ST STREET LLC</x:v>
      </x:c>
      <x:c r="K1606" s="55" t="n">
        <x:v>39863</x:v>
      </x:c>
      <x:c r="L1606" t="str">
        <x:v>Kings</x:v>
      </x:c>
      <x:c r="M1606" t="str">
        <x:v>New York</x:v>
      </x:c>
      <x:c r="N1606" t="str">
        <x:v>DOMESTIC LIMITED LIABILITY COMPANY</x:v>
      </x:c>
      <x:c r="O1606" t="str">
        <x:v>22-32 31ST STREET LLC</x:v>
      </x:c>
      <x:c r="P1606" t="str">
        <x:v>323 WALL STREET, WEST LONG BRANCH, NJ, 07764</x:v>
      </x:c>
      <x:c r="Q1606" t="str"/>
      <x:c r="R1606" t="str"/>
      <x:c r="S1606" t="str"/>
      <x:c r="T1606" t="str"/>
      <x:c r="U1606" t="str"/>
      <x:c r="V1606" t="str"/>
      <x:c r="W1606" t="str"/>
      <x:c r="X1606" t="str"/>
      <x:c r="Y1606" t="str">
        <x:v>https://data.ny.gov/Economic-Development/Active-Corporations-Beginning-1800/n9v6-gdp6</x:v>
      </x:c>
    </x:row>
    <x:row r="1607">
      <x:c r="A1607" t="str">
        <x:v>DOS-6-068</x:v>
      </x:c>
      <x:c r="B1607" t="n">
        <x:v>6</x:v>
      </x:c>
      <x:c r="C1607" t="str">
        <x:v>2209 AVENUE K, BROOKLYN, NY, 11210, US</x:v>
      </x:c>
      <x:c r="D1607" t="str">
        <x:v>283 EAST 204TH STREET LLC</x:v>
      </x:c>
      <x:c r="E1607" t="str">
        <x:v>283 EAST 204TH STREET, LLC</x:v>
      </x:c>
      <x:c r="F1607" t="str">
        <x:v>Active name match</x:v>
      </x:c>
      <x:c r="G1607" t="n">
        <x:v>1</x:v>
      </x:c>
      <x:c r="H1607" t="n">
        <x:v>1</x:v>
      </x:c>
      <x:c r="I1607" t="str">
        <x:v>3763398</x:v>
      </x:c>
      <x:c r="J1607" t="str">
        <x:v>283 EAST 204TH STREET, LLC</x:v>
      </x:c>
      <x:c r="K1607" s="55" t="n">
        <x:v>39828</x:v>
      </x:c>
      <x:c r="L1607" t="str">
        <x:v>Kings</x:v>
      </x:c>
      <x:c r="M1607" t="str">
        <x:v>New York</x:v>
      </x:c>
      <x:c r="N1607" t="str">
        <x:v>DOMESTIC LIMITED LIABILITY COMPANY</x:v>
      </x:c>
      <x:c r="O1607" t="str">
        <x:v>ABE ABBOUD</x:v>
      </x:c>
      <x:c r="P1607" t="str">
        <x:v>2209 AVE K, BROOKLYN, NY, 112103635</x:v>
      </x:c>
      <x:c r="Q1607" t="str"/>
      <x:c r="R1607" t="str"/>
      <x:c r="S1607" t="str"/>
      <x:c r="T1607" t="str"/>
      <x:c r="U1607" t="str"/>
      <x:c r="V1607" t="str"/>
      <x:c r="W1607" t="str"/>
      <x:c r="X1607" t="str"/>
      <x:c r="Y1607" t="str">
        <x:v>https://data.ny.gov/Economic-Development/Active-Corporations-Beginning-1800/n9v6-gdp6</x:v>
      </x:c>
    </x:row>
    <x:row r="1608">
      <x:c r="A1608" t="str">
        <x:v>DOS-6-068</x:v>
      </x:c>
      <x:c r="B1608" t="n">
        <x:v>6</x:v>
      </x:c>
      <x:c r="C1608" t="str">
        <x:v>2209 AVENUE K, BROOKLYN, NY, 11210, US</x:v>
      </x:c>
      <x:c r="D1608" t="str">
        <x:v>37 66 JUNCTION BLVD LLC</x:v>
      </x:c>
      <x:c r="E1608" t="str">
        <x:v>37-66 JUNCTION BLVD LLC</x:v>
      </x:c>
      <x:c r="F1608" t="str">
        <x:v>Address-corroborated active match</x:v>
      </x:c>
      <x:c r="G1608" t="n">
        <x:v>1</x:v>
      </x:c>
      <x:c r="H1608" t="n">
        <x:v>2</x:v>
      </x:c>
      <x:c r="I1608" t="str">
        <x:v>3763402</x:v>
      </x:c>
      <x:c r="J1608" t="str">
        <x:v>37-66 JUNCTION BLVD, LLC</x:v>
      </x:c>
      <x:c r="K1608" s="55" t="n">
        <x:v>39828</x:v>
      </x:c>
      <x:c r="L1608" t="str">
        <x:v>Kings</x:v>
      </x:c>
      <x:c r="M1608" t="str">
        <x:v>New York</x:v>
      </x:c>
      <x:c r="N1608" t="str">
        <x:v>DOMESTIC LIMITED LIABILITY COMPANY</x:v>
      </x:c>
      <x:c r="O1608" t="str">
        <x:v>ABE ABBOUD</x:v>
      </x:c>
      <x:c r="P1608" t="str">
        <x:v>2209 AVENUE K, BROOKLYN, NY, 112103635</x:v>
      </x:c>
      <x:c r="Q1608" t="str"/>
      <x:c r="R1608" t="str"/>
      <x:c r="S1608" t="str"/>
      <x:c r="T1608" t="str"/>
      <x:c r="U1608" t="str"/>
      <x:c r="V1608" t="str"/>
      <x:c r="W1608" t="str"/>
      <x:c r="X1608" t="str"/>
      <x:c r="Y1608" t="str">
        <x:v>https://data.ny.gov/Economic-Development/Active-Corporations-Beginning-1800/n9v6-gdp6</x:v>
      </x:c>
    </x:row>
    <x:row r="1609">
      <x:c r="A1609" t="str">
        <x:v>DOS-6-068</x:v>
      </x:c>
      <x:c r="B1609" t="n">
        <x:v>6</x:v>
      </x:c>
      <x:c r="C1609" t="str">
        <x:v>2209 AVENUE K, BROOKLYN, NY, 11210, US</x:v>
      </x:c>
      <x:c r="D1609" t="str">
        <x:v>40 42 MAIN STREET QUEENS LLC</x:v>
      </x:c>
      <x:c r="E1609" t="str">
        <x:v>40-42 MAIN STREET QUEENS LLC</x:v>
      </x:c>
      <x:c r="F1609" t="str">
        <x:v>Active name match</x:v>
      </x:c>
      <x:c r="G1609" t="n">
        <x:v>1</x:v>
      </x:c>
      <x:c r="H1609" t="n">
        <x:v>1</x:v>
      </x:c>
      <x:c r="I1609" t="str">
        <x:v>3763993</x:v>
      </x:c>
      <x:c r="J1609" t="str">
        <x:v>40-42 MAIN STREET QUEENS, LLC</x:v>
      </x:c>
      <x:c r="K1609" s="55" t="n">
        <x:v>39829</x:v>
      </x:c>
      <x:c r="L1609" t="str">
        <x:v>Kings</x:v>
      </x:c>
      <x:c r="M1609" t="str">
        <x:v>New York</x:v>
      </x:c>
      <x:c r="N1609" t="str">
        <x:v>DOMESTIC LIMITED LIABILITY COMPANY</x:v>
      </x:c>
      <x:c r="O1609" t="str">
        <x:v>ABE ABBOUD</x:v>
      </x:c>
      <x:c r="P1609" t="str">
        <x:v>2209 AVE K, BROOKLYN, NY, 112103635</x:v>
      </x:c>
      <x:c r="Q1609" t="str"/>
      <x:c r="R1609" t="str"/>
      <x:c r="S1609" t="str"/>
      <x:c r="T1609" t="str"/>
      <x:c r="U1609" t="str"/>
      <x:c r="V1609" t="str"/>
      <x:c r="W1609" t="str"/>
      <x:c r="X1609" t="str"/>
      <x:c r="Y1609" t="str">
        <x:v>https://data.ny.gov/Economic-Development/Active-Corporations-Beginning-1800/n9v6-gdp6</x:v>
      </x:c>
    </x:row>
    <x:row r="1610">
      <x:c r="A1610" t="str">
        <x:v>DOS-6-069</x:v>
      </x:c>
      <x:c r="B1610" t="n">
        <x:v>6</x:v>
      </x:c>
      <x:c r="C1610" t="str">
        <x:v>2270 STILLWELL AVENUE, BROOKLYN, NY, 11223, US</x:v>
      </x:c>
      <x:c r="D1610" t="str">
        <x:v>2276 LLC</x:v>
      </x:c>
      <x:c r="E1610" t="str">
        <x:v>2276 LLC</x:v>
      </x:c>
      <x:c r="F1610" t="str">
        <x:v>Address-corroborated active match</x:v>
      </x:c>
      <x:c r="G1610" t="n">
        <x:v>1</x:v>
      </x:c>
      <x:c r="H1610" t="n">
        <x:v>2</x:v>
      </x:c>
      <x:c r="I1610" t="str">
        <x:v>3750572</x:v>
      </x:c>
      <x:c r="J1610" t="str">
        <x:v>2276 LLC</x:v>
      </x:c>
      <x:c r="K1610" s="55" t="n">
        <x:v>39790</x:v>
      </x:c>
      <x:c r="L1610" t="str">
        <x:v>Kings</x:v>
      </x:c>
      <x:c r="M1610" t="str">
        <x:v>New York</x:v>
      </x:c>
      <x:c r="N1610" t="str">
        <x:v>DOMESTIC LIMITED LIABILITY COMPANY</x:v>
      </x:c>
      <x:c r="O1610" t="str">
        <x:v>2276 LLC</x:v>
      </x:c>
      <x:c r="P1610" t="str">
        <x:v>2270 STILLWELL AVENUE, BROOKLYN, NY, 11223</x:v>
      </x:c>
      <x:c r="Q1610" t="str"/>
      <x:c r="R1610" t="str"/>
      <x:c r="S1610" t="str"/>
      <x:c r="T1610" t="str"/>
      <x:c r="U1610" t="str"/>
      <x:c r="V1610" t="str"/>
      <x:c r="W1610" t="str"/>
      <x:c r="X1610" t="str"/>
      <x:c r="Y1610" t="str">
        <x:v>https://data.ny.gov/Economic-Development/Active-Corporations-Beginning-1800/n9v6-gdp6</x:v>
      </x:c>
    </x:row>
    <x:row r="1611">
      <x:c r="A1611" t="str">
        <x:v>DOS-6-069</x:v>
      </x:c>
      <x:c r="B1611" t="n">
        <x:v>6</x:v>
      </x:c>
      <x:c r="C1611" t="str">
        <x:v>2270 STILLWELL AVENUE, BROOKLYN, NY, 11223, US</x:v>
      </x:c>
      <x:c r="D1611" t="str">
        <x:v>2306 LLC</x:v>
      </x:c>
      <x:c r="E1611" t="str">
        <x:v>2306 LLC</x:v>
      </x:c>
      <x:c r="F1611" t="str">
        <x:v>Address-corroborated active match</x:v>
      </x:c>
      <x:c r="G1611" t="n">
        <x:v>1</x:v>
      </x:c>
      <x:c r="H1611" t="n">
        <x:v>2</x:v>
      </x:c>
      <x:c r="I1611" t="str">
        <x:v>3010641</x:v>
      </x:c>
      <x:c r="J1611" t="str">
        <x:v>2306 LLC</x:v>
      </x:c>
      <x:c r="K1611" s="55" t="n">
        <x:v>38026</x:v>
      </x:c>
      <x:c r="L1611" t="str">
        <x:v>Kings</x:v>
      </x:c>
      <x:c r="M1611" t="str">
        <x:v>New York</x:v>
      </x:c>
      <x:c r="N1611" t="str">
        <x:v>DOMESTIC LIMITED LIABILITY COMPANY</x:v>
      </x:c>
      <x:c r="O1611" t="str">
        <x:v>2306 LLC</x:v>
      </x:c>
      <x:c r="P1611" t="str">
        <x:v>2270 STILLWELL AVE, BROOKLYN, NY, 11223</x:v>
      </x:c>
      <x:c r="Q1611" t="str"/>
      <x:c r="R1611" t="str"/>
      <x:c r="S1611" t="str"/>
      <x:c r="T1611" t="str"/>
      <x:c r="U1611" t="str"/>
      <x:c r="V1611" t="str"/>
      <x:c r="W1611" t="str"/>
      <x:c r="X1611" t="str"/>
      <x:c r="Y1611" t="str">
        <x:v>https://data.ny.gov/Economic-Development/Active-Corporations-Beginning-1800/n9v6-gdp6</x:v>
      </x:c>
    </x:row>
    <x:row r="1612">
      <x:c r="A1612" t="str">
        <x:v>DOS-6-069</x:v>
      </x:c>
      <x:c r="B1612" t="n">
        <x:v>6</x:v>
      </x:c>
      <x:c r="C1612" t="str">
        <x:v>2270 STILLWELL AVENUE, BROOKLYN, NY, 11223, US</x:v>
      </x:c>
      <x:c r="D1612" t="str">
        <x:v>2352 LLC</x:v>
      </x:c>
      <x:c r="E1612" t="str">
        <x:v>2352 LLC</x:v>
      </x:c>
      <x:c r="F1612" t="str">
        <x:v>Address-corroborated active match</x:v>
      </x:c>
      <x:c r="G1612" t="n">
        <x:v>1</x:v>
      </x:c>
      <x:c r="H1612" t="n">
        <x:v>2</x:v>
      </x:c>
      <x:c r="I1612" t="str">
        <x:v>4842489</x:v>
      </x:c>
      <x:c r="J1612" t="str">
        <x:v>2352 LLC</x:v>
      </x:c>
      <x:c r="K1612" s="55" t="n">
        <x:v>42307</x:v>
      </x:c>
      <x:c r="L1612" t="str">
        <x:v>Kings</x:v>
      </x:c>
      <x:c r="M1612" t="str">
        <x:v>New York</x:v>
      </x:c>
      <x:c r="N1612" t="str">
        <x:v>DOMESTIC LIMITED LIABILITY COMPANY</x:v>
      </x:c>
      <x:c r="O1612" t="str">
        <x:v>2352 LLC</x:v>
      </x:c>
      <x:c r="P1612" t="str">
        <x:v>2270 STILLWELL AVE., BROOKLYN, NY, 11223</x:v>
      </x:c>
      <x:c r="Q1612" t="str"/>
      <x:c r="R1612" t="str"/>
      <x:c r="S1612" t="str"/>
      <x:c r="T1612" t="str"/>
      <x:c r="U1612" t="str"/>
      <x:c r="V1612" t="str"/>
      <x:c r="W1612" t="str"/>
      <x:c r="X1612" t="str"/>
      <x:c r="Y1612" t="str">
        <x:v>https://data.ny.gov/Economic-Development/Active-Corporations-Beginning-1800/n9v6-gdp6</x:v>
      </x:c>
    </x:row>
    <x:row r="1613">
      <x:c r="A1613" t="str">
        <x:v>DOS-6-069</x:v>
      </x:c>
      <x:c r="B1613" t="n">
        <x:v>6</x:v>
      </x:c>
      <x:c r="C1613" t="str">
        <x:v>2270 STILLWELL AVENUE, BROOKLYN, NY, 11223, US</x:v>
      </x:c>
      <x:c r="D1613" t="str">
        <x:v>GCM LLC</x:v>
      </x:c>
      <x:c r="E1613" t="str">
        <x:v>GCM LLC</x:v>
      </x:c>
      <x:c r="F1613" t="str">
        <x:v>Address-corroborated active match</x:v>
      </x:c>
      <x:c r="G1613" t="n">
        <x:v>1</x:v>
      </x:c>
      <x:c r="H1613" t="n">
        <x:v>2</x:v>
      </x:c>
      <x:c r="I1613" t="str">
        <x:v>2859289</x:v>
      </x:c>
      <x:c r="J1613" t="str">
        <x:v>GCM LLC</x:v>
      </x:c>
      <x:c r="K1613" s="55" t="n">
        <x:v>37642</x:v>
      </x:c>
      <x:c r="L1613" t="str">
        <x:v>Kings</x:v>
      </x:c>
      <x:c r="M1613" t="str">
        <x:v>New York</x:v>
      </x:c>
      <x:c r="N1613" t="str">
        <x:v>DOMESTIC LIMITED LIABILITY COMPANY</x:v>
      </x:c>
      <x:c r="O1613" t="str">
        <x:v>GCM LLC</x:v>
      </x:c>
      <x:c r="P1613" t="str">
        <x:v>2270 STILLWELL AVE., BROOKLYN, NY, 11223</x:v>
      </x:c>
      <x:c r="Q1613" t="str"/>
      <x:c r="R1613" t="str"/>
      <x:c r="S1613" t="str"/>
      <x:c r="T1613" t="str"/>
      <x:c r="U1613" t="str"/>
      <x:c r="V1613" t="str"/>
      <x:c r="W1613" t="str"/>
      <x:c r="X1613" t="str"/>
      <x:c r="Y1613" t="str">
        <x:v>https://data.ny.gov/Economic-Development/Active-Corporations-Beginning-1800/n9v6-gdp6</x:v>
      </x:c>
    </x:row>
    <x:row r="1614">
      <x:c r="A1614" t="str">
        <x:v>DOS-6-069</x:v>
      </x:c>
      <x:c r="B1614" t="n">
        <x:v>6</x:v>
      </x:c>
      <x:c r="C1614" t="str">
        <x:v>2270 STILLWELL AVENUE, BROOKLYN, NY, 11223, US</x:v>
      </x:c>
      <x:c r="D1614" t="str">
        <x:v>NE LLC</x:v>
      </x:c>
      <x:c r="E1614" t="str">
        <x:v>NE LLC</x:v>
      </x:c>
      <x:c r="F1614" t="str">
        <x:v>Active name match</x:v>
      </x:c>
      <x:c r="G1614" t="n">
        <x:v>1</x:v>
      </x:c>
      <x:c r="H1614" t="n">
        <x:v>1</x:v>
      </x:c>
      <x:c r="I1614" t="str">
        <x:v>2859037</x:v>
      </x:c>
      <x:c r="J1614" t="str">
        <x:v>NE LLC</x:v>
      </x:c>
      <x:c r="K1614" s="55" t="n">
        <x:v>37642</x:v>
      </x:c>
      <x:c r="L1614" t="str">
        <x:v>Kings</x:v>
      </x:c>
      <x:c r="M1614" t="str">
        <x:v>New York</x:v>
      </x:c>
      <x:c r="N1614" t="str">
        <x:v>DOMESTIC LIMITED LIABILITY COMPANY</x:v>
      </x:c>
      <x:c r="O1614" t="str">
        <x:v>NE LLC</x:v>
      </x:c>
      <x:c r="P1614" t="str">
        <x:v>8733 23RD AVENUE, BROOKLYN, NY, 11223</x:v>
      </x:c>
      <x:c r="Q1614" t="str"/>
      <x:c r="R1614" t="str"/>
      <x:c r="S1614" t="str">
        <x:v>EMILIA MASTROGIULIO</x:v>
      </x:c>
      <x:c r="T1614" t="str">
        <x:v>8739 23RD AVENUE, BROOKLYN, NEW YORK, 11214</x:v>
      </x:c>
      <x:c r="U1614" t="str"/>
      <x:c r="V1614" t="str"/>
      <x:c r="W1614" t="str"/>
      <x:c r="X1614" t="str"/>
      <x:c r="Y1614" t="str">
        <x:v>https://data.ny.gov/Economic-Development/Active-Corporations-Beginning-1800/n9v6-gdp6</x:v>
      </x:c>
    </x:row>
    <x:row r="1615">
      <x:c r="A1615" t="str">
        <x:v>DOS-6-069</x:v>
      </x:c>
      <x:c r="B1615" t="n">
        <x:v>6</x:v>
      </x:c>
      <x:c r="C1615" t="str">
        <x:v>2270 STILLWELL AVENUE, BROOKLYN, NY, 11223, US</x:v>
      </x:c>
      <x:c r="D1615" t="str">
        <x:v>STILLWELL LLC</x:v>
      </x:c>
      <x:c r="E1615" t="str">
        <x:v>STILLWELL LLC</x:v>
      </x:c>
      <x:c r="F1615" t="str">
        <x:v>Address-corroborated active match</x:v>
      </x:c>
      <x:c r="G1615" t="n">
        <x:v>1</x:v>
      </x:c>
      <x:c r="H1615" t="n">
        <x:v>2</x:v>
      </x:c>
      <x:c r="I1615" t="str">
        <x:v>2859416</x:v>
      </x:c>
      <x:c r="J1615" t="str">
        <x:v>STILLWELL LLC</x:v>
      </x:c>
      <x:c r="K1615" s="55" t="n">
        <x:v>37643</x:v>
      </x:c>
      <x:c r="L1615" t="str">
        <x:v>Kings</x:v>
      </x:c>
      <x:c r="M1615" t="str">
        <x:v>New York</x:v>
      </x:c>
      <x:c r="N1615" t="str">
        <x:v>DOMESTIC LIMITED LIABILITY COMPANY</x:v>
      </x:c>
      <x:c r="O1615" t="str">
        <x:v>STILLWELL LLC</x:v>
      </x:c>
      <x:c r="P1615" t="str">
        <x:v>2270 STILLWELL AVE., BROOKLYN, NY, 11223</x:v>
      </x:c>
      <x:c r="Q1615" t="str"/>
      <x:c r="R1615" t="str"/>
      <x:c r="S1615" t="str"/>
      <x:c r="T1615" t="str"/>
      <x:c r="U1615" t="str"/>
      <x:c r="V1615" t="str"/>
      <x:c r="W1615" t="str"/>
      <x:c r="X1615" t="str"/>
      <x:c r="Y1615" t="str">
        <x:v>https://data.ny.gov/Economic-Development/Active-Corporations-Beginning-1800/n9v6-gdp6</x:v>
      </x:c>
    </x:row>
    <x:row r="1616">
      <x:c r="A1616" t="str">
        <x:v>DOS-6-070</x:v>
      </x:c>
      <x:c r="B1616" t="n">
        <x:v>6</x:v>
      </x:c>
      <x:c r="C1616" t="str">
        <x:v>251-04 86TH AVENUE, BELLEROSE, NY, 11426, US</x:v>
      </x:c>
      <x:c r="D1616" t="str">
        <x:v>219 13 JAMAICA AVE LLC</x:v>
      </x:c>
      <x:c r="E1616" t="str">
        <x:v>219-13 JAMAICA AVE. LLC</x:v>
      </x:c>
      <x:c r="F1616" t="str">
        <x:v>Address-corroborated active match</x:v>
      </x:c>
      <x:c r="G1616" t="n">
        <x:v>1</x:v>
      </x:c>
      <x:c r="H1616" t="n">
        <x:v>2</x:v>
      </x:c>
      <x:c r="I1616" t="str">
        <x:v>5854417</x:v>
      </x:c>
      <x:c r="J1616" t="str">
        <x:v>219-13 JAMAICA AVE. LLC</x:v>
      </x:c>
      <x:c r="K1616" s="55" t="n">
        <x:v>44113</x:v>
      </x:c>
      <x:c r="L1616" t="str">
        <x:v>Queens</x:v>
      </x:c>
      <x:c r="M1616" t="str">
        <x:v>New York</x:v>
      </x:c>
      <x:c r="N1616" t="str">
        <x:v>DOMESTIC LIMITED LIABILITY COMPANY</x:v>
      </x:c>
      <x:c r="O1616" t="str">
        <x:v>219-13 JAMAICA AVE. LLC</x:v>
      </x:c>
      <x:c r="P1616" t="str">
        <x:v>251-04 86TH AVENUE, BELLEROSE, NY, 11426</x:v>
      </x:c>
      <x:c r="Q1616" t="str"/>
      <x:c r="R1616" t="str"/>
      <x:c r="S1616" t="str"/>
      <x:c r="T1616" t="str"/>
      <x:c r="U1616" t="str"/>
      <x:c r="V1616" t="str"/>
      <x:c r="W1616" t="str"/>
      <x:c r="X1616" t="str"/>
      <x:c r="Y1616" t="str">
        <x:v>https://data.ny.gov/Economic-Development/Active-Corporations-Beginning-1800/n9v6-gdp6</x:v>
      </x:c>
    </x:row>
    <x:row r="1617">
      <x:c r="A1617" t="str">
        <x:v>DOS-6-070</x:v>
      </x:c>
      <x:c r="B1617" t="n">
        <x:v>6</x:v>
      </x:c>
      <x:c r="C1617" t="str">
        <x:v>251-04 86TH AVENUE, BELLEROSE, NY, 11426, US</x:v>
      </x:c>
      <x:c r="D1617" t="str">
        <x:v>219 21 JAMAICA AVE LLC</x:v>
      </x:c>
      <x:c r="E1617" t="str">
        <x:v>219-21 JAMAICA AVE. LLC</x:v>
      </x:c>
      <x:c r="F1617" t="str">
        <x:v>Address-corroborated active match</x:v>
      </x:c>
      <x:c r="G1617" t="n">
        <x:v>1</x:v>
      </x:c>
      <x:c r="H1617" t="n">
        <x:v>2</x:v>
      </x:c>
      <x:c r="I1617" t="str">
        <x:v>5854420</x:v>
      </x:c>
      <x:c r="J1617" t="str">
        <x:v>219-21 JAMAICA AVE. LLC</x:v>
      </x:c>
      <x:c r="K1617" s="55" t="n">
        <x:v>44113</x:v>
      </x:c>
      <x:c r="L1617" t="str">
        <x:v>Queens</x:v>
      </x:c>
      <x:c r="M1617" t="str">
        <x:v>New York</x:v>
      </x:c>
      <x:c r="N1617" t="str">
        <x:v>DOMESTIC LIMITED LIABILITY COMPANY</x:v>
      </x:c>
      <x:c r="O1617" t="str">
        <x:v>TEODORA GOMEZ</x:v>
      </x:c>
      <x:c r="P1617" t="str">
        <x:v>251-04 86TH AVENUE, BELLEROSE, NY, 11426</x:v>
      </x:c>
      <x:c r="Q1617" t="str"/>
      <x:c r="R1617" t="str"/>
      <x:c r="S1617" t="str"/>
      <x:c r="T1617" t="str"/>
      <x:c r="U1617" t="str"/>
      <x:c r="V1617" t="str"/>
      <x:c r="W1617" t="str"/>
      <x:c r="X1617" t="str"/>
      <x:c r="Y1617" t="str">
        <x:v>https://data.ny.gov/Economic-Development/Active-Corporations-Beginning-1800/n9v6-gdp6</x:v>
      </x:c>
    </x:row>
    <x:row r="1618">
      <x:c r="A1618" t="str">
        <x:v>DOS-6-070</x:v>
      </x:c>
      <x:c r="B1618" t="n">
        <x:v>6</x:v>
      </x:c>
      <x:c r="C1618" t="str">
        <x:v>251-04 86TH AVENUE, BELLEROSE, NY, 11426, US</x:v>
      </x:c>
      <x:c r="D1618" t="str">
        <x:v>85 04 67TH AVE LLC</x:v>
      </x:c>
      <x:c r="E1618" t="str">
        <x:v>85-04 67TH AVE. LLC</x:v>
      </x:c>
      <x:c r="F1618" t="str">
        <x:v>Address-corroborated active match</x:v>
      </x:c>
      <x:c r="G1618" t="n">
        <x:v>1</x:v>
      </x:c>
      <x:c r="H1618" t="n">
        <x:v>2</x:v>
      </x:c>
      <x:c r="I1618" t="str">
        <x:v>5854426</x:v>
      </x:c>
      <x:c r="J1618" t="str">
        <x:v>85-04 67TH AVE. LLC</x:v>
      </x:c>
      <x:c r="K1618" s="55" t="n">
        <x:v>44113</x:v>
      </x:c>
      <x:c r="L1618" t="str">
        <x:v>Queens</x:v>
      </x:c>
      <x:c r="M1618" t="str">
        <x:v>New York</x:v>
      </x:c>
      <x:c r="N1618" t="str">
        <x:v>DOMESTIC LIMITED LIABILITY COMPANY</x:v>
      </x:c>
      <x:c r="O1618" t="str">
        <x:v>85-04 67TH AVE. LLC</x:v>
      </x:c>
      <x:c r="P1618" t="str">
        <x:v>251-04 86TH AVENUE, BELLEROSE, NY, 11426</x:v>
      </x:c>
      <x:c r="Q1618" t="str"/>
      <x:c r="R1618" t="str"/>
      <x:c r="S1618" t="str"/>
      <x:c r="T1618" t="str"/>
      <x:c r="U1618" t="str"/>
      <x:c r="V1618" t="str"/>
      <x:c r="W1618" t="str"/>
      <x:c r="X1618" t="str"/>
      <x:c r="Y1618" t="str">
        <x:v>https://data.ny.gov/Economic-Development/Active-Corporations-Beginning-1800/n9v6-gdp6</x:v>
      </x:c>
    </x:row>
    <x:row r="1619">
      <x:c r="A1619" t="str">
        <x:v>DOS-6-070</x:v>
      </x:c>
      <x:c r="B1619" t="n">
        <x:v>6</x:v>
      </x:c>
      <x:c r="C1619" t="str">
        <x:v>251-04 86TH AVENUE, BELLEROSE, NY, 11426, US</x:v>
      </x:c>
      <x:c r="D1619" t="str">
        <x:v>94 09 JAMAICA AVE LLC</x:v>
      </x:c>
      <x:c r="E1619" t="str">
        <x:v>94-09 JAMAICA AVE. LLC</x:v>
      </x:c>
      <x:c r="F1619" t="str">
        <x:v>Active name match</x:v>
      </x:c>
      <x:c r="G1619" t="n">
        <x:v>1</x:v>
      </x:c>
      <x:c r="H1619" t="n">
        <x:v>0</x:v>
      </x:c>
      <x:c r="I1619" t="str">
        <x:v>5854423</x:v>
      </x:c>
      <x:c r="J1619" t="str">
        <x:v>94-09 JAMAICA AVE. LLC</x:v>
      </x:c>
      <x:c r="K1619" s="55" t="n">
        <x:v>44113</x:v>
      </x:c>
      <x:c r="L1619" t="str">
        <x:v>Queens</x:v>
      </x:c>
      <x:c r="M1619" t="str">
        <x:v>New York</x:v>
      </x:c>
      <x:c r="N1619" t="str">
        <x:v>DOMESTIC LIMITED LIABILITY COMPANY</x:v>
      </x:c>
      <x:c r="O1619" t="str">
        <x:v>94-09 JAMAICA AVE. LLC</x:v>
      </x:c>
      <x:c r="P1619" t="str">
        <x:v>94-09 Jamaica Ave., Woodhaven, NY, 11421</x:v>
      </x:c>
      <x:c r="Q1619" t="str"/>
      <x:c r="R1619" t="str"/>
      <x:c r="S1619" t="str"/>
      <x:c r="T1619" t="str"/>
      <x:c r="U1619" t="str"/>
      <x:c r="V1619" t="str"/>
      <x:c r="W1619" t="str"/>
      <x:c r="X1619" t="str"/>
      <x:c r="Y1619" t="str">
        <x:v>https://data.ny.gov/Economic-Development/Active-Corporations-Beginning-1800/n9v6-gdp6</x:v>
      </x:c>
    </x:row>
    <x:row r="1620">
      <x:c r="A1620" t="str">
        <x:v>DOS-6-070</x:v>
      </x:c>
      <x:c r="B1620" t="n">
        <x:v>6</x:v>
      </x:c>
      <x:c r="C1620" t="str">
        <x:v>251-04 86TH AVENUE, BELLEROSE, NY, 11426, US</x:v>
      </x:c>
      <x:c r="D1620" t="str">
        <x:v>94 84 SPRINGFIELD LLC</x:v>
      </x:c>
      <x:c r="E1620" t="str">
        <x:v>94-84 SPRINGFIELD LLC</x:v>
      </x:c>
      <x:c r="F1620" t="str">
        <x:v>Address-corroborated active match</x:v>
      </x:c>
      <x:c r="G1620" t="n">
        <x:v>1</x:v>
      </x:c>
      <x:c r="H1620" t="n">
        <x:v>2</x:v>
      </x:c>
      <x:c r="I1620" t="str">
        <x:v>5854413</x:v>
      </x:c>
      <x:c r="J1620" t="str">
        <x:v>94-84 SPRINGFIELD LLC</x:v>
      </x:c>
      <x:c r="K1620" s="55" t="n">
        <x:v>44113</x:v>
      </x:c>
      <x:c r="L1620" t="str">
        <x:v>Queens</x:v>
      </x:c>
      <x:c r="M1620" t="str">
        <x:v>New York</x:v>
      </x:c>
      <x:c r="N1620" t="str">
        <x:v>DOMESTIC LIMITED LIABILITY COMPANY</x:v>
      </x:c>
      <x:c r="O1620" t="str">
        <x:v>94-84 SPRINGFIELD LLC</x:v>
      </x:c>
      <x:c r="P1620" t="str">
        <x:v>251-04 86TH AVENUE, BELLEROSE, NY, 11426</x:v>
      </x:c>
      <x:c r="Q1620" t="str"/>
      <x:c r="R1620" t="str"/>
      <x:c r="S1620" t="str"/>
      <x:c r="T1620" t="str"/>
      <x:c r="U1620" t="str"/>
      <x:c r="V1620" t="str"/>
      <x:c r="W1620" t="str"/>
      <x:c r="X1620" t="str"/>
      <x:c r="Y1620" t="str">
        <x:v>https://data.ny.gov/Economic-Development/Active-Corporations-Beginning-1800/n9v6-gdp6</x:v>
      </x:c>
    </x:row>
    <x:row r="1621">
      <x:c r="A1621" t="str">
        <x:v>DOS-6-070</x:v>
      </x:c>
      <x:c r="B1621" t="n">
        <x:v>6</x:v>
      </x:c>
      <x:c r="C1621" t="str">
        <x:v>251-04 86TH AVENUE, BELLEROSE, NY, 11426, US</x:v>
      </x:c>
      <x:c r="D1621" t="str">
        <x:v>95 09 JAMAICA AVE LLC</x:v>
      </x:c>
      <x:c r="E1621" t="str">
        <x:v>95-09 JAMAICA AVE. LLC</x:v>
      </x:c>
      <x:c r="F1621" t="str">
        <x:v>Address-corroborated active match</x:v>
      </x:c>
      <x:c r="G1621" t="n">
        <x:v>1</x:v>
      </x:c>
      <x:c r="H1621" t="n">
        <x:v>2</x:v>
      </x:c>
      <x:c r="I1621" t="str">
        <x:v>5854421</x:v>
      </x:c>
      <x:c r="J1621" t="str">
        <x:v>95-09 JAMAICA AVE. LLC</x:v>
      </x:c>
      <x:c r="K1621" s="55" t="n">
        <x:v>44113</x:v>
      </x:c>
      <x:c r="L1621" t="str">
        <x:v>Queens</x:v>
      </x:c>
      <x:c r="M1621" t="str">
        <x:v>New York</x:v>
      </x:c>
      <x:c r="N1621" t="str">
        <x:v>DOMESTIC LIMITED LIABILITY COMPANY</x:v>
      </x:c>
      <x:c r="O1621" t="str">
        <x:v>95-09 JAMAICA AVE. LLC</x:v>
      </x:c>
      <x:c r="P1621" t="str">
        <x:v>251-04 86TH AVENUE, BELLEROSE, NY, 11426</x:v>
      </x:c>
      <x:c r="Q1621" t="str"/>
      <x:c r="R1621" t="str"/>
      <x:c r="S1621" t="str"/>
      <x:c r="T1621" t="str"/>
      <x:c r="U1621" t="str"/>
      <x:c r="V1621" t="str"/>
      <x:c r="W1621" t="str"/>
      <x:c r="X1621" t="str"/>
      <x:c r="Y1621" t="str">
        <x:v>https://data.ny.gov/Economic-Development/Active-Corporations-Beginning-1800/n9v6-gdp6</x:v>
      </x:c>
    </x:row>
    <x:row r="1622">
      <x:c r="A1622" t="str">
        <x:v>DOS-6-071</x:v>
      </x:c>
      <x:c r="B1622" t="n">
        <x:v>6</x:v>
      </x:c>
      <x:c r="C1622" t="str">
        <x:v>26 DELAVAN STREET, BROOKLYN, NY, 11231, US</x:v>
      </x:c>
      <x:c r="D1622" t="str">
        <x:v>426 428 4TH AVE MANAGEMENT LLC</x:v>
      </x:c>
      <x:c r="E1622" t="str">
        <x:v>426-428 4TH AVE. MANAGEMENT, LLC</x:v>
      </x:c>
      <x:c r="F1622" t="str">
        <x:v>Address-corroborated active match</x:v>
      </x:c>
      <x:c r="G1622" t="n">
        <x:v>1</x:v>
      </x:c>
      <x:c r="H1622" t="n">
        <x:v>2</x:v>
      </x:c>
      <x:c r="I1622" t="str">
        <x:v>3969730</x:v>
      </x:c>
      <x:c r="J1622" t="str">
        <x:v>426-428 4TH AVE. MANAGEMENT, LLC</x:v>
      </x:c>
      <x:c r="K1622" s="55" t="n">
        <x:v>40365</x:v>
      </x:c>
      <x:c r="L1622" t="str">
        <x:v>Kings</x:v>
      </x:c>
      <x:c r="M1622" t="str">
        <x:v>New York</x:v>
      </x:c>
      <x:c r="N1622" t="str">
        <x:v>DOMESTIC LIMITED LIABILITY COMPANY</x:v>
      </x:c>
      <x:c r="O1622" t="str">
        <x:v>426-428 4TH AVE. MANAGEMENT, LLC</x:v>
      </x:c>
      <x:c r="P1622" t="str">
        <x:v>26 DELAVAN STREET, BROOKLYN, NY, 11231</x:v>
      </x:c>
      <x:c r="Q1622" t="str"/>
      <x:c r="R1622" t="str"/>
      <x:c r="S1622" t="str"/>
      <x:c r="T1622" t="str"/>
      <x:c r="U1622" t="str"/>
      <x:c r="V1622" t="str"/>
      <x:c r="W1622" t="str"/>
      <x:c r="X1622" t="str"/>
      <x:c r="Y1622" t="str">
        <x:v>https://data.ny.gov/Economic-Development/Active-Corporations-Beginning-1800/n9v6-gdp6</x:v>
      </x:c>
    </x:row>
    <x:row r="1623">
      <x:c r="A1623" t="str">
        <x:v>DOS-6-071</x:v>
      </x:c>
      <x:c r="B1623" t="n">
        <x:v>6</x:v>
      </x:c>
      <x:c r="C1623" t="str">
        <x:v>26 DELAVAN STREET, BROOKLYN, NY, 11231, US</x:v>
      </x:c>
      <x:c r="D1623" t="str">
        <x:v>G A P REALTY GROUP LLC</x:v>
      </x:c>
      <x:c r="E1623" t="str">
        <x:v>G.A.P. REALTY GROUP, LLC</x:v>
      </x:c>
      <x:c r="F1623" t="str">
        <x:v>Address-corroborated active match</x:v>
      </x:c>
      <x:c r="G1623" t="n">
        <x:v>1</x:v>
      </x:c>
      <x:c r="H1623" t="n">
        <x:v>2</x:v>
      </x:c>
      <x:c r="I1623" t="str">
        <x:v>2419357</x:v>
      </x:c>
      <x:c r="J1623" t="str">
        <x:v>G.A.P. REALTY GROUP, LLC</x:v>
      </x:c>
      <x:c r="K1623" s="55" t="n">
        <x:v>36419</x:v>
      </x:c>
      <x:c r="L1623" t="str">
        <x:v>Kings</x:v>
      </x:c>
      <x:c r="M1623" t="str">
        <x:v>New York</x:v>
      </x:c>
      <x:c r="N1623" t="str">
        <x:v>DOMESTIC LIMITED LIABILITY COMPANY</x:v>
      </x:c>
      <x:c r="O1623" t="str">
        <x:v>G.A.P. REALTY GROUP, LLC</x:v>
      </x:c>
      <x:c r="P1623" t="str">
        <x:v>26 DELAVAN ST, BROOKLYN, NY, 11231</x:v>
      </x:c>
      <x:c r="Q1623" t="str"/>
      <x:c r="R1623" t="str"/>
      <x:c r="S1623" t="str"/>
      <x:c r="T1623" t="str"/>
      <x:c r="U1623" t="str"/>
      <x:c r="V1623" t="str"/>
      <x:c r="W1623" t="str"/>
      <x:c r="X1623" t="str"/>
      <x:c r="Y1623" t="str">
        <x:v>https://data.ny.gov/Economic-Development/Active-Corporations-Beginning-1800/n9v6-gdp6</x:v>
      </x:c>
    </x:row>
    <x:row r="1624">
      <x:c r="A1624" t="str">
        <x:v>DOS-6-071</x:v>
      </x:c>
      <x:c r="B1624" t="n">
        <x:v>6</x:v>
      </x:c>
      <x:c r="C1624" t="str">
        <x:v>26 DELAVAN STREET, BROOKLYN, NY, 11231, US</x:v>
      </x:c>
      <x:c r="D1624" t="str">
        <x:v>GAP REALTY GROUP LLC</x:v>
      </x:c>
      <x:c r="E1624" t="str">
        <x:v>GAP REALTY GROUP, LLC</x:v>
      </x:c>
      <x:c r="F1624" t="str">
        <x:v>No active DOS match</x:v>
      </x:c>
      <x:c r="G1624" t="n">
        <x:v>0</x:v>
      </x:c>
      <x:c r="H1624" t="n">
        <x:v>0</x:v>
      </x:c>
      <x:c r="I1624" t="str"/>
      <x:c r="J1624" t="str"/>
      <x:c r="K1624" s="55" t="str"/>
      <x:c r="L1624" t="str"/>
      <x:c r="M1624" t="str"/>
      <x:c r="N1624" t="str"/>
      <x:c r="O1624" t="str"/>
      <x:c r="P1624" t="str"/>
      <x:c r="Q1624" t="str"/>
      <x:c r="R1624" t="str"/>
      <x:c r="S1624" t="str"/>
      <x:c r="T1624" t="str"/>
      <x:c r="U1624" t="str"/>
      <x:c r="V1624" t="str"/>
      <x:c r="W1624" t="str"/>
      <x:c r="X1624" t="str"/>
      <x:c r="Y1624" t="str">
        <x:v>https://data.ny.gov/Economic-Development/Active-Corporations-Beginning-1800/n9v6-gdp6</x:v>
      </x:c>
    </x:row>
    <x:row r="1625">
      <x:c r="A1625" t="str">
        <x:v>DOS-6-071</x:v>
      </x:c>
      <x:c r="B1625" t="n">
        <x:v>6</x:v>
      </x:c>
      <x:c r="C1625" t="str">
        <x:v>26 DELAVAN STREET, BROOKLYN, NY, 11231, US</x:v>
      </x:c>
      <x:c r="D1625" t="str">
        <x:v>HELLENIC EQUITIES LLC</x:v>
      </x:c>
      <x:c r="E1625" t="str">
        <x:v>HELLENIC EQUITIES LLC</x:v>
      </x:c>
      <x:c r="F1625" t="str">
        <x:v>Address-corroborated active match</x:v>
      </x:c>
      <x:c r="G1625" t="n">
        <x:v>1</x:v>
      </x:c>
      <x:c r="H1625" t="n">
        <x:v>2</x:v>
      </x:c>
      <x:c r="I1625" t="str">
        <x:v>2419359</x:v>
      </x:c>
      <x:c r="J1625" t="str">
        <x:v>HELLENIC EQUITIES, LLC</x:v>
      </x:c>
      <x:c r="K1625" s="55" t="n">
        <x:v>36419</x:v>
      </x:c>
      <x:c r="L1625" t="str">
        <x:v>Kings</x:v>
      </x:c>
      <x:c r="M1625" t="str">
        <x:v>New York</x:v>
      </x:c>
      <x:c r="N1625" t="str">
        <x:v>DOMESTIC LIMITED LIABILITY COMPANY</x:v>
      </x:c>
      <x:c r="O1625" t="str">
        <x:v>HELLENIC EQUITIES, LLC</x:v>
      </x:c>
      <x:c r="P1625" t="str">
        <x:v>26 DELAVAN ST, BROOKLYN, NY, 11231</x:v>
      </x:c>
      <x:c r="Q1625" t="str"/>
      <x:c r="R1625" t="str"/>
      <x:c r="S1625" t="str"/>
      <x:c r="T1625" t="str"/>
      <x:c r="U1625" t="str"/>
      <x:c r="V1625" t="str"/>
      <x:c r="W1625" t="str"/>
      <x:c r="X1625" t="str"/>
      <x:c r="Y1625" t="str">
        <x:v>https://data.ny.gov/Economic-Development/Active-Corporations-Beginning-1800/n9v6-gdp6</x:v>
      </x:c>
    </x:row>
    <x:row r="1626">
      <x:c r="A1626" t="str">
        <x:v>DOS-6-071</x:v>
      </x:c>
      <x:c r="B1626" t="n">
        <x:v>6</x:v>
      </x:c>
      <x:c r="C1626" t="str">
        <x:v>26 DELAVAN STREET, BROOKLYN, NY, 11231, US</x:v>
      </x:c>
      <x:c r="D1626" t="str">
        <x:v>STILLWELL REALTY GROUP LLC</x:v>
      </x:c>
      <x:c r="E1626" t="str">
        <x:v>STILLWELL REALTY GROUP LLC</x:v>
      </x:c>
      <x:c r="F1626" t="str">
        <x:v>Active name match</x:v>
      </x:c>
      <x:c r="G1626" t="n">
        <x:v>1</x:v>
      </x:c>
      <x:c r="H1626" t="n">
        <x:v>1</x:v>
      </x:c>
      <x:c r="I1626" t="str">
        <x:v>4208691</x:v>
      </x:c>
      <x:c r="J1626" t="str">
        <x:v>STILLWELL REALTY GROUP, LLC</x:v>
      </x:c>
      <x:c r="K1626" s="55" t="n">
        <x:v>40966</x:v>
      </x:c>
      <x:c r="L1626" t="str">
        <x:v>Kings</x:v>
      </x:c>
      <x:c r="M1626" t="str">
        <x:v>New York</x:v>
      </x:c>
      <x:c r="N1626" t="str">
        <x:v>DOMESTIC LIMITED LIABILITY COMPANY</x:v>
      </x:c>
      <x:c r="O1626" t="str">
        <x:v>STILLWELL REALTY GROUP, LLC</x:v>
      </x:c>
      <x:c r="P1626" t="str">
        <x:v>26 DELEVAN ST, BROOKLYN, NY, 11231</x:v>
      </x:c>
      <x:c r="Q1626" t="str"/>
      <x:c r="R1626" t="str"/>
      <x:c r="S1626" t="str"/>
      <x:c r="T1626" t="str"/>
      <x:c r="U1626" t="str"/>
      <x:c r="V1626" t="str"/>
      <x:c r="W1626" t="str"/>
      <x:c r="X1626" t="str"/>
      <x:c r="Y1626" t="str">
        <x:v>https://data.ny.gov/Economic-Development/Active-Corporations-Beginning-1800/n9v6-gdp6</x:v>
      </x:c>
    </x:row>
    <x:row r="1627">
      <x:c r="A1627" t="str">
        <x:v>DOS-6-071</x:v>
      </x:c>
      <x:c r="B1627" t="n">
        <x:v>6</x:v>
      </x:c>
      <x:c r="C1627" t="str">
        <x:v>26 DELAVAN STREET, BROOKLYN, NY, 11231, US</x:v>
      </x:c>
      <x:c r="D1627" t="str">
        <x:v>ZORIANO REALTY LLC</x:v>
      </x:c>
      <x:c r="E1627" t="str">
        <x:v>ZORIANO REALTY LLC</x:v>
      </x:c>
      <x:c r="F1627" t="str">
        <x:v>Address-corroborated active match</x:v>
      </x:c>
      <x:c r="G1627" t="n">
        <x:v>1</x:v>
      </x:c>
      <x:c r="H1627" t="n">
        <x:v>2</x:v>
      </x:c>
      <x:c r="I1627" t="str">
        <x:v>2904332</x:v>
      </x:c>
      <x:c r="J1627" t="str">
        <x:v>ZORIANO REALTY LLC</x:v>
      </x:c>
      <x:c r="K1627" s="55" t="n">
        <x:v>37749</x:v>
      </x:c>
      <x:c r="L1627" t="str">
        <x:v>Kings</x:v>
      </x:c>
      <x:c r="M1627" t="str">
        <x:v>New York</x:v>
      </x:c>
      <x:c r="N1627" t="str">
        <x:v>DOMESTIC LIMITED LIABILITY COMPANY</x:v>
      </x:c>
      <x:c r="O1627" t="str">
        <x:v>ZORIANO REALTY LLC</x:v>
      </x:c>
      <x:c r="P1627" t="str">
        <x:v>26 DELAVAN STREET, BROOKLYN, NY, 11231</x:v>
      </x:c>
      <x:c r="Q1627" t="str"/>
      <x:c r="R1627" t="str"/>
      <x:c r="S1627" t="str"/>
      <x:c r="T1627" t="str"/>
      <x:c r="U1627" t="str"/>
      <x:c r="V1627" t="str"/>
      <x:c r="W1627" t="str"/>
      <x:c r="X1627" t="str"/>
      <x:c r="Y1627" t="str">
        <x:v>https://data.ny.gov/Economic-Development/Active-Corporations-Beginning-1800/n9v6-gdp6</x:v>
      </x:c>
    </x:row>
    <x:row r="1628">
      <x:c r="A1628" t="str">
        <x:v>DOS-6-072</x:v>
      </x:c>
      <x:c r="B1628" t="n">
        <x:v>6</x:v>
      </x:c>
      <x:c r="C1628" t="str">
        <x:v>28-19 35TH STREET, ASTORIA, NY, 11103, US</x:v>
      </x:c>
      <x:c r="D1628" t="str">
        <x:v>ASTORIAN EQUITIES LLC</x:v>
      </x:c>
      <x:c r="E1628" t="str">
        <x:v>ASTORIAN EQUITIES LLC</x:v>
      </x:c>
      <x:c r="F1628" t="str">
        <x:v>Address-corroborated active match</x:v>
      </x:c>
      <x:c r="G1628" t="n">
        <x:v>1</x:v>
      </x:c>
      <x:c r="H1628" t="n">
        <x:v>2</x:v>
      </x:c>
      <x:c r="I1628" t="str">
        <x:v>4142031</x:v>
      </x:c>
      <x:c r="J1628" t="str">
        <x:v>ASTORIAN EQUITIES LLC</x:v>
      </x:c>
      <x:c r="K1628" s="55" t="n">
        <x:v>40800</x:v>
      </x:c>
      <x:c r="L1628" t="str">
        <x:v>Queens</x:v>
      </x:c>
      <x:c r="M1628" t="str">
        <x:v>New York</x:v>
      </x:c>
      <x:c r="N1628" t="str">
        <x:v>DOMESTIC LIMITED LIABILITY COMPANY</x:v>
      </x:c>
      <x:c r="O1628" t="str">
        <x:v>DIMITRIOS GALANIS</x:v>
      </x:c>
      <x:c r="P1628" t="str">
        <x:v>28-19 35TH STREET, ASTORIA, NY, 11103</x:v>
      </x:c>
      <x:c r="Q1628" t="str"/>
      <x:c r="R1628" t="str"/>
      <x:c r="S1628" t="str"/>
      <x:c r="T1628" t="str"/>
      <x:c r="U1628" t="str"/>
      <x:c r="V1628" t="str"/>
      <x:c r="W1628" t="str"/>
      <x:c r="X1628" t="str"/>
      <x:c r="Y1628" t="str">
        <x:v>https://data.ny.gov/Economic-Development/Active-Corporations-Beginning-1800/n9v6-gdp6</x:v>
      </x:c>
    </x:row>
    <x:row r="1629">
      <x:c r="A1629" t="str">
        <x:v>DOS-6-072</x:v>
      </x:c>
      <x:c r="B1629" t="n">
        <x:v>6</x:v>
      </x:c>
      <x:c r="C1629" t="str">
        <x:v>28-19 35TH STREET, ASTORIA, NY, 11103, US</x:v>
      </x:c>
      <x:c r="D1629" t="str">
        <x:v>ASTORIAN LLC</x:v>
      </x:c>
      <x:c r="E1629" t="str">
        <x:v>ASTORIAN LLC</x:v>
      </x:c>
      <x:c r="F1629" t="str">
        <x:v>Address-corroborated active match</x:v>
      </x:c>
      <x:c r="G1629" t="n">
        <x:v>1</x:v>
      </x:c>
      <x:c r="H1629" t="n">
        <x:v>2</x:v>
      </x:c>
      <x:c r="I1629" t="str">
        <x:v>3854513</x:v>
      </x:c>
      <x:c r="J1629" t="str">
        <x:v>ASTORIAN LLC</x:v>
      </x:c>
      <x:c r="K1629" s="55" t="n">
        <x:v>40066</x:v>
      </x:c>
      <x:c r="L1629" t="str">
        <x:v>Queens</x:v>
      </x:c>
      <x:c r="M1629" t="str">
        <x:v>New York</x:v>
      </x:c>
      <x:c r="N1629" t="str">
        <x:v>DOMESTIC LIMITED LIABILITY COMPANY</x:v>
      </x:c>
      <x:c r="O1629" t="str">
        <x:v>DIMITRIOS GALANIS</x:v>
      </x:c>
      <x:c r="P1629" t="str">
        <x:v>28-19 35TH STREET,, 2ND FLOOR, ASTORIA, NY, 11103</x:v>
      </x:c>
      <x:c r="Q1629" t="str"/>
      <x:c r="R1629" t="str"/>
      <x:c r="S1629" t="str"/>
      <x:c r="T1629" t="str"/>
      <x:c r="U1629" t="str"/>
      <x:c r="V1629" t="str"/>
      <x:c r="W1629" t="str"/>
      <x:c r="X1629" t="str"/>
      <x:c r="Y1629" t="str">
        <x:v>https://data.ny.gov/Economic-Development/Active-Corporations-Beginning-1800/n9v6-gdp6</x:v>
      </x:c>
    </x:row>
    <x:row r="1630">
      <x:c r="A1630" t="str">
        <x:v>DOS-6-072</x:v>
      </x:c>
      <x:c r="B1630" t="n">
        <x:v>6</x:v>
      </x:c>
      <x:c r="C1630" t="str">
        <x:v>28-19 35TH STREET, ASTORIA, NY, 11103, US</x:v>
      </x:c>
      <x:c r="D1630" t="str">
        <x:v>BLUE SKY EQUITIES LLC</x:v>
      </x:c>
      <x:c r="E1630" t="str">
        <x:v>BLUE SKY EQUITIES L.L.C.</x:v>
      </x:c>
      <x:c r="F1630" t="str">
        <x:v>Address-corroborated active match</x:v>
      </x:c>
      <x:c r="G1630" t="n">
        <x:v>1</x:v>
      </x:c>
      <x:c r="H1630" t="n">
        <x:v>2</x:v>
      </x:c>
      <x:c r="I1630" t="str">
        <x:v>2042447</x:v>
      </x:c>
      <x:c r="J1630" t="str">
        <x:v>BLUE SKY EQUITIES L.L.C.</x:v>
      </x:c>
      <x:c r="K1630" s="55" t="n">
        <x:v>35241</x:v>
      </x:c>
      <x:c r="L1630" t="str">
        <x:v>Queens</x:v>
      </x:c>
      <x:c r="M1630" t="str">
        <x:v>New York</x:v>
      </x:c>
      <x:c r="N1630" t="str">
        <x:v>DOMESTIC LIMITED LIABILITY COMPANY</x:v>
      </x:c>
      <x:c r="O1630" t="str">
        <x:v>JIM GALANIS</x:v>
      </x:c>
      <x:c r="P1630" t="str">
        <x:v>28-19 35TH STREET, ASTORIA, NY, 11103</x:v>
      </x:c>
      <x:c r="Q1630" t="str"/>
      <x:c r="R1630" t="str"/>
      <x:c r="S1630" t="str"/>
      <x:c r="T1630" t="str"/>
      <x:c r="U1630" t="str"/>
      <x:c r="V1630" t="str"/>
      <x:c r="W1630" t="str"/>
      <x:c r="X1630" t="str"/>
      <x:c r="Y1630" t="str">
        <x:v>https://data.ny.gov/Economic-Development/Active-Corporations-Beginning-1800/n9v6-gdp6</x:v>
      </x:c>
    </x:row>
    <x:row r="1631">
      <x:c r="A1631" t="str">
        <x:v>DOS-6-072</x:v>
      </x:c>
      <x:c r="B1631" t="n">
        <x:v>6</x:v>
      </x:c>
      <x:c r="C1631" t="str">
        <x:v>28-19 35TH STREET, ASTORIA, NY, 11103, US</x:v>
      </x:c>
      <x:c r="D1631" t="str">
        <x:v>GALANIS EQUITIES LLC</x:v>
      </x:c>
      <x:c r="E1631" t="str">
        <x:v>GALANIS EQUITIES LLC</x:v>
      </x:c>
      <x:c r="F1631" t="str">
        <x:v>No active DOS match</x:v>
      </x:c>
      <x:c r="G1631" t="n">
        <x:v>0</x:v>
      </x:c>
      <x:c r="H1631" t="n">
        <x:v>0</x:v>
      </x:c>
      <x:c r="I1631" t="str"/>
      <x:c r="J1631" t="str"/>
      <x:c r="K1631" s="55" t="str"/>
      <x:c r="L1631" t="str"/>
      <x:c r="M1631" t="str"/>
      <x:c r="N1631" t="str"/>
      <x:c r="O1631" t="str"/>
      <x:c r="P1631" t="str"/>
      <x:c r="Q1631" t="str"/>
      <x:c r="R1631" t="str"/>
      <x:c r="S1631" t="str"/>
      <x:c r="T1631" t="str"/>
      <x:c r="U1631" t="str"/>
      <x:c r="V1631" t="str"/>
      <x:c r="W1631" t="str"/>
      <x:c r="X1631" t="str"/>
      <x:c r="Y1631" t="str">
        <x:v>https://data.ny.gov/Economic-Development/Active-Corporations-Beginning-1800/n9v6-gdp6</x:v>
      </x:c>
    </x:row>
    <x:row r="1632">
      <x:c r="A1632" t="str">
        <x:v>DOS-6-072</x:v>
      </x:c>
      <x:c r="B1632" t="n">
        <x:v>6</x:v>
      </x:c>
      <x:c r="C1632" t="str">
        <x:v>28-19 35TH STREET, ASTORIA, NY, 11103, US</x:v>
      </x:c>
      <x:c r="D1632" t="str">
        <x:v>GALANIS PROPERTIES LLC</x:v>
      </x:c>
      <x:c r="E1632" t="str">
        <x:v>GALANIS PROPERTIES LLC</x:v>
      </x:c>
      <x:c r="F1632" t="str">
        <x:v>Address-corroborated active match</x:v>
      </x:c>
      <x:c r="G1632" t="n">
        <x:v>1</x:v>
      </x:c>
      <x:c r="H1632" t="n">
        <x:v>2</x:v>
      </x:c>
      <x:c r="I1632" t="str">
        <x:v>4110711</x:v>
      </x:c>
      <x:c r="J1632" t="str">
        <x:v>GALANIS PROPERTIES LLC</x:v>
      </x:c>
      <x:c r="K1632" s="55" t="n">
        <x:v>40717</x:v>
      </x:c>
      <x:c r="L1632" t="str">
        <x:v>Queens</x:v>
      </x:c>
      <x:c r="M1632" t="str">
        <x:v>New York</x:v>
      </x:c>
      <x:c r="N1632" t="str">
        <x:v>DOMESTIC LIMITED LIABILITY COMPANY</x:v>
      </x:c>
      <x:c r="O1632" t="str">
        <x:v>JIM GALANIS</x:v>
      </x:c>
      <x:c r="P1632" t="str">
        <x:v>28-19 35TH STREET, ASTORIA, NY, 11103</x:v>
      </x:c>
      <x:c r="Q1632" t="str"/>
      <x:c r="R1632" t="str"/>
      <x:c r="S1632" t="str"/>
      <x:c r="T1632" t="str"/>
      <x:c r="U1632" t="str"/>
      <x:c r="V1632" t="str"/>
      <x:c r="W1632" t="str"/>
      <x:c r="X1632" t="str"/>
      <x:c r="Y1632" t="str">
        <x:v>https://data.ny.gov/Economic-Development/Active-Corporations-Beginning-1800/n9v6-gdp6</x:v>
      </x:c>
    </x:row>
    <x:row r="1633">
      <x:c r="A1633" t="str">
        <x:v>DOS-6-072</x:v>
      </x:c>
      <x:c r="B1633" t="n">
        <x:v>6</x:v>
      </x:c>
      <x:c r="C1633" t="str">
        <x:v>28-19 35TH STREET, ASTORIA, NY, 11103, US</x:v>
      </x:c>
      <x:c r="D1633" t="str">
        <x:v>GALANIS REALTY LLC</x:v>
      </x:c>
      <x:c r="E1633" t="str">
        <x:v>GALANIS REALTY LLC</x:v>
      </x:c>
      <x:c r="F1633" t="str">
        <x:v>No active DOS match</x:v>
      </x:c>
      <x:c r="G1633" t="n">
        <x:v>0</x:v>
      </x:c>
      <x:c r="H1633" t="n">
        <x:v>0</x:v>
      </x:c>
      <x:c r="I1633" t="str"/>
      <x:c r="J1633" t="str"/>
      <x:c r="K1633" s="55" t="str"/>
      <x:c r="L1633" t="str"/>
      <x:c r="M1633" t="str"/>
      <x:c r="N1633" t="str"/>
      <x:c r="O1633" t="str"/>
      <x:c r="P1633" t="str"/>
      <x:c r="Q1633" t="str"/>
      <x:c r="R1633" t="str"/>
      <x:c r="S1633" t="str"/>
      <x:c r="T1633" t="str"/>
      <x:c r="U1633" t="str"/>
      <x:c r="V1633" t="str"/>
      <x:c r="W1633" t="str"/>
      <x:c r="X1633" t="str"/>
      <x:c r="Y1633" t="str">
        <x:v>https://data.ny.gov/Economic-Development/Active-Corporations-Beginning-1800/n9v6-gdp6</x:v>
      </x:c>
    </x:row>
    <x:row r="1634">
      <x:c r="A1634" t="str">
        <x:v>DOS-6-073</x:v>
      </x:c>
      <x:c r="B1634" t="n">
        <x:v>6</x:v>
      </x:c>
      <x:c r="C1634" t="str">
        <x:v>280  NORTH CENTRAL PARK AVENUE, HARTSDALE, NY, 10530, US | 280 NORTH CENTRAL PARK AVENUE, HARTSDALE, NY, 10530, US</x:v>
      </x:c>
      <x:c r="D1634" t="str">
        <x:v>36 AND 37 REALTY LLC</x:v>
      </x:c>
      <x:c r="E1634" t="str">
        <x:v>36 &amp; 37 REALTY, LLC</x:v>
      </x:c>
      <x:c r="F1634" t="str">
        <x:v>Active name match</x:v>
      </x:c>
      <x:c r="G1634" t="n">
        <x:v>1</x:v>
      </x:c>
      <x:c r="H1634" t="n">
        <x:v>1</x:v>
      </x:c>
      <x:c r="I1634" t="str">
        <x:v>2228715</x:v>
      </x:c>
      <x:c r="J1634" t="str">
        <x:v>36 AND 37 REALTY, LLC</x:v>
      </x:c>
      <x:c r="K1634" s="55" t="n">
        <x:v>35839</x:v>
      </x:c>
      <x:c r="L1634" t="str">
        <x:v>Westchester</x:v>
      </x:c>
      <x:c r="M1634" t="str">
        <x:v>New York</x:v>
      </x:c>
      <x:c r="N1634" t="str">
        <x:v>DOMESTIC LIMITED LIABILITY COMPANY</x:v>
      </x:c>
      <x:c r="O1634" t="str">
        <x:v>36 AND 37 REALTY, LLC</x:v>
      </x:c>
      <x:c r="P1634" t="str">
        <x:v>111 NORTH CENTRAL PARK AVE, SUITE 400, HARTSDALE, NY, 10530</x:v>
      </x:c>
      <x:c r="Q1634" t="str"/>
      <x:c r="R1634" t="str"/>
      <x:c r="S1634" t="str"/>
      <x:c r="T1634" t="str"/>
      <x:c r="U1634" t="str"/>
      <x:c r="V1634" t="str"/>
      <x:c r="W1634" t="str"/>
      <x:c r="X1634" t="str"/>
      <x:c r="Y1634" t="str">
        <x:v>https://data.ny.gov/Economic-Development/Active-Corporations-Beginning-1800/n9v6-gdp6</x:v>
      </x:c>
    </x:row>
    <x:row r="1635">
      <x:c r="A1635" t="str">
        <x:v>DOS-6-073</x:v>
      </x:c>
      <x:c r="B1635" t="n">
        <x:v>6</x:v>
      </x:c>
      <x:c r="C1635" t="str">
        <x:v>280  NORTH CENTRAL PARK AVENUE, HARTSDALE, NY, 10530, US | 280 NORTH CENTRAL PARK AVENUE, HARTSDALE, NY, 10530, US</x:v>
      </x:c>
      <x:c r="D1635" t="str">
        <x:v>41 47 NICK LLC</x:v>
      </x:c>
      <x:c r="E1635" t="str">
        <x:v>41-47 NICK LLC</x:v>
      </x:c>
      <x:c r="F1635" t="str">
        <x:v>No active DOS match</x:v>
      </x:c>
      <x:c r="G1635" t="n">
        <x:v>0</x:v>
      </x:c>
      <x:c r="H1635" t="n">
        <x:v>0</x:v>
      </x:c>
      <x:c r="I1635" t="str"/>
      <x:c r="J1635" t="str"/>
      <x:c r="K1635" s="55" t="str"/>
      <x:c r="L1635" t="str"/>
      <x:c r="M1635" t="str"/>
      <x:c r="N1635" t="str"/>
      <x:c r="O1635" t="str"/>
      <x:c r="P1635" t="str"/>
      <x:c r="Q1635" t="str"/>
      <x:c r="R1635" t="str"/>
      <x:c r="S1635" t="str"/>
      <x:c r="T1635" t="str"/>
      <x:c r="U1635" t="str"/>
      <x:c r="V1635" t="str"/>
      <x:c r="W1635" t="str"/>
      <x:c r="X1635" t="str"/>
      <x:c r="Y1635" t="str">
        <x:v>https://data.ny.gov/Economic-Development/Active-Corporations-Beginning-1800/n9v6-gdp6</x:v>
      </x:c>
    </x:row>
    <x:row r="1636">
      <x:c r="A1636" t="str">
        <x:v>DOS-6-073</x:v>
      </x:c>
      <x:c r="B1636" t="n">
        <x:v>6</x:v>
      </x:c>
      <x:c r="C1636" t="str">
        <x:v>280  NORTH CENTRAL PARK AVENUE, HARTSDALE, NY, 10530, US | 280 NORTH CENTRAL PARK AVENUE, HARTSDALE, NY, 10530, US</x:v>
      </x:c>
      <x:c r="D1636" t="str">
        <x:v>421 WEST 56TH LLC</x:v>
      </x:c>
      <x:c r="E1636" t="str">
        <x:v>421 WEST 56TH LLC</x:v>
      </x:c>
      <x:c r="F1636" t="str">
        <x:v>Active name match</x:v>
      </x:c>
      <x:c r="G1636" t="n">
        <x:v>1</x:v>
      </x:c>
      <x:c r="H1636" t="n">
        <x:v>1</x:v>
      </x:c>
      <x:c r="I1636" t="str">
        <x:v>3447188</x:v>
      </x:c>
      <x:c r="J1636" t="str">
        <x:v>421 WEST 56TH LLC</x:v>
      </x:c>
      <x:c r="K1636" s="55" t="n">
        <x:v>39059</x:v>
      </x:c>
      <x:c r="L1636" t="str">
        <x:v>Westchester</x:v>
      </x:c>
      <x:c r="M1636" t="str">
        <x:v>New York</x:v>
      </x:c>
      <x:c r="N1636" t="str">
        <x:v>DOMESTIC LIMITED LIABILITY COMPANY</x:v>
      </x:c>
      <x:c r="O1636" t="str">
        <x:v>421 WEST 56TH LLC</x:v>
      </x:c>
      <x:c r="P1636" t="str">
        <x:v>111 NORTH CENTRAL PARK AVE, SUITE 400, HARTSDALE, NY, 10530</x:v>
      </x:c>
      <x:c r="Q1636" t="str"/>
      <x:c r="R1636" t="str"/>
      <x:c r="S1636" t="str"/>
      <x:c r="T1636" t="str"/>
      <x:c r="U1636" t="str"/>
      <x:c r="V1636" t="str"/>
      <x:c r="W1636" t="str"/>
      <x:c r="X1636" t="str"/>
      <x:c r="Y1636" t="str">
        <x:v>https://data.ny.gov/Economic-Development/Active-Corporations-Beginning-1800/n9v6-gdp6</x:v>
      </x:c>
    </x:row>
    <x:row r="1637">
      <x:c r="A1637" t="str">
        <x:v>DOS-6-073</x:v>
      </x:c>
      <x:c r="B1637" t="n">
        <x:v>6</x:v>
      </x:c>
      <x:c r="C1637" t="str">
        <x:v>280  NORTH CENTRAL PARK AVENUE, HARTSDALE, NY, 10530, US | 280 NORTH CENTRAL PARK AVENUE, HARTSDALE, NY, 10530, US</x:v>
      </x:c>
      <x:c r="D1637" t="str">
        <x:v>449 WEST 46 LLC</x:v>
      </x:c>
      <x:c r="E1637" t="str">
        <x:v>449 WEST 46 LLC</x:v>
      </x:c>
      <x:c r="F1637" t="str">
        <x:v>Active name match</x:v>
      </x:c>
      <x:c r="G1637" t="n">
        <x:v>1</x:v>
      </x:c>
      <x:c r="H1637" t="n">
        <x:v>1</x:v>
      </x:c>
      <x:c r="I1637" t="str">
        <x:v>3317409</x:v>
      </x:c>
      <x:c r="J1637" t="str">
        <x:v>449 WEST 46 LLC</x:v>
      </x:c>
      <x:c r="K1637" s="55" t="n">
        <x:v>38755</x:v>
      </x:c>
      <x:c r="L1637" t="str">
        <x:v>New York</x:v>
      </x:c>
      <x:c r="M1637" t="str">
        <x:v>New York</x:v>
      </x:c>
      <x:c r="N1637" t="str">
        <x:v>DOMESTIC LIMITED LIABILITY COMPANY</x:v>
      </x:c>
      <x:c r="O1637" t="str">
        <x:v>449 WEST 46 LLC</x:v>
      </x:c>
      <x:c r="P1637" t="str">
        <x:v>111 NORTH CENTRAL PARK AVE, SUITE 400, HARTSDALE, NY, 10530</x:v>
      </x:c>
      <x:c r="Q1637" t="str"/>
      <x:c r="R1637" t="str"/>
      <x:c r="S1637" t="str"/>
      <x:c r="T1637" t="str"/>
      <x:c r="U1637" t="str"/>
      <x:c r="V1637" t="str"/>
      <x:c r="W1637" t="str"/>
      <x:c r="X1637" t="str"/>
      <x:c r="Y1637" t="str">
        <x:v>https://data.ny.gov/Economic-Development/Active-Corporations-Beginning-1800/n9v6-gdp6</x:v>
      </x:c>
    </x:row>
    <x:row r="1638">
      <x:c r="A1638" t="str">
        <x:v>DOS-6-073</x:v>
      </x:c>
      <x:c r="B1638" t="n">
        <x:v>6</x:v>
      </x:c>
      <x:c r="C1638" t="str">
        <x:v>280  NORTH CENTRAL PARK AVENUE, HARTSDALE, NY, 10530, US | 280 NORTH CENTRAL PARK AVENUE, HARTSDALE, NY, 10530, US</x:v>
      </x:c>
      <x:c r="D1638" t="str">
        <x:v>494 HUDSON LLC</x:v>
      </x:c>
      <x:c r="E1638" t="str">
        <x:v>494 HUDSON LLC</x:v>
      </x:c>
      <x:c r="F1638" t="str">
        <x:v>Active name match</x:v>
      </x:c>
      <x:c r="G1638" t="n">
        <x:v>1</x:v>
      </x:c>
      <x:c r="H1638" t="n">
        <x:v>1</x:v>
      </x:c>
      <x:c r="I1638" t="str">
        <x:v>2352433</x:v>
      </x:c>
      <x:c r="J1638" t="str">
        <x:v>494 HUDSON LLC</x:v>
      </x:c>
      <x:c r="K1638" s="55" t="n">
        <x:v>36223</x:v>
      </x:c>
      <x:c r="L1638" t="str">
        <x:v>Westchester</x:v>
      </x:c>
      <x:c r="M1638" t="str">
        <x:v>New York</x:v>
      </x:c>
      <x:c r="N1638" t="str">
        <x:v>DOMESTIC LIMITED LIABILITY COMPANY</x:v>
      </x:c>
      <x:c r="O1638" t="str">
        <x:v>494 HUDSON LLC</x:v>
      </x:c>
      <x:c r="P1638" t="str">
        <x:v>111 NORTH CENTRAL PARK AVE, STE 400, HARTSDALE, NY, 10530</x:v>
      </x:c>
      <x:c r="Q1638" t="str"/>
      <x:c r="R1638" t="str"/>
      <x:c r="S1638" t="str"/>
      <x:c r="T1638" t="str"/>
      <x:c r="U1638" t="str"/>
      <x:c r="V1638" t="str"/>
      <x:c r="W1638" t="str"/>
      <x:c r="X1638" t="str"/>
      <x:c r="Y1638" t="str">
        <x:v>https://data.ny.gov/Economic-Development/Active-Corporations-Beginning-1800/n9v6-gdp6</x:v>
      </x:c>
    </x:row>
    <x:row r="1639">
      <x:c r="A1639" t="str">
        <x:v>DOS-6-073</x:v>
      </x:c>
      <x:c r="B1639" t="n">
        <x:v>6</x:v>
      </x:c>
      <x:c r="C1639" t="str">
        <x:v>280  NORTH CENTRAL PARK AVENUE, HARTSDALE, NY, 10530, US | 280 NORTH CENTRAL PARK AVENUE, HARTSDALE, NY, 10530, US</x:v>
      </x:c>
      <x:c r="D1639" t="str">
        <x:v>OCEANS 2 LLC</x:v>
      </x:c>
      <x:c r="E1639" t="str">
        <x:v>OCEANS 2 LLC</x:v>
      </x:c>
      <x:c r="F1639" t="str">
        <x:v>Active name match</x:v>
      </x:c>
      <x:c r="G1639" t="n">
        <x:v>1</x:v>
      </x:c>
      <x:c r="H1639" t="n">
        <x:v>1</x:v>
      </x:c>
      <x:c r="I1639" t="str">
        <x:v>3294522</x:v>
      </x:c>
      <x:c r="J1639" t="str">
        <x:v>OCEANS 2 LLC</x:v>
      </x:c>
      <x:c r="K1639" s="55" t="n">
        <x:v>38705</x:v>
      </x:c>
      <x:c r="L1639" t="str">
        <x:v>New York</x:v>
      </x:c>
      <x:c r="M1639" t="str">
        <x:v>New York</x:v>
      </x:c>
      <x:c r="N1639" t="str">
        <x:v>DOMESTIC LIMITED LIABILITY COMPANY</x:v>
      </x:c>
      <x:c r="O1639" t="str">
        <x:v>OCEANS 2 LLC</x:v>
      </x:c>
      <x:c r="P1639" t="str">
        <x:v>111 N CENTRAL PARK AVE, STE 400, HARTSDALE, NY, 10530</x:v>
      </x:c>
      <x:c r="Q1639" t="str"/>
      <x:c r="R1639" t="str"/>
      <x:c r="S1639" t="str"/>
      <x:c r="T1639" t="str"/>
      <x:c r="U1639" t="str"/>
      <x:c r="V1639" t="str"/>
      <x:c r="W1639" t="str"/>
      <x:c r="X1639" t="str"/>
      <x:c r="Y1639" t="str">
        <x:v>https://data.ny.gov/Economic-Development/Active-Corporations-Beginning-1800/n9v6-gdp6</x:v>
      </x:c>
    </x:row>
    <x:row r="1640">
      <x:c r="A1640" t="str">
        <x:v>DOS-6-074</x:v>
      </x:c>
      <x:c r="B1640" t="n">
        <x:v>6</x:v>
      </x:c>
      <x:c r="C1640" t="str">
        <x:v>3050 PEACHTREE ROAD NW, SUITE 300, ATLANTA, GA, 30305, US</x:v>
      </x:c>
      <x:c r="D1640" t="str">
        <x:v>SP HHF SUB BROOK LLC</x:v>
      </x:c>
      <x:c r="E1640" t="str">
        <x:v>SP HHF SUB BROOK, LLC</x:v>
      </x:c>
      <x:c r="F1640" t="str">
        <x:v>Active name match</x:v>
      </x:c>
      <x:c r="G1640" t="n">
        <x:v>1</x:v>
      </x:c>
      <x:c r="H1640" t="n">
        <x:v>0</x:v>
      </x:c>
      <x:c r="I1640" t="str">
        <x:v>6643974</x:v>
      </x:c>
      <x:c r="J1640" t="str">
        <x:v>SP HHF SUB BROOK, LLC</x:v>
      </x:c>
      <x:c r="K1640" s="55" t="n">
        <x:v>44880</x:v>
      </x:c>
      <x:c r="L1640" t="str">
        <x:v>Albany</x:v>
      </x:c>
      <x:c r="M1640" t="str">
        <x:v>Delaware</x:v>
      </x:c>
      <x:c r="N1640" t="str">
        <x:v>FOREIGN LIMITED LIABILITY COMPANY</x:v>
      </x:c>
      <x:c r="O1640" t="str">
        <x:v>C/O CORPORATION SERVICE COMPANY</x:v>
      </x:c>
      <x:c r="P1640" t="str">
        <x:v>80 STATE STREET, ALBANY, NY, 12207</x:v>
      </x:c>
      <x:c r="Q1640" t="str"/>
      <x:c r="R1640" t="str"/>
      <x:c r="S1640" t="str"/>
      <x:c r="T1640" t="str"/>
      <x:c r="U1640" t="str"/>
      <x:c r="V1640" t="str"/>
      <x:c r="W1640" t="str"/>
      <x:c r="X1640" t="str"/>
      <x:c r="Y1640" t="str">
        <x:v>https://data.ny.gov/Economic-Development/Active-Corporations-Beginning-1800/n9v6-gdp6</x:v>
      </x:c>
    </x:row>
    <x:row r="1641">
      <x:c r="A1641" t="str">
        <x:v>DOS-6-074</x:v>
      </x:c>
      <x:c r="B1641" t="n">
        <x:v>6</x:v>
      </x:c>
      <x:c r="C1641" t="str">
        <x:v>3050 PEACHTREE ROAD NW, SUITE 300, ATLANTA, GA, 30305, US</x:v>
      </x:c>
      <x:c r="D1641" t="str">
        <x:v>SP HHF SUB BRUCKNER LLC</x:v>
      </x:c>
      <x:c r="E1641" t="str">
        <x:v>SP HHF SUB BRUCKNER, LLC</x:v>
      </x:c>
      <x:c r="F1641" t="str">
        <x:v>Active name match</x:v>
      </x:c>
      <x:c r="G1641" t="n">
        <x:v>1</x:v>
      </x:c>
      <x:c r="H1641" t="n">
        <x:v>0</x:v>
      </x:c>
      <x:c r="I1641" t="str">
        <x:v>6643979</x:v>
      </x:c>
      <x:c r="J1641" t="str">
        <x:v>SP HHF SUB BRUCKNER, LLC</x:v>
      </x:c>
      <x:c r="K1641" s="55" t="n">
        <x:v>44880</x:v>
      </x:c>
      <x:c r="L1641" t="str">
        <x:v>Albany</x:v>
      </x:c>
      <x:c r="M1641" t="str">
        <x:v>Delaware</x:v>
      </x:c>
      <x:c r="N1641" t="str">
        <x:v>FOREIGN LIMITED LIABILITY COMPANY</x:v>
      </x:c>
      <x:c r="O1641" t="str">
        <x:v>C/O CORPORATION SERVICE COMPANY</x:v>
      </x:c>
      <x:c r="P1641" t="str">
        <x:v>80 STATE STREET, ALBANY, NY, 12207</x:v>
      </x:c>
      <x:c r="Q1641" t="str"/>
      <x:c r="R1641" t="str"/>
      <x:c r="S1641" t="str"/>
      <x:c r="T1641" t="str"/>
      <x:c r="U1641" t="str"/>
      <x:c r="V1641" t="str"/>
      <x:c r="W1641" t="str"/>
      <x:c r="X1641" t="str"/>
      <x:c r="Y1641" t="str">
        <x:v>https://data.ny.gov/Economic-Development/Active-Corporations-Beginning-1800/n9v6-gdp6</x:v>
      </x:c>
    </x:row>
    <x:row r="1642">
      <x:c r="A1642" t="str">
        <x:v>DOS-6-074</x:v>
      </x:c>
      <x:c r="B1642" t="n">
        <x:v>6</x:v>
      </x:c>
      <x:c r="C1642" t="str">
        <x:v>3050 PEACHTREE ROAD NW, SUITE 300, ATLANTA, GA, 30305, US</x:v>
      </x:c>
      <x:c r="D1642" t="str">
        <x:v>SP HHF SUB FORDHAM LLC</x:v>
      </x:c>
      <x:c r="E1642" t="str">
        <x:v>SP HHF SUB FORDHAM, LLC</x:v>
      </x:c>
      <x:c r="F1642" t="str">
        <x:v>Active name match</x:v>
      </x:c>
      <x:c r="G1642" t="n">
        <x:v>1</x:v>
      </x:c>
      <x:c r="H1642" t="n">
        <x:v>0</x:v>
      </x:c>
      <x:c r="I1642" t="str">
        <x:v>6643988</x:v>
      </x:c>
      <x:c r="J1642" t="str">
        <x:v>SP HHF SUB FORDHAM, LLC</x:v>
      </x:c>
      <x:c r="K1642" s="55" t="n">
        <x:v>44880</x:v>
      </x:c>
      <x:c r="L1642" t="str">
        <x:v>Albany</x:v>
      </x:c>
      <x:c r="M1642" t="str">
        <x:v>Delaware</x:v>
      </x:c>
      <x:c r="N1642" t="str">
        <x:v>FOREIGN LIMITED LIABILITY COMPANY</x:v>
      </x:c>
      <x:c r="O1642" t="str">
        <x:v>C/O CORPORATION SERVICE COMPANY</x:v>
      </x:c>
      <x:c r="P1642" t="str">
        <x:v>80 STATE STREET, ALBANY, NY, 12207</x:v>
      </x:c>
      <x:c r="Q1642" t="str"/>
      <x:c r="R1642" t="str"/>
      <x:c r="S1642" t="str"/>
      <x:c r="T1642" t="str"/>
      <x:c r="U1642" t="str"/>
      <x:c r="V1642" t="str"/>
      <x:c r="W1642" t="str"/>
      <x:c r="X1642" t="str"/>
      <x:c r="Y1642" t="str">
        <x:v>https://data.ny.gov/Economic-Development/Active-Corporations-Beginning-1800/n9v6-gdp6</x:v>
      </x:c>
    </x:row>
    <x:row r="1643">
      <x:c r="A1643" t="str">
        <x:v>DOS-6-074</x:v>
      </x:c>
      <x:c r="B1643" t="n">
        <x:v>6</x:v>
      </x:c>
      <x:c r="C1643" t="str">
        <x:v>3050 PEACHTREE ROAD NW, SUITE 300, ATLANTA, GA, 30305, US</x:v>
      </x:c>
      <x:c r="D1643" t="str">
        <x:v>SP HHF SUB LONG ISLAND CITY LLC</x:v>
      </x:c>
      <x:c r="E1643" t="str">
        <x:v>SP HHF SUB LONG ISLAND CITY, LLC</x:v>
      </x:c>
      <x:c r="F1643" t="str">
        <x:v>Active name match</x:v>
      </x:c>
      <x:c r="G1643" t="n">
        <x:v>1</x:v>
      </x:c>
      <x:c r="H1643" t="n">
        <x:v>0</x:v>
      </x:c>
      <x:c r="I1643" t="str">
        <x:v>6643945</x:v>
      </x:c>
      <x:c r="J1643" t="str">
        <x:v>SP HHF SUB LONG ISLAND CITY, LLC</x:v>
      </x:c>
      <x:c r="K1643" s="55" t="n">
        <x:v>44880</x:v>
      </x:c>
      <x:c r="L1643" t="str">
        <x:v>Albany</x:v>
      </x:c>
      <x:c r="M1643" t="str">
        <x:v>Delaware</x:v>
      </x:c>
      <x:c r="N1643" t="str">
        <x:v>FOREIGN LIMITED LIABILITY COMPANY</x:v>
      </x:c>
      <x:c r="O1643" t="str">
        <x:v>C/O CORPORATION SERVICE COMPANY</x:v>
      </x:c>
      <x:c r="P1643" t="str">
        <x:v>80 STATE STREET, ALBANY, NY, 12207</x:v>
      </x:c>
      <x:c r="Q1643" t="str"/>
      <x:c r="R1643" t="str"/>
      <x:c r="S1643" t="str"/>
      <x:c r="T1643" t="str"/>
      <x:c r="U1643" t="str"/>
      <x:c r="V1643" t="str"/>
      <x:c r="W1643" t="str"/>
      <x:c r="X1643" t="str"/>
      <x:c r="Y1643" t="str">
        <x:v>https://data.ny.gov/Economic-Development/Active-Corporations-Beginning-1800/n9v6-gdp6</x:v>
      </x:c>
    </x:row>
    <x:row r="1644">
      <x:c r="A1644" t="str">
        <x:v>DOS-6-074</x:v>
      </x:c>
      <x:c r="B1644" t="n">
        <x:v>6</x:v>
      </x:c>
      <x:c r="C1644" t="str">
        <x:v>3050 PEACHTREE ROAD NW, SUITE 300, ATLANTA, GA, 30305, US</x:v>
      </x:c>
      <x:c r="D1644" t="str">
        <x:v>SP HHF SUB RIDGEWOOD LLC</x:v>
      </x:c>
      <x:c r="E1644" t="str">
        <x:v>SP HHF SUB RIDGEWOOD, LLC</x:v>
      </x:c>
      <x:c r="F1644" t="str">
        <x:v>Active name match</x:v>
      </x:c>
      <x:c r="G1644" t="n">
        <x:v>1</x:v>
      </x:c>
      <x:c r="H1644" t="n">
        <x:v>0</x:v>
      </x:c>
      <x:c r="I1644" t="str">
        <x:v>6643882</x:v>
      </x:c>
      <x:c r="J1644" t="str">
        <x:v>SP HHF SUB RIDGEWOOD, LLC</x:v>
      </x:c>
      <x:c r="K1644" s="55" t="n">
        <x:v>44880</x:v>
      </x:c>
      <x:c r="L1644" t="str">
        <x:v>Albany</x:v>
      </x:c>
      <x:c r="M1644" t="str">
        <x:v>Delaware</x:v>
      </x:c>
      <x:c r="N1644" t="str">
        <x:v>FOREIGN LIMITED LIABILITY COMPANY</x:v>
      </x:c>
      <x:c r="O1644" t="str">
        <x:v>C/O CORPORATION SERVICE COMPANY</x:v>
      </x:c>
      <x:c r="P1644" t="str">
        <x:v>80 STATE STREET, ALBANY, NY, 12207</x:v>
      </x:c>
      <x:c r="Q1644" t="str"/>
      <x:c r="R1644" t="str"/>
      <x:c r="S1644" t="str"/>
      <x:c r="T1644" t="str"/>
      <x:c r="U1644" t="str"/>
      <x:c r="V1644" t="str"/>
      <x:c r="W1644" t="str"/>
      <x:c r="X1644" t="str"/>
      <x:c r="Y1644" t="str">
        <x:v>https://data.ny.gov/Economic-Development/Active-Corporations-Beginning-1800/n9v6-gdp6</x:v>
      </x:c>
    </x:row>
    <x:row r="1645">
      <x:c r="A1645" t="str">
        <x:v>DOS-6-074</x:v>
      </x:c>
      <x:c r="B1645" t="n">
        <x:v>6</x:v>
      </x:c>
      <x:c r="C1645" t="str">
        <x:v>3050 PEACHTREE ROAD NW, SUITE 300, ATLANTA, GA, 30305, US</x:v>
      </x:c>
      <x:c r="D1645" t="str">
        <x:v>SP HHF SUB WEBSTER LLC</x:v>
      </x:c>
      <x:c r="E1645" t="str">
        <x:v>SP HHF SUB WEBSTER, LLC</x:v>
      </x:c>
      <x:c r="F1645" t="str">
        <x:v>Active name match</x:v>
      </x:c>
      <x:c r="G1645" t="n">
        <x:v>1</x:v>
      </x:c>
      <x:c r="H1645" t="n">
        <x:v>0</x:v>
      </x:c>
      <x:c r="I1645" t="str">
        <x:v>6643926</x:v>
      </x:c>
      <x:c r="J1645" t="str">
        <x:v>SP HHF SUB WEBSTER, LLC</x:v>
      </x:c>
      <x:c r="K1645" s="55" t="n">
        <x:v>44880</x:v>
      </x:c>
      <x:c r="L1645" t="str">
        <x:v>Albany</x:v>
      </x:c>
      <x:c r="M1645" t="str">
        <x:v>Delaware</x:v>
      </x:c>
      <x:c r="N1645" t="str">
        <x:v>FOREIGN LIMITED LIABILITY COMPANY</x:v>
      </x:c>
      <x:c r="O1645" t="str">
        <x:v>C/O CORPORATION SERVICE COMPANY</x:v>
      </x:c>
      <x:c r="P1645" t="str">
        <x:v>80 STATE STREET, ALBANY, NY, 12207</x:v>
      </x:c>
      <x:c r="Q1645" t="str"/>
      <x:c r="R1645" t="str"/>
      <x:c r="S1645" t="str"/>
      <x:c r="T1645" t="str"/>
      <x:c r="U1645" t="str"/>
      <x:c r="V1645" t="str"/>
      <x:c r="W1645" t="str"/>
      <x:c r="X1645" t="str"/>
      <x:c r="Y1645" t="str">
        <x:v>https://data.ny.gov/Economic-Development/Active-Corporations-Beginning-1800/n9v6-gdp6</x:v>
      </x:c>
    </x:row>
    <x:row r="1646">
      <x:c r="A1646" t="str">
        <x:v>DOS-6-075</x:v>
      </x:c>
      <x:c r="B1646" t="n">
        <x:v>6</x:v>
      </x:c>
      <x:c r="C1646" t="str">
        <x:v>3397 EAST TREMONT AVENUE, BRONX, NY, 10461, US</x:v>
      </x:c>
      <x:c r="D1646" t="str">
        <x:v>1049 GC REALTY LLC</x:v>
      </x:c>
      <x:c r="E1646" t="str">
        <x:v>1049 GC REALTY LLC</x:v>
      </x:c>
      <x:c r="F1646" t="str">
        <x:v>Address-corroborated active match</x:v>
      </x:c>
      <x:c r="G1646" t="n">
        <x:v>1</x:v>
      </x:c>
      <x:c r="H1646" t="n">
        <x:v>2</x:v>
      </x:c>
      <x:c r="I1646" t="str">
        <x:v>4568499</x:v>
      </x:c>
      <x:c r="J1646" t="str">
        <x:v>1049 GC REALTY LLC</x:v>
      </x:c>
      <x:c r="K1646" s="55" t="n">
        <x:v>41757</x:v>
      </x:c>
      <x:c r="L1646" t="str">
        <x:v>Albany</x:v>
      </x:c>
      <x:c r="M1646" t="str">
        <x:v>New York</x:v>
      </x:c>
      <x:c r="N1646" t="str">
        <x:v>DOMESTIC LIMITED LIABILITY COMPANY</x:v>
      </x:c>
      <x:c r="O1646" t="str">
        <x:v>JLP METRO MANAGEMENT INC.</x:v>
      </x:c>
      <x:c r="P1646" t="str">
        <x:v>3397 EAST TREMONT AVENUE, BRONX, NY, 10461</x:v>
      </x:c>
      <x:c r="Q1646" t="str"/>
      <x:c r="R1646" t="str"/>
      <x:c r="S1646" t="str"/>
      <x:c r="T1646" t="str"/>
      <x:c r="U1646" t="str"/>
      <x:c r="V1646" t="str"/>
      <x:c r="W1646" t="str"/>
      <x:c r="X1646" t="str"/>
      <x:c r="Y1646" t="str">
        <x:v>https://data.ny.gov/Economic-Development/Active-Corporations-Beginning-1800/n9v6-gdp6</x:v>
      </x:c>
    </x:row>
    <x:row r="1647">
      <x:c r="A1647" t="str">
        <x:v>DOS-6-075</x:v>
      </x:c>
      <x:c r="B1647" t="n">
        <x:v>6</x:v>
      </x:c>
      <x:c r="C1647" t="str">
        <x:v>3397 EAST TREMONT AVENUE, BRONX, NY, 10461, US</x:v>
      </x:c>
      <x:c r="D1647" t="str">
        <x:v>1876 ARTHUR AVE LLC</x:v>
      </x:c>
      <x:c r="E1647" t="str">
        <x:v>1876 ARTHUR AVE LLC</x:v>
      </x:c>
      <x:c r="F1647" t="str">
        <x:v>Address-corroborated active match</x:v>
      </x:c>
      <x:c r="G1647" t="n">
        <x:v>1</x:v>
      </x:c>
      <x:c r="H1647" t="n">
        <x:v>2</x:v>
      </x:c>
      <x:c r="I1647" t="str">
        <x:v>5008874</x:v>
      </x:c>
      <x:c r="J1647" t="str">
        <x:v>1876 ARTHUR AVE. LLC</x:v>
      </x:c>
      <x:c r="K1647" s="55" t="n">
        <x:v>42628</x:v>
      </x:c>
      <x:c r="L1647" t="str">
        <x:v>Bronx</x:v>
      </x:c>
      <x:c r="M1647" t="str">
        <x:v>New York</x:v>
      </x:c>
      <x:c r="N1647" t="str">
        <x:v>DOMESTIC LIMITED LIABILITY COMPANY</x:v>
      </x:c>
      <x:c r="O1647" t="str">
        <x:v>1876 ARTHUR AVE. LLC</x:v>
      </x:c>
      <x:c r="P1647" t="str">
        <x:v>3397 EAST TREMONT AVENUE, BRONX, NY, 10461</x:v>
      </x:c>
      <x:c r="Q1647" t="str"/>
      <x:c r="R1647" t="str"/>
      <x:c r="S1647" t="str"/>
      <x:c r="T1647" t="str"/>
      <x:c r="U1647" t="str"/>
      <x:c r="V1647" t="str"/>
      <x:c r="W1647" t="str"/>
      <x:c r="X1647" t="str"/>
      <x:c r="Y1647" t="str">
        <x:v>https://data.ny.gov/Economic-Development/Active-Corporations-Beginning-1800/n9v6-gdp6</x:v>
      </x:c>
    </x:row>
    <x:row r="1648">
      <x:c r="A1648" t="str">
        <x:v>DOS-6-075</x:v>
      </x:c>
      <x:c r="B1648" t="n">
        <x:v>6</x:v>
      </x:c>
      <x:c r="C1648" t="str">
        <x:v>3397 EAST TREMONT AVENUE, BRONX, NY, 10461, US</x:v>
      </x:c>
      <x:c r="D1648" t="str">
        <x:v>3397 REALTY LLC</x:v>
      </x:c>
      <x:c r="E1648" t="str">
        <x:v>3397 REALTY LLC</x:v>
      </x:c>
      <x:c r="F1648" t="str">
        <x:v>Address-corroborated active match</x:v>
      </x:c>
      <x:c r="G1648" t="n">
        <x:v>1</x:v>
      </x:c>
      <x:c r="H1648" t="n">
        <x:v>2</x:v>
      </x:c>
      <x:c r="I1648" t="str">
        <x:v>3872470</x:v>
      </x:c>
      <x:c r="J1648" t="str">
        <x:v>3397 REALTY LLC</x:v>
      </x:c>
      <x:c r="K1648" s="55" t="n">
        <x:v>40114</x:v>
      </x:c>
      <x:c r="L1648" t="str">
        <x:v>Bronx</x:v>
      </x:c>
      <x:c r="M1648" t="str">
        <x:v>New York</x:v>
      </x:c>
      <x:c r="N1648" t="str">
        <x:v>DOMESTIC LIMITED LIABILITY COMPANY</x:v>
      </x:c>
      <x:c r="O1648" t="str">
        <x:v>3397 REALTY LLC</x:v>
      </x:c>
      <x:c r="P1648" t="str">
        <x:v>3397 EAST TREMONT AVENUE, BRONX, NY, 10461</x:v>
      </x:c>
      <x:c r="Q1648" t="str"/>
      <x:c r="R1648" t="str"/>
      <x:c r="S1648" t="str"/>
      <x:c r="T1648" t="str"/>
      <x:c r="U1648" t="str"/>
      <x:c r="V1648" t="str"/>
      <x:c r="W1648" t="str"/>
      <x:c r="X1648" t="str"/>
      <x:c r="Y1648" t="str">
        <x:v>https://data.ny.gov/Economic-Development/Active-Corporations-Beginning-1800/n9v6-gdp6</x:v>
      </x:c>
    </x:row>
    <x:row r="1649">
      <x:c r="A1649" t="str">
        <x:v>DOS-6-075</x:v>
      </x:c>
      <x:c r="B1649" t="n">
        <x:v>6</x:v>
      </x:c>
      <x:c r="C1649" t="str">
        <x:v>3397 EAST TREMONT AVENUE, BRONX, NY, 10461, US</x:v>
      </x:c>
      <x:c r="D1649" t="str">
        <x:v>JONMARK REALTY GROUP LLC</x:v>
      </x:c>
      <x:c r="E1649" t="str">
        <x:v>JONMARK REALTY GROUP LLC</x:v>
      </x:c>
      <x:c r="F1649" t="str">
        <x:v>Address-corroborated active match</x:v>
      </x:c>
      <x:c r="G1649" t="n">
        <x:v>1</x:v>
      </x:c>
      <x:c r="H1649" t="n">
        <x:v>2</x:v>
      </x:c>
      <x:c r="I1649" t="str">
        <x:v>4742579</x:v>
      </x:c>
      <x:c r="J1649" t="str">
        <x:v>JONMARK REALTY GROUP LLC</x:v>
      </x:c>
      <x:c r="K1649" s="55" t="n">
        <x:v>42109</x:v>
      </x:c>
      <x:c r="L1649" t="str">
        <x:v>Albany</x:v>
      </x:c>
      <x:c r="M1649" t="str">
        <x:v>New York</x:v>
      </x:c>
      <x:c r="N1649" t="str">
        <x:v>DOMESTIC LIMITED LIABILITY COMPANY</x:v>
      </x:c>
      <x:c r="O1649" t="str">
        <x:v>JONMARK REALTY GROUP LLC</x:v>
      </x:c>
      <x:c r="P1649" t="str">
        <x:v>3397 EAST TREMONT AVE., BRONX, NY, 10461</x:v>
      </x:c>
      <x:c r="Q1649" t="str"/>
      <x:c r="R1649" t="str"/>
      <x:c r="S1649" t="str"/>
      <x:c r="T1649" t="str"/>
      <x:c r="U1649" t="str"/>
      <x:c r="V1649" t="str"/>
      <x:c r="W1649" t="str"/>
      <x:c r="X1649" t="str"/>
      <x:c r="Y1649" t="str">
        <x:v>https://data.ny.gov/Economic-Development/Active-Corporations-Beginning-1800/n9v6-gdp6</x:v>
      </x:c>
    </x:row>
    <x:row r="1650">
      <x:c r="A1650" t="str">
        <x:v>DOS-6-075</x:v>
      </x:c>
      <x:c r="B1650" t="n">
        <x:v>6</x:v>
      </x:c>
      <x:c r="C1650" t="str">
        <x:v>3397 EAST TREMONT AVENUE, BRONX, NY, 10461, US</x:v>
      </x:c>
      <x:c r="D1650" t="str">
        <x:v>KHALID 2290 LLC</x:v>
      </x:c>
      <x:c r="E1650" t="str">
        <x:v>KHALID 2290 LLC</x:v>
      </x:c>
      <x:c r="F1650" t="str">
        <x:v>Address-corroborated active match</x:v>
      </x:c>
      <x:c r="G1650" t="n">
        <x:v>1</x:v>
      </x:c>
      <x:c r="H1650" t="n">
        <x:v>2</x:v>
      </x:c>
      <x:c r="I1650" t="str">
        <x:v>5102244</x:v>
      </x:c>
      <x:c r="J1650" t="str">
        <x:v>KHALID 2290 LLC</x:v>
      </x:c>
      <x:c r="K1650" s="55" t="n">
        <x:v>42809</x:v>
      </x:c>
      <x:c r="L1650" t="str">
        <x:v>Bronx</x:v>
      </x:c>
      <x:c r="M1650" t="str">
        <x:v>New York</x:v>
      </x:c>
      <x:c r="N1650" t="str">
        <x:v>DOMESTIC LIMITED LIABILITY COMPANY</x:v>
      </x:c>
      <x:c r="O1650" t="str">
        <x:v>KHALID 2290 LLC</x:v>
      </x:c>
      <x:c r="P1650" t="str">
        <x:v>3397 EAST TREMONT AVENUE, BRONX, NY, 10461</x:v>
      </x:c>
      <x:c r="Q1650" t="str"/>
      <x:c r="R1650" t="str"/>
      <x:c r="S1650" t="str"/>
      <x:c r="T1650" t="str"/>
      <x:c r="U1650" t="str"/>
      <x:c r="V1650" t="str"/>
      <x:c r="W1650" t="str"/>
      <x:c r="X1650" t="str"/>
      <x:c r="Y1650" t="str">
        <x:v>https://data.ny.gov/Economic-Development/Active-Corporations-Beginning-1800/n9v6-gdp6</x:v>
      </x:c>
    </x:row>
    <x:row r="1651">
      <x:c r="A1651" t="str">
        <x:v>DOS-6-075</x:v>
      </x:c>
      <x:c r="B1651" t="n">
        <x:v>6</x:v>
      </x:c>
      <x:c r="C1651" t="str">
        <x:v>3397 EAST TREMONT AVENUE, BRONX, NY, 10461, US</x:v>
      </x:c>
      <x:c r="D1651" t="str">
        <x:v>NAT REALTY GROUP LLC</x:v>
      </x:c>
      <x:c r="E1651" t="str">
        <x:v>NAT REALTY GROUP LLC</x:v>
      </x:c>
      <x:c r="F1651" t="str">
        <x:v>Address-corroborated active match</x:v>
      </x:c>
      <x:c r="G1651" t="n">
        <x:v>1</x:v>
      </x:c>
      <x:c r="H1651" t="n">
        <x:v>2</x:v>
      </x:c>
      <x:c r="I1651" t="str">
        <x:v>3645151</x:v>
      </x:c>
      <x:c r="J1651" t="str">
        <x:v>NAT REALTY GROUP LLC</x:v>
      </x:c>
      <x:c r="K1651" s="55" t="n">
        <x:v>39524</x:v>
      </x:c>
      <x:c r="L1651" t="str">
        <x:v>Bronx</x:v>
      </x:c>
      <x:c r="M1651" t="str">
        <x:v>New York</x:v>
      </x:c>
      <x:c r="N1651" t="str">
        <x:v>DOMESTIC LIMITED LIABILITY COMPANY</x:v>
      </x:c>
      <x:c r="O1651" t="str">
        <x:v>NAT REALTY GROUP LLC</x:v>
      </x:c>
      <x:c r="P1651" t="str">
        <x:v>3397 EAST TREMONT AVENUE, BRONX, NY, 10461</x:v>
      </x:c>
      <x:c r="Q1651" t="str"/>
      <x:c r="R1651" t="str"/>
      <x:c r="S1651" t="str"/>
      <x:c r="T1651" t="str"/>
      <x:c r="U1651" t="str"/>
      <x:c r="V1651" t="str"/>
      <x:c r="W1651" t="str"/>
      <x:c r="X1651" t="str"/>
      <x:c r="Y1651" t="str">
        <x:v>https://data.ny.gov/Economic-Development/Active-Corporations-Beginning-1800/n9v6-gdp6</x:v>
      </x:c>
    </x:row>
    <x:row r="1652">
      <x:c r="A1652" t="str">
        <x:v>DOS-6-076</x:v>
      </x:c>
      <x:c r="B1652" t="n">
        <x:v>6</x:v>
      </x:c>
      <x:c r="C1652" t="str">
        <x:v>420 BROADWAY, BROOKLYN, NY, 11211, US</x:v>
      </x:c>
      <x:c r="D1652" t="str">
        <x:v>1162 BERGEN AVE LLC</x:v>
      </x:c>
      <x:c r="E1652" t="str">
        <x:v>1162 BERGEN AVE LLC</x:v>
      </x:c>
      <x:c r="F1652" t="str">
        <x:v>Address-corroborated active match</x:v>
      </x:c>
      <x:c r="G1652" t="n">
        <x:v>1</x:v>
      </x:c>
      <x:c r="H1652" t="n">
        <x:v>2</x:v>
      </x:c>
      <x:c r="I1652" t="str">
        <x:v>7719517</x:v>
      </x:c>
      <x:c r="J1652" t="str">
        <x:v>1162 BERGEN AVE LLC</x:v>
      </x:c>
      <x:c r="K1652" s="55" t="n">
        <x:v>45925</x:v>
      </x:c>
      <x:c r="L1652" t="str">
        <x:v>Kings</x:v>
      </x:c>
      <x:c r="M1652" t="str">
        <x:v>New York</x:v>
      </x:c>
      <x:c r="N1652" t="str">
        <x:v>DOMESTIC LIMITED LIABILITY COMPANY</x:v>
      </x:c>
      <x:c r="O1652" t="str">
        <x:v>CHAIM WALTER</x:v>
      </x:c>
      <x:c r="P1652" t="str">
        <x:v>420 BROADWAY, BROOKLYN, NY, 11211</x:v>
      </x:c>
      <x:c r="Q1652" t="str"/>
      <x:c r="R1652" t="str"/>
      <x:c r="S1652" t="str"/>
      <x:c r="T1652" t="str"/>
      <x:c r="U1652" t="str"/>
      <x:c r="V1652" t="str"/>
      <x:c r="W1652" t="str"/>
      <x:c r="X1652" t="str"/>
      <x:c r="Y1652" t="str">
        <x:v>https://data.ny.gov/Economic-Development/Active-Corporations-Beginning-1800/n9v6-gdp6</x:v>
      </x:c>
    </x:row>
    <x:row r="1653">
      <x:c r="A1653" t="str">
        <x:v>DOS-6-076</x:v>
      </x:c>
      <x:c r="B1653" t="n">
        <x:v>6</x:v>
      </x:c>
      <x:c r="C1653" t="str">
        <x:v>420 BROADWAY, BROOKLYN, NY, 11211, US</x:v>
      </x:c>
      <x:c r="D1653" t="str">
        <x:v>1176 NOSTRAND LLC</x:v>
      </x:c>
      <x:c r="E1653" t="str">
        <x:v>1176 NOSTRAND LLC</x:v>
      </x:c>
      <x:c r="F1653" t="str">
        <x:v>Active name match</x:v>
      </x:c>
      <x:c r="G1653" t="n">
        <x:v>1</x:v>
      </x:c>
      <x:c r="H1653" t="n">
        <x:v>0</x:v>
      </x:c>
      <x:c r="I1653" t="str">
        <x:v>6769555</x:v>
      </x:c>
      <x:c r="J1653" t="str">
        <x:v>1176 NOSTRAND, LLC</x:v>
      </x:c>
      <x:c r="K1653" s="55" t="n">
        <x:v>45005</x:v>
      </x:c>
      <x:c r="L1653" t="str">
        <x:v>Kings</x:v>
      </x:c>
      <x:c r="M1653" t="str">
        <x:v>New York</x:v>
      </x:c>
      <x:c r="N1653" t="str">
        <x:v>DOMESTIC LIMITED LIABILITY COMPANY</x:v>
      </x:c>
      <x:c r="O1653" t="str">
        <x:v>1176 Nostrand, LLC</x:v>
      </x:c>
      <x:c r="P1653" t="str">
        <x:v>857 Lexington Ave, Brooklyn, NY, 11221</x:v>
      </x:c>
      <x:c r="Q1653" t="str"/>
      <x:c r="R1653" t="str"/>
      <x:c r="S1653" t="str"/>
      <x:c r="T1653" t="str"/>
      <x:c r="U1653" t="str"/>
      <x:c r="V1653" t="str"/>
      <x:c r="W1653" t="str"/>
      <x:c r="X1653" t="str"/>
      <x:c r="Y1653" t="str">
        <x:v>https://data.ny.gov/Economic-Development/Active-Corporations-Beginning-1800/n9v6-gdp6</x:v>
      </x:c>
    </x:row>
    <x:row r="1654">
      <x:c r="A1654" t="str">
        <x:v>DOS-6-076</x:v>
      </x:c>
      <x:c r="B1654" t="n">
        <x:v>6</x:v>
      </x:c>
      <x:c r="C1654" t="str">
        <x:v>420 BROADWAY, BROOKLYN, NY, 11211, US</x:v>
      </x:c>
      <x:c r="D1654" t="str">
        <x:v>LIBERTY AVE MANAGEMENT LLC</x:v>
      </x:c>
      <x:c r="E1654" t="str">
        <x:v>LIBERTY AVE MANAGEMENT LLC</x:v>
      </x:c>
      <x:c r="F1654" t="str">
        <x:v>Address-corroborated active match</x:v>
      </x:c>
      <x:c r="G1654" t="n">
        <x:v>1</x:v>
      </x:c>
      <x:c r="H1654" t="n">
        <x:v>2</x:v>
      </x:c>
      <x:c r="I1654" t="str">
        <x:v>7270333</x:v>
      </x:c>
      <x:c r="J1654" t="str">
        <x:v>LIBERTY AVE MANAGEMENT LLC</x:v>
      </x:c>
      <x:c r="K1654" s="55" t="n">
        <x:v>45355</x:v>
      </x:c>
      <x:c r="L1654" t="str">
        <x:v>Sullivan</x:v>
      </x:c>
      <x:c r="M1654" t="str">
        <x:v>New York</x:v>
      </x:c>
      <x:c r="N1654" t="str">
        <x:v>DOMESTIC LIMITED LIABILITY COMPANY</x:v>
      </x:c>
      <x:c r="O1654" t="str">
        <x:v>GFI CAPITAL INC</x:v>
      </x:c>
      <x:c r="P1654" t="str">
        <x:v>420 BROADWAY, BROOKLYN, NY, 11211</x:v>
      </x:c>
      <x:c r="Q1654" t="str"/>
      <x:c r="R1654" t="str"/>
      <x:c r="S1654" t="str">
        <x:v>HENRY WALTER</x:v>
      </x:c>
      <x:c r="T1654" t="str">
        <x:v>420 BROADWAY, BROOKLYN, NEW YORK, 11211</x:v>
      </x:c>
      <x:c r="U1654" t="str"/>
      <x:c r="V1654" t="str"/>
      <x:c r="W1654" t="str"/>
      <x:c r="X1654" t="str"/>
      <x:c r="Y1654" t="str">
        <x:v>https://data.ny.gov/Economic-Development/Active-Corporations-Beginning-1800/n9v6-gdp6</x:v>
      </x:c>
    </x:row>
    <x:row r="1655">
      <x:c r="A1655" t="str">
        <x:v>DOS-6-076</x:v>
      </x:c>
      <x:c r="B1655" t="n">
        <x:v>6</x:v>
      </x:c>
      <x:c r="C1655" t="str">
        <x:v>420 BROADWAY, BROOKLYN, NY, 11211, US</x:v>
      </x:c>
      <x:c r="D1655" t="str">
        <x:v>MELLON MANAGEMENT LLC</x:v>
      </x:c>
      <x:c r="E1655" t="str">
        <x:v>MELLON MANAGEMENT LLC</x:v>
      </x:c>
      <x:c r="F1655" t="str">
        <x:v>Address-corroborated active match</x:v>
      </x:c>
      <x:c r="G1655" t="n">
        <x:v>1</x:v>
      </x:c>
      <x:c r="H1655" t="n">
        <x:v>2</x:v>
      </x:c>
      <x:c r="I1655" t="str">
        <x:v>4779173</x:v>
      </x:c>
      <x:c r="J1655" t="str">
        <x:v>MELLON MANAGEMENT, LLC</x:v>
      </x:c>
      <x:c r="K1655" s="55" t="n">
        <x:v>42178</x:v>
      </x:c>
      <x:c r="L1655" t="str">
        <x:v>Kings</x:v>
      </x:c>
      <x:c r="M1655" t="str">
        <x:v>New York</x:v>
      </x:c>
      <x:c r="N1655" t="str">
        <x:v>DOMESTIC LIMITED LIABILITY COMPANY</x:v>
      </x:c>
      <x:c r="O1655" t="str">
        <x:v>MELLON MANAGEMENT, LLC</x:v>
      </x:c>
      <x:c r="P1655" t="str">
        <x:v>420 BROADWAY, BROOKLYN, NY, 11211</x:v>
      </x:c>
      <x:c r="Q1655" t="str"/>
      <x:c r="R1655" t="str"/>
      <x:c r="S1655" t="str"/>
      <x:c r="T1655" t="str"/>
      <x:c r="U1655" t="str"/>
      <x:c r="V1655" t="str"/>
      <x:c r="W1655" t="str"/>
      <x:c r="X1655" t="str"/>
      <x:c r="Y1655" t="str">
        <x:v>https://data.ny.gov/Economic-Development/Active-Corporations-Beginning-1800/n9v6-gdp6</x:v>
      </x:c>
    </x:row>
    <x:row r="1656">
      <x:c r="A1656" t="str">
        <x:v>DOS-6-076</x:v>
      </x:c>
      <x:c r="B1656" t="n">
        <x:v>6</x:v>
      </x:c>
      <x:c r="C1656" t="str">
        <x:v>420 BROADWAY, BROOKLYN, NY, 11211, US</x:v>
      </x:c>
      <x:c r="D1656" t="str">
        <x:v>YOOX HOLDING LLC</x:v>
      </x:c>
      <x:c r="E1656" t="str">
        <x:v>YOOX HOLDING LLC</x:v>
      </x:c>
      <x:c r="F1656" t="str">
        <x:v>Address-corroborated active match</x:v>
      </x:c>
      <x:c r="G1656" t="n">
        <x:v>1</x:v>
      </x:c>
      <x:c r="H1656" t="n">
        <x:v>2</x:v>
      </x:c>
      <x:c r="I1656" t="str">
        <x:v>5894798</x:v>
      </x:c>
      <x:c r="J1656" t="str">
        <x:v>YOOX HOLDING LLC</x:v>
      </x:c>
      <x:c r="K1656" s="55" t="n">
        <x:v>44175</x:v>
      </x:c>
      <x:c r="L1656" t="str">
        <x:v>Kings</x:v>
      </x:c>
      <x:c r="M1656" t="str">
        <x:v>Delaware</x:v>
      </x:c>
      <x:c r="N1656" t="str">
        <x:v>FOREIGN LIMITED LIABILITY COMPANY</x:v>
      </x:c>
      <x:c r="O1656" t="str">
        <x:v>HENRY WALTER</x:v>
      </x:c>
      <x:c r="P1656" t="str">
        <x:v>420 BROADWAY, BROOKLYN, NY, 11211</x:v>
      </x:c>
      <x:c r="Q1656" t="str"/>
      <x:c r="R1656" t="str"/>
      <x:c r="S1656" t="str"/>
      <x:c r="T1656" t="str"/>
      <x:c r="U1656" t="str"/>
      <x:c r="V1656" t="str"/>
      <x:c r="W1656" t="str"/>
      <x:c r="X1656" t="str"/>
      <x:c r="Y1656" t="str">
        <x:v>https://data.ny.gov/Economic-Development/Active-Corporations-Beginning-1800/n9v6-gdp6</x:v>
      </x:c>
    </x:row>
    <x:row r="1657">
      <x:c r="A1657" t="str">
        <x:v>DOS-6-076</x:v>
      </x:c>
      <x:c r="B1657" t="n">
        <x:v>6</x:v>
      </x:c>
      <x:c r="C1657" t="str">
        <x:v>420 BROADWAY, BROOKLYN, NY, 11211, US</x:v>
      </x:c>
      <x:c r="D1657" t="str">
        <x:v>YYS INVESTORS LLC</x:v>
      </x:c>
      <x:c r="E1657" t="str">
        <x:v>YYS INVESTORS LLC</x:v>
      </x:c>
      <x:c r="F1657" t="str">
        <x:v>Active name match</x:v>
      </x:c>
      <x:c r="G1657" t="n">
        <x:v>1</x:v>
      </x:c>
      <x:c r="H1657" t="n">
        <x:v>1</x:v>
      </x:c>
      <x:c r="I1657" t="str">
        <x:v>6610163</x:v>
      </x:c>
      <x:c r="J1657" t="str">
        <x:v>YYS INVESTORS LLC</x:v>
      </x:c>
      <x:c r="K1657" s="55" t="n">
        <x:v>44840</x:v>
      </x:c>
      <x:c r="L1657" t="str">
        <x:v>Kings</x:v>
      </x:c>
      <x:c r="M1657" t="str">
        <x:v>New York</x:v>
      </x:c>
      <x:c r="N1657" t="str">
        <x:v>DOMESTIC LIMITED LIABILITY COMPANY</x:v>
      </x:c>
      <x:c r="O1657" t="str">
        <x:v>YYS INVESTORS LLC</x:v>
      </x:c>
      <x:c r="P1657" t="str">
        <x:v>185 Clymer Street Suite 113a, BROOKLYN, NY, 11211</x:v>
      </x:c>
      <x:c r="Q1657" t="str"/>
      <x:c r="R1657" t="str"/>
      <x:c r="S1657" t="str"/>
      <x:c r="T1657" t="str"/>
      <x:c r="U1657" t="str"/>
      <x:c r="V1657" t="str"/>
      <x:c r="W1657" t="str"/>
      <x:c r="X1657" t="str"/>
      <x:c r="Y1657" t="str">
        <x:v>https://data.ny.gov/Economic-Development/Active-Corporations-Beginning-1800/n9v6-gdp6</x:v>
      </x:c>
    </x:row>
    <x:row r="1658">
      <x:c r="A1658" t="str">
        <x:v>DOS-6-077</x:v>
      </x:c>
      <x:c r="B1658" t="n">
        <x:v>6</x:v>
      </x:c>
      <x:c r="C1658" t="str">
        <x:v>44-12 43RD AVENUE, SUNNYSIDE, NY, 11104, US</x:v>
      </x:c>
      <x:c r="D1658" t="str">
        <x:v>271 CHURCH REALTY LLC</x:v>
      </x:c>
      <x:c r="E1658" t="str">
        <x:v>271 CHURCH REALTY LLC</x:v>
      </x:c>
      <x:c r="F1658" t="str">
        <x:v>Address-corroborated active match</x:v>
      </x:c>
      <x:c r="G1658" t="n">
        <x:v>1</x:v>
      </x:c>
      <x:c r="H1658" t="n">
        <x:v>2</x:v>
      </x:c>
      <x:c r="I1658" t="str">
        <x:v>5305187</x:v>
      </x:c>
      <x:c r="J1658" t="str">
        <x:v>271 CHURCH REALTY LLC</x:v>
      </x:c>
      <x:c r="K1658" s="55" t="n">
        <x:v>43175</x:v>
      </x:c>
      <x:c r="L1658" t="str">
        <x:v>Queens</x:v>
      </x:c>
      <x:c r="M1658" t="str">
        <x:v>New York</x:v>
      </x:c>
      <x:c r="N1658" t="str">
        <x:v>DOMESTIC LIMITED LIABILITY COMPANY</x:v>
      </x:c>
      <x:c r="O1658" t="str">
        <x:v>271 CHURCH REALTY LLC</x:v>
      </x:c>
      <x:c r="P1658" t="str">
        <x:v>44-12 43RD AVENUE, SUNNYSIDE, NY, 11104</x:v>
      </x:c>
      <x:c r="Q1658" t="str"/>
      <x:c r="R1658" t="str"/>
      <x:c r="S1658" t="str"/>
      <x:c r="T1658" t="str"/>
      <x:c r="U1658" t="str"/>
      <x:c r="V1658" t="str"/>
      <x:c r="W1658" t="str"/>
      <x:c r="X1658" t="str"/>
      <x:c r="Y1658" t="str">
        <x:v>https://data.ny.gov/Economic-Development/Active-Corporations-Beginning-1800/n9v6-gdp6</x:v>
      </x:c>
    </x:row>
    <x:row r="1659">
      <x:c r="A1659" t="str">
        <x:v>DOS-6-077</x:v>
      </x:c>
      <x:c r="B1659" t="n">
        <x:v>6</x:v>
      </x:c>
      <x:c r="C1659" t="str">
        <x:v>44-12 43RD AVENUE, SUNNYSIDE, NY, 11104, US</x:v>
      </x:c>
      <x:c r="D1659" t="str">
        <x:v>59 29 REALTY LLC</x:v>
      </x:c>
      <x:c r="E1659" t="str">
        <x:v>59-29 REALTY LLC</x:v>
      </x:c>
      <x:c r="F1659" t="str">
        <x:v>Address-corroborated active match</x:v>
      </x:c>
      <x:c r="G1659" t="n">
        <x:v>1</x:v>
      </x:c>
      <x:c r="H1659" t="n">
        <x:v>2</x:v>
      </x:c>
      <x:c r="I1659" t="str">
        <x:v>3744631</x:v>
      </x:c>
      <x:c r="J1659" t="str">
        <x:v>59-29 REALTY LLC</x:v>
      </x:c>
      <x:c r="K1659" s="55" t="n">
        <x:v>39771</x:v>
      </x:c>
      <x:c r="L1659" t="str">
        <x:v>Queens</x:v>
      </x:c>
      <x:c r="M1659" t="str">
        <x:v>New York</x:v>
      </x:c>
      <x:c r="N1659" t="str">
        <x:v>DOMESTIC LIMITED LIABILITY COMPANY</x:v>
      </x:c>
      <x:c r="O1659" t="str">
        <x:v>ATHENA VRETTOS</x:v>
      </x:c>
      <x:c r="P1659" t="str">
        <x:v>44-12 43RD AVENUE, SUNNYSIDE, NY, 11104</x:v>
      </x:c>
      <x:c r="Q1659" t="str"/>
      <x:c r="R1659" t="str"/>
      <x:c r="S1659" t="str"/>
      <x:c r="T1659" t="str"/>
      <x:c r="U1659" t="str"/>
      <x:c r="V1659" t="str"/>
      <x:c r="W1659" t="str"/>
      <x:c r="X1659" t="str"/>
      <x:c r="Y1659" t="str">
        <x:v>https://data.ny.gov/Economic-Development/Active-Corporations-Beginning-1800/n9v6-gdp6</x:v>
      </x:c>
    </x:row>
    <x:row r="1660">
      <x:c r="A1660" t="str">
        <x:v>DOS-6-077</x:v>
      </x:c>
      <x:c r="B1660" t="n">
        <x:v>6</x:v>
      </x:c>
      <x:c r="C1660" t="str">
        <x:v>44-12 43RD AVENUE, SUNNYSIDE, NY, 11104, US</x:v>
      </x:c>
      <x:c r="D1660" t="str">
        <x:v>72 E FIRST REALTY LLC</x:v>
      </x:c>
      <x:c r="E1660" t="str">
        <x:v>72 E FIRST REALTY LLC</x:v>
      </x:c>
      <x:c r="F1660" t="str">
        <x:v>Address-corroborated active match</x:v>
      </x:c>
      <x:c r="G1660" t="n">
        <x:v>1</x:v>
      </x:c>
      <x:c r="H1660" t="n">
        <x:v>2</x:v>
      </x:c>
      <x:c r="I1660" t="str">
        <x:v>5305190</x:v>
      </x:c>
      <x:c r="J1660" t="str">
        <x:v>72 E FIRST REALTY LLC</x:v>
      </x:c>
      <x:c r="K1660" s="55" t="n">
        <x:v>43175</x:v>
      </x:c>
      <x:c r="L1660" t="str">
        <x:v>Queens</x:v>
      </x:c>
      <x:c r="M1660" t="str">
        <x:v>New York</x:v>
      </x:c>
      <x:c r="N1660" t="str">
        <x:v>DOMESTIC LIMITED LIABILITY COMPANY</x:v>
      </x:c>
      <x:c r="O1660" t="str">
        <x:v>72 E FIRST REALTY LLC</x:v>
      </x:c>
      <x:c r="P1660" t="str">
        <x:v>44-12 43RD AVENUE, SUNNYSIDE, NY, 11104</x:v>
      </x:c>
      <x:c r="Q1660" t="str"/>
      <x:c r="R1660" t="str"/>
      <x:c r="S1660" t="str"/>
      <x:c r="T1660" t="str"/>
      <x:c r="U1660" t="str"/>
      <x:c r="V1660" t="str"/>
      <x:c r="W1660" t="str"/>
      <x:c r="X1660" t="str"/>
      <x:c r="Y1660" t="str">
        <x:v>https://data.ny.gov/Economic-Development/Active-Corporations-Beginning-1800/n9v6-gdp6</x:v>
      </x:c>
    </x:row>
    <x:row r="1661">
      <x:c r="A1661" t="str">
        <x:v>DOS-6-077</x:v>
      </x:c>
      <x:c r="B1661" t="n">
        <x:v>6</x:v>
      </x:c>
      <x:c r="C1661" t="str">
        <x:v>44-12 43RD AVENUE, SUNNYSIDE, NY, 11104, US</x:v>
      </x:c>
      <x:c r="D1661" t="str">
        <x:v>NIKIANI REALTY LLC</x:v>
      </x:c>
      <x:c r="E1661" t="str">
        <x:v>NIKIANI REALTY LLC</x:v>
      </x:c>
      <x:c r="F1661" t="str">
        <x:v>Address-corroborated active match</x:v>
      </x:c>
      <x:c r="G1661" t="n">
        <x:v>1</x:v>
      </x:c>
      <x:c r="H1661" t="n">
        <x:v>2</x:v>
      </x:c>
      <x:c r="I1661" t="str">
        <x:v>3744026</x:v>
      </x:c>
      <x:c r="J1661" t="str">
        <x:v>NIKIANI REALTY LLC</x:v>
      </x:c>
      <x:c r="K1661" s="55" t="n">
        <x:v>39770</x:v>
      </x:c>
      <x:c r="L1661" t="str">
        <x:v>Queens</x:v>
      </x:c>
      <x:c r="M1661" t="str">
        <x:v>New York</x:v>
      </x:c>
      <x:c r="N1661" t="str">
        <x:v>DOMESTIC LIMITED LIABILITY COMPANY</x:v>
      </x:c>
      <x:c r="O1661" t="str">
        <x:v>ATHENA VRETTOS</x:v>
      </x:c>
      <x:c r="P1661" t="str">
        <x:v>44-12 43RD AVE, SUNNYSIDE, NY, 11104</x:v>
      </x:c>
      <x:c r="Q1661" t="str"/>
      <x:c r="R1661" t="str"/>
      <x:c r="S1661" t="str"/>
      <x:c r="T1661" t="str"/>
      <x:c r="U1661" t="str"/>
      <x:c r="V1661" t="str"/>
      <x:c r="W1661" t="str"/>
      <x:c r="X1661" t="str"/>
      <x:c r="Y1661" t="str">
        <x:v>https://data.ny.gov/Economic-Development/Active-Corporations-Beginning-1800/n9v6-gdp6</x:v>
      </x:c>
    </x:row>
    <x:row r="1662">
      <x:c r="A1662" t="str">
        <x:v>DOS-6-077</x:v>
      </x:c>
      <x:c r="B1662" t="n">
        <x:v>6</x:v>
      </x:c>
      <x:c r="C1662" t="str">
        <x:v>44-12 43RD AVENUE, SUNNYSIDE, NY, 11104, US</x:v>
      </x:c>
      <x:c r="D1662" t="str">
        <x:v>NV SIXTY STREET REALTY LLC</x:v>
      </x:c>
      <x:c r="E1662" t="str">
        <x:v>NV SIXTY STREET REALTY LLC</x:v>
      </x:c>
      <x:c r="F1662" t="str">
        <x:v>Address-corroborated active match</x:v>
      </x:c>
      <x:c r="G1662" t="n">
        <x:v>1</x:v>
      </x:c>
      <x:c r="H1662" t="n">
        <x:v>2</x:v>
      </x:c>
      <x:c r="I1662" t="str">
        <x:v>3744641</x:v>
      </x:c>
      <x:c r="J1662" t="str">
        <x:v>NV SIXTY STREET REALTY LLC</x:v>
      </x:c>
      <x:c r="K1662" s="55" t="n">
        <x:v>39771</x:v>
      </x:c>
      <x:c r="L1662" t="str">
        <x:v>Queens</x:v>
      </x:c>
      <x:c r="M1662" t="str">
        <x:v>New York</x:v>
      </x:c>
      <x:c r="N1662" t="str">
        <x:v>DOMESTIC LIMITED LIABILITY COMPANY</x:v>
      </x:c>
      <x:c r="O1662" t="str">
        <x:v>NV SIXTY STREET REALTY LLC</x:v>
      </x:c>
      <x:c r="P1662" t="str">
        <x:v>44-12 43RD AVENUE, SUNNYSIDE, NY, 11104</x:v>
      </x:c>
      <x:c r="Q1662" t="str"/>
      <x:c r="R1662" t="str"/>
      <x:c r="S1662" t="str"/>
      <x:c r="T1662" t="str"/>
      <x:c r="U1662" t="str"/>
      <x:c r="V1662" t="str"/>
      <x:c r="W1662" t="str"/>
      <x:c r="X1662" t="str"/>
      <x:c r="Y1662" t="str">
        <x:v>https://data.ny.gov/Economic-Development/Active-Corporations-Beginning-1800/n9v6-gdp6</x:v>
      </x:c>
    </x:row>
    <x:row r="1663">
      <x:c r="A1663" t="str">
        <x:v>DOS-6-077</x:v>
      </x:c>
      <x:c r="B1663" t="n">
        <x:v>6</x:v>
      </x:c>
      <x:c r="C1663" t="str">
        <x:v>44-12 43RD AVENUE, SUNNYSIDE, NY, 11104, US</x:v>
      </x:c>
      <x:c r="D1663" t="str">
        <x:v>VRETTOS HOLDINGS LLC</x:v>
      </x:c>
      <x:c r="E1663" t="str">
        <x:v>VRETTOS HOLDINGS, LLC</x:v>
      </x:c>
      <x:c r="F1663" t="str">
        <x:v>Address-corroborated active match</x:v>
      </x:c>
      <x:c r="G1663" t="n">
        <x:v>1</x:v>
      </x:c>
      <x:c r="H1663" t="n">
        <x:v>2</x:v>
      </x:c>
      <x:c r="I1663" t="str">
        <x:v>3760233</x:v>
      </x:c>
      <x:c r="J1663" t="str">
        <x:v>VRETTOS HOLDINGS LLC</x:v>
      </x:c>
      <x:c r="K1663" s="55" t="n">
        <x:v>39820</x:v>
      </x:c>
      <x:c r="L1663" t="str">
        <x:v>Queens</x:v>
      </x:c>
      <x:c r="M1663" t="str">
        <x:v>New York</x:v>
      </x:c>
      <x:c r="N1663" t="str">
        <x:v>DOMESTIC LIMITED LIABILITY COMPANY</x:v>
      </x:c>
      <x:c r="O1663" t="str">
        <x:v>VRETTOS HOLDINGS LLC</x:v>
      </x:c>
      <x:c r="P1663" t="str">
        <x:v>44-12 43RD AVENUE, SUNNYSIDE, NY, 11104</x:v>
      </x:c>
      <x:c r="Q1663" t="str"/>
      <x:c r="R1663" t="str"/>
      <x:c r="S1663" t="str"/>
      <x:c r="T1663" t="str"/>
      <x:c r="U1663" t="str"/>
      <x:c r="V1663" t="str"/>
      <x:c r="W1663" t="str"/>
      <x:c r="X1663" t="str"/>
      <x:c r="Y1663" t="str">
        <x:v>https://data.ny.gov/Economic-Development/Active-Corporations-Beginning-1800/n9v6-gdp6</x:v>
      </x:c>
    </x:row>
    <x:row r="1664">
      <x:c r="A1664" t="str">
        <x:v>DOS-6-078</x:v>
      </x:c>
      <x:c r="B1664" t="n">
        <x:v>6</x:v>
      </x:c>
      <x:c r="C1664" t="str">
        <x:v>443 4TH STREET, BROOKLYN, NY, 11215, US</x:v>
      </x:c>
      <x:c r="D1664" t="str">
        <x:v>HERKIMER 15 LLC</x:v>
      </x:c>
      <x:c r="E1664" t="str">
        <x:v>HERKIMER 15 LLC</x:v>
      </x:c>
      <x:c r="F1664" t="str">
        <x:v>Address-corroborated active match</x:v>
      </x:c>
      <x:c r="G1664" t="n">
        <x:v>1</x:v>
      </x:c>
      <x:c r="H1664" t="n">
        <x:v>2</x:v>
      </x:c>
      <x:c r="I1664" t="str">
        <x:v>3599549</x:v>
      </x:c>
      <x:c r="J1664" t="str">
        <x:v>HERKIMER 15 LLC</x:v>
      </x:c>
      <x:c r="K1664" s="55" t="n">
        <x:v>39416</x:v>
      </x:c>
      <x:c r="L1664" t="str">
        <x:v>Kings</x:v>
      </x:c>
      <x:c r="M1664" t="str">
        <x:v>New York</x:v>
      </x:c>
      <x:c r="N1664" t="str">
        <x:v>DOMESTIC LIMITED LIABILITY COMPANY</x:v>
      </x:c>
      <x:c r="O1664" t="str">
        <x:v>HERKIMER 15 LLC</x:v>
      </x:c>
      <x:c r="P1664" t="str">
        <x:v>443 4TH ST, BROOKLYN, NY, 11215</x:v>
      </x:c>
      <x:c r="Q1664" t="str"/>
      <x:c r="R1664" t="str"/>
      <x:c r="S1664" t="str"/>
      <x:c r="T1664" t="str"/>
      <x:c r="U1664" t="str"/>
      <x:c r="V1664" t="str"/>
      <x:c r="W1664" t="str"/>
      <x:c r="X1664" t="str"/>
      <x:c r="Y1664" t="str">
        <x:v>https://data.ny.gov/Economic-Development/Active-Corporations-Beginning-1800/n9v6-gdp6</x:v>
      </x:c>
    </x:row>
    <x:row r="1665">
      <x:c r="A1665" t="str">
        <x:v>DOS-6-078</x:v>
      </x:c>
      <x:c r="B1665" t="n">
        <x:v>6</x:v>
      </x:c>
      <x:c r="C1665" t="str">
        <x:v>443 4TH STREET, BROOKLYN, NY, 11215, US</x:v>
      </x:c>
      <x:c r="D1665" t="str">
        <x:v>HERKIMER GARDENS LLC</x:v>
      </x:c>
      <x:c r="E1665" t="str">
        <x:v>HERKIMER GARDENS LLC</x:v>
      </x:c>
      <x:c r="F1665" t="str">
        <x:v>Address-corroborated active match</x:v>
      </x:c>
      <x:c r="G1665" t="n">
        <x:v>1</x:v>
      </x:c>
      <x:c r="H1665" t="n">
        <x:v>2</x:v>
      </x:c>
      <x:c r="I1665" t="str">
        <x:v>3556464</x:v>
      </x:c>
      <x:c r="J1665" t="str">
        <x:v>HERKIMER GARDENS LLC</x:v>
      </x:c>
      <x:c r="K1665" s="55" t="n">
        <x:v>39309</x:v>
      </x:c>
      <x:c r="L1665" t="str">
        <x:v>Kings</x:v>
      </x:c>
      <x:c r="M1665" t="str">
        <x:v>New York</x:v>
      </x:c>
      <x:c r="N1665" t="str">
        <x:v>DOMESTIC LIMITED LIABILITY COMPANY</x:v>
      </x:c>
      <x:c r="O1665" t="str">
        <x:v>HERKIMER GARDENS LLC</x:v>
      </x:c>
      <x:c r="P1665" t="str">
        <x:v>443 4TH ST., BROOKLYN, NY, 11215</x:v>
      </x:c>
      <x:c r="Q1665" t="str"/>
      <x:c r="R1665" t="str"/>
      <x:c r="S1665" t="str"/>
      <x:c r="T1665" t="str"/>
      <x:c r="U1665" t="str"/>
      <x:c r="V1665" t="str"/>
      <x:c r="W1665" t="str"/>
      <x:c r="X1665" t="str"/>
      <x:c r="Y1665" t="str">
        <x:v>https://data.ny.gov/Economic-Development/Active-Corporations-Beginning-1800/n9v6-gdp6</x:v>
      </x:c>
    </x:row>
    <x:row r="1666">
      <x:c r="A1666" t="str">
        <x:v>DOS-6-078</x:v>
      </x:c>
      <x:c r="B1666" t="n">
        <x:v>6</x:v>
      </x:c>
      <x:c r="C1666" t="str">
        <x:v>443 4TH STREET, BROOKLYN, NY, 11215, US</x:v>
      </x:c>
      <x:c r="D1666" t="str">
        <x:v>MINOP 868 LLC</x:v>
      </x:c>
      <x:c r="E1666" t="str">
        <x:v>MINOP 868 LLC</x:v>
      </x:c>
      <x:c r="F1666" t="str">
        <x:v>Address-corroborated active match</x:v>
      </x:c>
      <x:c r="G1666" t="n">
        <x:v>1</x:v>
      </x:c>
      <x:c r="H1666" t="n">
        <x:v>2</x:v>
      </x:c>
      <x:c r="I1666" t="str">
        <x:v>3599579</x:v>
      </x:c>
      <x:c r="J1666" t="str">
        <x:v>MINOP 868 LLC</x:v>
      </x:c>
      <x:c r="K1666" s="55" t="n">
        <x:v>39416</x:v>
      </x:c>
      <x:c r="L1666" t="str">
        <x:v>Kings</x:v>
      </x:c>
      <x:c r="M1666" t="str">
        <x:v>New York</x:v>
      </x:c>
      <x:c r="N1666" t="str">
        <x:v>DOMESTIC LIMITED LIABILITY COMPANY</x:v>
      </x:c>
      <x:c r="O1666" t="str">
        <x:v>MINOP 868 LLC</x:v>
      </x:c>
      <x:c r="P1666" t="str">
        <x:v>443 4TH ST., BROOKLYN, NY, 11215</x:v>
      </x:c>
      <x:c r="Q1666" t="str"/>
      <x:c r="R1666" t="str"/>
      <x:c r="S1666" t="str"/>
      <x:c r="T1666" t="str"/>
      <x:c r="U1666" t="str"/>
      <x:c r="V1666" t="str"/>
      <x:c r="W1666" t="str"/>
      <x:c r="X1666" t="str"/>
      <x:c r="Y1666" t="str">
        <x:v>https://data.ny.gov/Economic-Development/Active-Corporations-Beginning-1800/n9v6-gdp6</x:v>
      </x:c>
    </x:row>
    <x:row r="1667">
      <x:c r="A1667" t="str">
        <x:v>DOS-6-078</x:v>
      </x:c>
      <x:c r="B1667" t="n">
        <x:v>6</x:v>
      </x:c>
      <x:c r="C1667" t="str">
        <x:v>443 4TH STREET, BROOKLYN, NY, 11215, US</x:v>
      </x:c>
      <x:c r="D1667" t="str">
        <x:v>MINOP LLC</x:v>
      </x:c>
      <x:c r="E1667" t="str">
        <x:v>MINOP LLC</x:v>
      </x:c>
      <x:c r="F1667" t="str">
        <x:v>Active name match</x:v>
      </x:c>
      <x:c r="G1667" t="n">
        <x:v>1</x:v>
      </x:c>
      <x:c r="H1667" t="n">
        <x:v>1</x:v>
      </x:c>
      <x:c r="I1667" t="str">
        <x:v>3599555</x:v>
      </x:c>
      <x:c r="J1667" t="str">
        <x:v>MINOP LLC</x:v>
      </x:c>
      <x:c r="K1667" s="55" t="n">
        <x:v>39416</x:v>
      </x:c>
      <x:c r="L1667" t="str">
        <x:v>Kings</x:v>
      </x:c>
      <x:c r="M1667" t="str">
        <x:v>New York</x:v>
      </x:c>
      <x:c r="N1667" t="str">
        <x:v>DOMESTIC LIMITED LIABILITY COMPANY</x:v>
      </x:c>
      <x:c r="O1667" t="str">
        <x:v>MINOP LLC</x:v>
      </x:c>
      <x:c r="P1667" t="str">
        <x:v>443 4 STREET, BROOKLYN, NY, 11215</x:v>
      </x:c>
      <x:c r="Q1667" t="str"/>
      <x:c r="R1667" t="str"/>
      <x:c r="S1667" t="str"/>
      <x:c r="T1667" t="str"/>
      <x:c r="U1667" t="str"/>
      <x:c r="V1667" t="str"/>
      <x:c r="W1667" t="str"/>
      <x:c r="X1667" t="str"/>
      <x:c r="Y1667" t="str">
        <x:v>https://data.ny.gov/Economic-Development/Active-Corporations-Beginning-1800/n9v6-gdp6</x:v>
      </x:c>
    </x:row>
    <x:row r="1668">
      <x:c r="A1668" t="str">
        <x:v>DOS-6-078</x:v>
      </x:c>
      <x:c r="B1668" t="n">
        <x:v>6</x:v>
      </x:c>
      <x:c r="C1668" t="str">
        <x:v>443 4TH STREET, BROOKLYN, NY, 11215, US</x:v>
      </x:c>
      <x:c r="D1668" t="str">
        <x:v>MINOP REALTY GROUP LLC</x:v>
      </x:c>
      <x:c r="E1668" t="str">
        <x:v>MINOP REALTY GROUP LLC</x:v>
      </x:c>
      <x:c r="F1668" t="str">
        <x:v>Address-corroborated active match</x:v>
      </x:c>
      <x:c r="G1668" t="n">
        <x:v>1</x:v>
      </x:c>
      <x:c r="H1668" t="n">
        <x:v>2</x:v>
      </x:c>
      <x:c r="I1668" t="str">
        <x:v>3599552</x:v>
      </x:c>
      <x:c r="J1668" t="str">
        <x:v>MINOP REALTY GROUP LLC</x:v>
      </x:c>
      <x:c r="K1668" s="55" t="n">
        <x:v>39416</x:v>
      </x:c>
      <x:c r="L1668" t="str">
        <x:v>Kings</x:v>
      </x:c>
      <x:c r="M1668" t="str">
        <x:v>New York</x:v>
      </x:c>
      <x:c r="N1668" t="str">
        <x:v>DOMESTIC LIMITED LIABILITY COMPANY</x:v>
      </x:c>
      <x:c r="O1668" t="str">
        <x:v>MINOP REALTY GROUP LLC</x:v>
      </x:c>
      <x:c r="P1668" t="str">
        <x:v>443 4TH ST., BROOKLYN, NY, 11215</x:v>
      </x:c>
      <x:c r="Q1668" t="str"/>
      <x:c r="R1668" t="str"/>
      <x:c r="S1668" t="str"/>
      <x:c r="T1668" t="str"/>
      <x:c r="U1668" t="str"/>
      <x:c r="V1668" t="str"/>
      <x:c r="W1668" t="str"/>
      <x:c r="X1668" t="str"/>
      <x:c r="Y1668" t="str">
        <x:v>https://data.ny.gov/Economic-Development/Active-Corporations-Beginning-1800/n9v6-gdp6</x:v>
      </x:c>
    </x:row>
    <x:row r="1669">
      <x:c r="A1669" t="str">
        <x:v>DOS-6-078</x:v>
      </x:c>
      <x:c r="B1669" t="n">
        <x:v>6</x:v>
      </x:c>
      <x:c r="C1669" t="str">
        <x:v>443 4TH STREET, BROOKLYN, NY, 11215, US</x:v>
      </x:c>
      <x:c r="D1669" t="str">
        <x:v>THE BAYSWATER PROPERTIES LLC</x:v>
      </x:c>
      <x:c r="E1669" t="str">
        <x:v>THE BAYSWATER PROPERTIES LLC</x:v>
      </x:c>
      <x:c r="F1669" t="str">
        <x:v>Address-corroborated active match</x:v>
      </x:c>
      <x:c r="G1669" t="n">
        <x:v>1</x:v>
      </x:c>
      <x:c r="H1669" t="n">
        <x:v>2</x:v>
      </x:c>
      <x:c r="I1669" t="str">
        <x:v>3578896</x:v>
      </x:c>
      <x:c r="J1669" t="str">
        <x:v>THE BAYSWATER PROPERTIES LLC</x:v>
      </x:c>
      <x:c r="K1669" s="55" t="n">
        <x:v>39366</x:v>
      </x:c>
      <x:c r="L1669" t="str">
        <x:v>Kings</x:v>
      </x:c>
      <x:c r="M1669" t="str">
        <x:v>New York</x:v>
      </x:c>
      <x:c r="N1669" t="str">
        <x:v>DOMESTIC LIMITED LIABILITY COMPANY</x:v>
      </x:c>
      <x:c r="O1669" t="str">
        <x:v>THE BAYSWATER PROPERTIES LLC</x:v>
      </x:c>
      <x:c r="P1669" t="str">
        <x:v>443 4TH ST., BROOKLYN, NY, 11215</x:v>
      </x:c>
      <x:c r="Q1669" t="str"/>
      <x:c r="R1669" t="str"/>
      <x:c r="S1669" t="str"/>
      <x:c r="T1669" t="str"/>
      <x:c r="U1669" t="str"/>
      <x:c r="V1669" t="str"/>
      <x:c r="W1669" t="str"/>
      <x:c r="X1669" t="str"/>
      <x:c r="Y1669" t="str">
        <x:v>https://data.ny.gov/Economic-Development/Active-Corporations-Beginning-1800/n9v6-gdp6</x:v>
      </x:c>
    </x:row>
    <x:row r="1670">
      <x:c r="A1670" t="str">
        <x:v>DOS-6-079</x:v>
      </x:c>
      <x:c r="B1670" t="n">
        <x:v>6</x:v>
      </x:c>
      <x:c r="C1670" t="str">
        <x:v>45 NORTH STATION PLAZA, GREAT NECK, NY, 11021, US</x:v>
      </x:c>
      <x:c r="D1670" t="str">
        <x:v>11245NY LLC</x:v>
      </x:c>
      <x:c r="E1670" t="str">
        <x:v>11245NY LLC</x:v>
      </x:c>
      <x:c r="F1670" t="str">
        <x:v>Address-corroborated active match</x:v>
      </x:c>
      <x:c r="G1670" t="n">
        <x:v>1</x:v>
      </x:c>
      <x:c r="H1670" t="n">
        <x:v>2</x:v>
      </x:c>
      <x:c r="I1670" t="str">
        <x:v>7349465</x:v>
      </x:c>
      <x:c r="J1670" t="str">
        <x:v>11245NY LLC</x:v>
      </x:c>
      <x:c r="K1670" s="55" t="n">
        <x:v>45454</x:v>
      </x:c>
      <x:c r="L1670" t="str">
        <x:v>Nassau</x:v>
      </x:c>
      <x:c r="M1670" t="str">
        <x:v>New York</x:v>
      </x:c>
      <x:c r="N1670" t="str">
        <x:v>DOMESTIC LIMITED LIABILITY COMPANY</x:v>
      </x:c>
      <x:c r="O1670" t="str">
        <x:v>THE LIMITED LIABILITY COMPANY</x:v>
      </x:c>
      <x:c r="P1670" t="str">
        <x:v>45 North Station Plaza, Great Neck, NY, 11021</x:v>
      </x:c>
      <x:c r="Q1670" t="str"/>
      <x:c r="R1670" t="str"/>
      <x:c r="S1670" t="str"/>
      <x:c r="T1670" t="str"/>
      <x:c r="U1670" t="str"/>
      <x:c r="V1670" t="str"/>
      <x:c r="W1670" t="str"/>
      <x:c r="X1670" t="str"/>
      <x:c r="Y1670" t="str">
        <x:v>https://data.ny.gov/Economic-Development/Active-Corporations-Beginning-1800/n9v6-gdp6</x:v>
      </x:c>
    </x:row>
    <x:row r="1671">
      <x:c r="A1671" t="str">
        <x:v>DOS-6-079</x:v>
      </x:c>
      <x:c r="B1671" t="n">
        <x:v>6</x:v>
      </x:c>
      <x:c r="C1671" t="str">
        <x:v>45 NORTH STATION PLAZA, GREAT NECK, NY, 11021, US</x:v>
      </x:c>
      <x:c r="D1671" t="str">
        <x:v>1234 BROADWAY LLC</x:v>
      </x:c>
      <x:c r="E1671" t="str">
        <x:v>1234 BROADWAY LLC</x:v>
      </x:c>
      <x:c r="F1671" t="str">
        <x:v>Active name match</x:v>
      </x:c>
      <x:c r="G1671" t="n">
        <x:v>1</x:v>
      </x:c>
      <x:c r="H1671" t="n">
        <x:v>0</x:v>
      </x:c>
      <x:c r="I1671" t="str">
        <x:v>3000845</x:v>
      </x:c>
      <x:c r="J1671" t="str">
        <x:v>1234 BROADWAY LLC</x:v>
      </x:c>
      <x:c r="K1671" s="55" t="n">
        <x:v>38001</x:v>
      </x:c>
      <x:c r="L1671" t="str">
        <x:v>Nassau</x:v>
      </x:c>
      <x:c r="M1671" t="str">
        <x:v>New York</x:v>
      </x:c>
      <x:c r="N1671" t="str">
        <x:v>DOMESTIC LIMITED LIABILITY COMPANY</x:v>
      </x:c>
      <x:c r="O1671" t="str">
        <x:v>1234 BROADWAY LLC</x:v>
      </x:c>
      <x:c r="P1671" t="str">
        <x:v>38 W 31ST ST, NEW YORK, NY, 10001</x:v>
      </x:c>
      <x:c r="Q1671" t="str"/>
      <x:c r="R1671" t="str"/>
      <x:c r="S1671" t="str"/>
      <x:c r="T1671" t="str"/>
      <x:c r="U1671" t="str"/>
      <x:c r="V1671" t="str"/>
      <x:c r="W1671" t="str"/>
      <x:c r="X1671" t="str"/>
      <x:c r="Y1671" t="str">
        <x:v>https://data.ny.gov/Economic-Development/Active-Corporations-Beginning-1800/n9v6-gdp6</x:v>
      </x:c>
    </x:row>
    <x:row r="1672">
      <x:c r="A1672" t="str">
        <x:v>DOS-6-079</x:v>
      </x:c>
      <x:c r="B1672" t="n">
        <x:v>6</x:v>
      </x:c>
      <x:c r="C1672" t="str">
        <x:v>45 NORTH STATION PLAZA, GREAT NECK, NY, 11021, US</x:v>
      </x:c>
      <x:c r="D1672" t="str">
        <x:v>376NY LLC</x:v>
      </x:c>
      <x:c r="E1672" t="str">
        <x:v>376NY LLC</x:v>
      </x:c>
      <x:c r="F1672" t="str">
        <x:v>Address-corroborated active match</x:v>
      </x:c>
      <x:c r="G1672" t="n">
        <x:v>1</x:v>
      </x:c>
      <x:c r="H1672" t="n">
        <x:v>2</x:v>
      </x:c>
      <x:c r="I1672" t="str">
        <x:v>7746437</x:v>
      </x:c>
      <x:c r="J1672" t="str">
        <x:v>376NY LLC</x:v>
      </x:c>
      <x:c r="K1672" s="55" t="n">
        <x:v>45959</x:v>
      </x:c>
      <x:c r="L1672" t="str">
        <x:v>Nassau</x:v>
      </x:c>
      <x:c r="M1672" t="str">
        <x:v>New York</x:v>
      </x:c>
      <x:c r="N1672" t="str">
        <x:v>DOMESTIC LIMITED LIABILITY COMPANY</x:v>
      </x:c>
      <x:c r="O1672" t="str">
        <x:v>376NY LLC</x:v>
      </x:c>
      <x:c r="P1672" t="str">
        <x:v>45 North Station Plaza, Great Neck, NY, 11021</x:v>
      </x:c>
      <x:c r="Q1672" t="str"/>
      <x:c r="R1672" t="str"/>
      <x:c r="S1672" t="str"/>
      <x:c r="T1672" t="str"/>
      <x:c r="U1672" t="str"/>
      <x:c r="V1672" t="str"/>
      <x:c r="W1672" t="str"/>
      <x:c r="X1672" t="str"/>
      <x:c r="Y1672" t="str">
        <x:v>https://data.ny.gov/Economic-Development/Active-Corporations-Beginning-1800/n9v6-gdp6</x:v>
      </x:c>
    </x:row>
    <x:row r="1673">
      <x:c r="A1673" t="str">
        <x:v>DOS-6-079</x:v>
      </x:c>
      <x:c r="B1673" t="n">
        <x:v>6</x:v>
      </x:c>
      <x:c r="C1673" t="str">
        <x:v>45 NORTH STATION PLAZA, GREAT NECK, NY, 11021, US</x:v>
      </x:c>
      <x:c r="D1673" t="str">
        <x:v>J AND M PROPERTY GROUP LLC</x:v>
      </x:c>
      <x:c r="E1673" t="str">
        <x:v>J &amp; M PROPERTY GROUP LLC</x:v>
      </x:c>
      <x:c r="F1673" t="str">
        <x:v>Active name match</x:v>
      </x:c>
      <x:c r="G1673" t="n">
        <x:v>1</x:v>
      </x:c>
      <x:c r="H1673" t="n">
        <x:v>0</x:v>
      </x:c>
      <x:c r="I1673" t="str">
        <x:v>3452373</x:v>
      </x:c>
      <x:c r="J1673" t="str">
        <x:v>J &amp; M PROPERTY GROUP LLC</x:v>
      </x:c>
      <x:c r="K1673" s="55" t="n">
        <x:v>39072</x:v>
      </x:c>
      <x:c r="L1673" t="str">
        <x:v>Nassau</x:v>
      </x:c>
      <x:c r="M1673" t="str">
        <x:v>New York</x:v>
      </x:c>
      <x:c r="N1673" t="str">
        <x:v>DOMESTIC LIMITED LIABILITY COMPANY</x:v>
      </x:c>
      <x:c r="O1673" t="str">
        <x:v>J &amp; M PROPERTY GROUP LLC</x:v>
      </x:c>
      <x:c r="P1673" t="str">
        <x:v>POST OFFICE BOX 234651, GREAT NECK, NY, 11023</x:v>
      </x:c>
      <x:c r="Q1673" t="str"/>
      <x:c r="R1673" t="str"/>
      <x:c r="S1673" t="str"/>
      <x:c r="T1673" t="str"/>
      <x:c r="U1673" t="str"/>
      <x:c r="V1673" t="str"/>
      <x:c r="W1673" t="str"/>
      <x:c r="X1673" t="str"/>
      <x:c r="Y1673" t="str">
        <x:v>https://data.ny.gov/Economic-Development/Active-Corporations-Beginning-1800/n9v6-gdp6</x:v>
      </x:c>
    </x:row>
    <x:row r="1674">
      <x:c r="A1674" t="str">
        <x:v>DOS-6-079</x:v>
      </x:c>
      <x:c r="B1674" t="n">
        <x:v>6</x:v>
      </x:c>
      <x:c r="C1674" t="str">
        <x:v>45 NORTH STATION PLAZA, GREAT NECK, NY, 11021, US</x:v>
      </x:c>
      <x:c r="D1674" t="str">
        <x:v>TEN60 LLC</x:v>
      </x:c>
      <x:c r="E1674" t="str">
        <x:v>TEN60 LLC</x:v>
      </x:c>
      <x:c r="F1674" t="str">
        <x:v>Address-corroborated active match</x:v>
      </x:c>
      <x:c r="G1674" t="n">
        <x:v>1</x:v>
      </x:c>
      <x:c r="H1674" t="n">
        <x:v>2</x:v>
      </x:c>
      <x:c r="I1674" t="str">
        <x:v>6687325</x:v>
      </x:c>
      <x:c r="J1674" t="str">
        <x:v>TEN60 LLC</x:v>
      </x:c>
      <x:c r="K1674" s="55" t="n">
        <x:v>44929</x:v>
      </x:c>
      <x:c r="L1674" t="str">
        <x:v>Nassau</x:v>
      </x:c>
      <x:c r="M1674" t="str">
        <x:v>New York</x:v>
      </x:c>
      <x:c r="N1674" t="str">
        <x:v>DOMESTIC LIMITED LIABILITY COMPANY</x:v>
      </x:c>
      <x:c r="O1674" t="str">
        <x:v>THE LIMITED LIABILITY COMPANY</x:v>
      </x:c>
      <x:c r="P1674" t="str">
        <x:v>45 North Station Plaza, Suite 315, Great Neck, NY, 11021</x:v>
      </x:c>
      <x:c r="Q1674" t="str"/>
      <x:c r="R1674" t="str"/>
      <x:c r="S1674" t="str"/>
      <x:c r="T1674" t="str"/>
      <x:c r="U1674" t="str"/>
      <x:c r="V1674" t="str"/>
      <x:c r="W1674" t="str"/>
      <x:c r="X1674" t="str"/>
      <x:c r="Y1674" t="str">
        <x:v>https://data.ny.gov/Economic-Development/Active-Corporations-Beginning-1800/n9v6-gdp6</x:v>
      </x:c>
    </x:row>
    <x:row r="1675">
      <x:c r="A1675" t="str">
        <x:v>DOS-6-079</x:v>
      </x:c>
      <x:c r="B1675" t="n">
        <x:v>6</x:v>
      </x:c>
      <x:c r="C1675" t="str">
        <x:v>45 NORTH STATION PLAZA, GREAT NECK, NY, 11021, US</x:v>
      </x:c>
      <x:c r="D1675" t="str">
        <x:v>WOODSIDE50 LLC</x:v>
      </x:c>
      <x:c r="E1675" t="str">
        <x:v>WOODSIDE50 LLC</x:v>
      </x:c>
      <x:c r="F1675" t="str">
        <x:v>Active name match</x:v>
      </x:c>
      <x:c r="G1675" t="n">
        <x:v>1</x:v>
      </x:c>
      <x:c r="H1675" t="n">
        <x:v>0</x:v>
      </x:c>
      <x:c r="I1675" t="str">
        <x:v>4477940</x:v>
      </x:c>
      <x:c r="J1675" t="str">
        <x:v>WOODSIDE50 LLC</x:v>
      </x:c>
      <x:c r="K1675" s="55" t="n">
        <x:v>41572</x:v>
      </x:c>
      <x:c r="L1675" t="str">
        <x:v>Nassau</x:v>
      </x:c>
      <x:c r="M1675" t="str">
        <x:v>New York</x:v>
      </x:c>
      <x:c r="N1675" t="str">
        <x:v>DOMESTIC LIMITED LIABILITY COMPANY</x:v>
      </x:c>
      <x:c r="O1675" t="str">
        <x:v>WOODSIDE50 LLC</x:v>
      </x:c>
      <x:c r="P1675" t="str">
        <x:v>P.O. BOX 234651, GREAT NECK, NY, 11023</x:v>
      </x:c>
      <x:c r="Q1675" t="str"/>
      <x:c r="R1675" t="str"/>
      <x:c r="S1675" t="str"/>
      <x:c r="T1675" t="str"/>
      <x:c r="U1675" t="str"/>
      <x:c r="V1675" t="str"/>
      <x:c r="W1675" t="str"/>
      <x:c r="X1675" t="str"/>
      <x:c r="Y1675" t="str">
        <x:v>https://data.ny.gov/Economic-Development/Active-Corporations-Beginning-1800/n9v6-gdp6</x:v>
      </x:c>
    </x:row>
    <x:row r="1676">
      <x:c r="A1676" t="str">
        <x:v>DOS-6-080</x:v>
      </x:c>
      <x:c r="B1676" t="n">
        <x:v>6</x:v>
      </x:c>
      <x:c r="C1676" t="str">
        <x:v>58-41 63RD  STREET, MASPETH, NY, 11378, US | 58-41 63RD STREET, MASPETH, NY, 11378, US</x:v>
      </x:c>
      <x:c r="D1676" t="str">
        <x:v>105 19 METROPOLITAN AVENUE REALTY LLC</x:v>
      </x:c>
      <x:c r="E1676" t="str">
        <x:v>105-19 METROPOLITAN AVENUE REALTY , LLC</x:v>
      </x:c>
      <x:c r="F1676" t="str">
        <x:v>Address-corroborated active match</x:v>
      </x:c>
      <x:c r="G1676" t="n">
        <x:v>1</x:v>
      </x:c>
      <x:c r="H1676" t="n">
        <x:v>2</x:v>
      </x:c>
      <x:c r="I1676" t="str">
        <x:v>4329882</x:v>
      </x:c>
      <x:c r="J1676" t="str">
        <x:v>105-19 METROPOLITAN AVENUE REALTY, LLC</x:v>
      </x:c>
      <x:c r="K1676" s="55" t="n">
        <x:v>41250</x:v>
      </x:c>
      <x:c r="L1676" t="str">
        <x:v>Queens</x:v>
      </x:c>
      <x:c r="M1676" t="str">
        <x:v>New York</x:v>
      </x:c>
      <x:c r="N1676" t="str">
        <x:v>DOMESTIC LIMITED LIABILITY COMPANY</x:v>
      </x:c>
      <x:c r="O1676" t="str">
        <x:v>105-19 METROPOLITAN AVENUE REALTY, LLC</x:v>
      </x:c>
      <x:c r="P1676" t="str">
        <x:v>58-41 63RD STREET, MASPETH, NY, 11378</x:v>
      </x:c>
      <x:c r="Q1676" t="str"/>
      <x:c r="R1676" t="str"/>
      <x:c r="S1676" t="str"/>
      <x:c r="T1676" t="str"/>
      <x:c r="U1676" t="str"/>
      <x:c r="V1676" t="str"/>
      <x:c r="W1676" t="str"/>
      <x:c r="X1676" t="str"/>
      <x:c r="Y1676" t="str">
        <x:v>https://data.ny.gov/Economic-Development/Active-Corporations-Beginning-1800/n9v6-gdp6</x:v>
      </x:c>
    </x:row>
    <x:row r="1677">
      <x:c r="A1677" t="str">
        <x:v>DOS-6-080</x:v>
      </x:c>
      <x:c r="B1677" t="n">
        <x:v>6</x:v>
      </x:c>
      <x:c r="C1677" t="str">
        <x:v>58-41 63RD  STREET, MASPETH, NY, 11378, US | 58-41 63RD STREET, MASPETH, NY, 11378, US</x:v>
      </x:c>
      <x:c r="D1677" t="str">
        <x:v>105 22 METROPOLITAN AVENUE REALTY LLC</x:v>
      </x:c>
      <x:c r="E1677" t="str">
        <x:v>105-22 METROPOLITAN AVENUE REALTY LLC</x:v>
      </x:c>
      <x:c r="F1677" t="str">
        <x:v>Address-corroborated active match</x:v>
      </x:c>
      <x:c r="G1677" t="n">
        <x:v>1</x:v>
      </x:c>
      <x:c r="H1677" t="n">
        <x:v>2</x:v>
      </x:c>
      <x:c r="I1677" t="str">
        <x:v>4329855</x:v>
      </x:c>
      <x:c r="J1677" t="str">
        <x:v>105-22 METROPOLITAN AVENUE REALTY, LLC</x:v>
      </x:c>
      <x:c r="K1677" s="55" t="n">
        <x:v>41250</x:v>
      </x:c>
      <x:c r="L1677" t="str">
        <x:v>Queens</x:v>
      </x:c>
      <x:c r="M1677" t="str">
        <x:v>New York</x:v>
      </x:c>
      <x:c r="N1677" t="str">
        <x:v>DOMESTIC LIMITED LIABILITY COMPANY</x:v>
      </x:c>
      <x:c r="O1677" t="str">
        <x:v>105-22 METROPOLITAN AVENUE REALTY, LLC</x:v>
      </x:c>
      <x:c r="P1677" t="str">
        <x:v>58-41 63RD STREET, MASPETH, NY, 11378</x:v>
      </x:c>
      <x:c r="Q1677" t="str"/>
      <x:c r="R1677" t="str"/>
      <x:c r="S1677" t="str"/>
      <x:c r="T1677" t="str"/>
      <x:c r="U1677" t="str"/>
      <x:c r="V1677" t="str"/>
      <x:c r="W1677" t="str"/>
      <x:c r="X1677" t="str"/>
      <x:c r="Y1677" t="str">
        <x:v>https://data.ny.gov/Economic-Development/Active-Corporations-Beginning-1800/n9v6-gdp6</x:v>
      </x:c>
    </x:row>
    <x:row r="1678">
      <x:c r="A1678" t="str">
        <x:v>DOS-6-080</x:v>
      </x:c>
      <x:c r="B1678" t="n">
        <x:v>6</x:v>
      </x:c>
      <x:c r="C1678" t="str">
        <x:v>58-41 63RD  STREET, MASPETH, NY, 11378, US | 58-41 63RD STREET, MASPETH, NY, 11378, US</x:v>
      </x:c>
      <x:c r="D1678" t="str">
        <x:v>105 25 METROPOLITAN AVENUE REALTY LLC</x:v>
      </x:c>
      <x:c r="E1678" t="str">
        <x:v>105-25 METROPOLITAN AVENUE REALTY, LLC</x:v>
      </x:c>
      <x:c r="F1678" t="str">
        <x:v>Address-corroborated active match</x:v>
      </x:c>
      <x:c r="G1678" t="n">
        <x:v>1</x:v>
      </x:c>
      <x:c r="H1678" t="n">
        <x:v>2</x:v>
      </x:c>
      <x:c r="I1678" t="str">
        <x:v>4329875</x:v>
      </x:c>
      <x:c r="J1678" t="str">
        <x:v>105-25 METROPOLITAN AVENUE REALTY, LLC</x:v>
      </x:c>
      <x:c r="K1678" s="55" t="n">
        <x:v>41250</x:v>
      </x:c>
      <x:c r="L1678" t="str">
        <x:v>Queens</x:v>
      </x:c>
      <x:c r="M1678" t="str">
        <x:v>New York</x:v>
      </x:c>
      <x:c r="N1678" t="str">
        <x:v>DOMESTIC LIMITED LIABILITY COMPANY</x:v>
      </x:c>
      <x:c r="O1678" t="str">
        <x:v>105-25 METROPOLITAN AVENUE REALTY, LLC</x:v>
      </x:c>
      <x:c r="P1678" t="str">
        <x:v>58-41 63rd Street, MASPETH, NY, 11378</x:v>
      </x:c>
      <x:c r="Q1678" t="str"/>
      <x:c r="R1678" t="str"/>
      <x:c r="S1678" t="str"/>
      <x:c r="T1678" t="str"/>
      <x:c r="U1678" t="str"/>
      <x:c r="V1678" t="str"/>
      <x:c r="W1678" t="str"/>
      <x:c r="X1678" t="str"/>
      <x:c r="Y1678" t="str">
        <x:v>https://data.ny.gov/Economic-Development/Active-Corporations-Beginning-1800/n9v6-gdp6</x:v>
      </x:c>
    </x:row>
    <x:row r="1679">
      <x:c r="A1679" t="str">
        <x:v>DOS-6-080</x:v>
      </x:c>
      <x:c r="B1679" t="n">
        <x:v>6</x:v>
      </x:c>
      <x:c r="C1679" t="str">
        <x:v>58-41 63RD  STREET, MASPETH, NY, 11378, US | 58-41 63RD STREET, MASPETH, NY, 11378, US</x:v>
      </x:c>
      <x:c r="D1679" t="str">
        <x:v>105 27 METROPOLITAN AVENUE REALTY LLC</x:v>
      </x:c>
      <x:c r="E1679" t="str">
        <x:v>105-27 METROPOLITAN AVENUE REALTY LLC</x:v>
      </x:c>
      <x:c r="F1679" t="str">
        <x:v>Address-corroborated active match</x:v>
      </x:c>
      <x:c r="G1679" t="n">
        <x:v>1</x:v>
      </x:c>
      <x:c r="H1679" t="n">
        <x:v>2</x:v>
      </x:c>
      <x:c r="I1679" t="str">
        <x:v>4329730</x:v>
      </x:c>
      <x:c r="J1679" t="str">
        <x:v>105-27 METROPOLITAN AVENUE REALTY, LLC</x:v>
      </x:c>
      <x:c r="K1679" s="55" t="n">
        <x:v>41250</x:v>
      </x:c>
      <x:c r="L1679" t="str">
        <x:v>Queens</x:v>
      </x:c>
      <x:c r="M1679" t="str">
        <x:v>New York</x:v>
      </x:c>
      <x:c r="N1679" t="str">
        <x:v>DOMESTIC LIMITED LIABILITY COMPANY</x:v>
      </x:c>
      <x:c r="O1679" t="str">
        <x:v>105-27 METROPOLITAN AVENUE REALTY, LLC</x:v>
      </x:c>
      <x:c r="P1679" t="str">
        <x:v>58-41 63RD STREET, MASPETH, NY, 11378</x:v>
      </x:c>
      <x:c r="Q1679" t="str"/>
      <x:c r="R1679" t="str"/>
      <x:c r="S1679" t="str"/>
      <x:c r="T1679" t="str"/>
      <x:c r="U1679" t="str"/>
      <x:c r="V1679" t="str"/>
      <x:c r="W1679" t="str"/>
      <x:c r="X1679" t="str"/>
      <x:c r="Y1679" t="str">
        <x:v>https://data.ny.gov/Economic-Development/Active-Corporations-Beginning-1800/n9v6-gdp6</x:v>
      </x:c>
    </x:row>
    <x:row r="1680">
      <x:c r="A1680" t="str">
        <x:v>DOS-6-080</x:v>
      </x:c>
      <x:c r="B1680" t="n">
        <x:v>6</x:v>
      </x:c>
      <x:c r="C1680" t="str">
        <x:v>58-41 63RD  STREET, MASPETH, NY, 11378, US | 58-41 63RD STREET, MASPETH, NY, 11378, US</x:v>
      </x:c>
      <x:c r="D1680" t="str">
        <x:v>BRONTE NORTH LLC</x:v>
      </x:c>
      <x:c r="E1680" t="str">
        <x:v>BRONTE NORTH LLC</x:v>
      </x:c>
      <x:c r="F1680" t="str">
        <x:v>Address-corroborated active match</x:v>
      </x:c>
      <x:c r="G1680" t="n">
        <x:v>1</x:v>
      </x:c>
      <x:c r="H1680" t="n">
        <x:v>2</x:v>
      </x:c>
      <x:c r="I1680" t="str">
        <x:v>6735172</x:v>
      </x:c>
      <x:c r="J1680" t="str">
        <x:v>BRONTE NORTH LLC</x:v>
      </x:c>
      <x:c r="K1680" s="55" t="n">
        <x:v>44974</x:v>
      </x:c>
      <x:c r="L1680" t="str">
        <x:v>Queens</x:v>
      </x:c>
      <x:c r="M1680" t="str">
        <x:v>New York</x:v>
      </x:c>
      <x:c r="N1680" t="str">
        <x:v>DOMESTIC LIMITED LIABILITY COMPANY</x:v>
      </x:c>
      <x:c r="O1680" t="str">
        <x:v>THE LIMITED LIABILITY COMPANY</x:v>
      </x:c>
      <x:c r="P1680" t="str">
        <x:v>58-41 63rd St., Maspeth, NY, 11378</x:v>
      </x:c>
      <x:c r="Q1680" t="str"/>
      <x:c r="R1680" t="str"/>
      <x:c r="S1680" t="str"/>
      <x:c r="T1680" t="str"/>
      <x:c r="U1680" t="str"/>
      <x:c r="V1680" t="str"/>
      <x:c r="W1680" t="str"/>
      <x:c r="X1680" t="str"/>
      <x:c r="Y1680" t="str">
        <x:v>https://data.ny.gov/Economic-Development/Active-Corporations-Beginning-1800/n9v6-gdp6</x:v>
      </x:c>
    </x:row>
    <x:row r="1681">
      <x:c r="A1681" t="str">
        <x:v>DOS-6-080</x:v>
      </x:c>
      <x:c r="B1681" t="n">
        <x:v>6</x:v>
      </x:c>
      <x:c r="C1681" t="str">
        <x:v>58-41 63RD  STREET, MASPETH, NY, 11378, US | 58-41 63RD STREET, MASPETH, NY, 11378, US</x:v>
      </x:c>
      <x:c r="D1681" t="str">
        <x:v>BRONTE REALTY LLC</x:v>
      </x:c>
      <x:c r="E1681" t="str">
        <x:v>BRONTE REALTY LLC</x:v>
      </x:c>
      <x:c r="F1681" t="str">
        <x:v>Address-corroborated active match</x:v>
      </x:c>
      <x:c r="G1681" t="n">
        <x:v>1</x:v>
      </x:c>
      <x:c r="H1681" t="n">
        <x:v>2</x:v>
      </x:c>
      <x:c r="I1681" t="str">
        <x:v>3636984</x:v>
      </x:c>
      <x:c r="J1681" t="str">
        <x:v>BRONTE REALTY LLC</x:v>
      </x:c>
      <x:c r="K1681" s="55" t="n">
        <x:v>39505</x:v>
      </x:c>
      <x:c r="L1681" t="str">
        <x:v>Queens</x:v>
      </x:c>
      <x:c r="M1681" t="str">
        <x:v>New York</x:v>
      </x:c>
      <x:c r="N1681" t="str">
        <x:v>DOMESTIC LIMITED LIABILITY COMPANY</x:v>
      </x:c>
      <x:c r="O1681" t="str">
        <x:v>BRONTE REALTY LLC</x:v>
      </x:c>
      <x:c r="P1681" t="str">
        <x:v>58-41 63RD STREET, MASPETH, NY, 11378</x:v>
      </x:c>
      <x:c r="Q1681" t="str"/>
      <x:c r="R1681" t="str"/>
      <x:c r="S1681" t="str"/>
      <x:c r="T1681" t="str"/>
      <x:c r="U1681" t="str"/>
      <x:c r="V1681" t="str"/>
      <x:c r="W1681" t="str"/>
      <x:c r="X1681" t="str"/>
      <x:c r="Y1681" t="str">
        <x:v>https://data.ny.gov/Economic-Development/Active-Corporations-Beginning-1800/n9v6-gdp6</x:v>
      </x:c>
    </x:row>
    <x:row r="1682">
      <x:c r="A1682" t="str">
        <x:v>DOS-6-081</x:v>
      </x:c>
      <x:c r="B1682" t="n">
        <x:v>6</x:v>
      </x:c>
      <x:c r="C1682" t="str">
        <x:v>60 COLUMBUS CIRCLE, NEW YORK, NY, 10023, US</x:v>
      </x:c>
      <x:c r="D1682" t="str">
        <x:v>519 WEST 27TH ASSOCIATES LLC</x:v>
      </x:c>
      <x:c r="E1682" t="str">
        <x:v>519 WEST 27TH ASSOCIATES, L.L.C.</x:v>
      </x:c>
      <x:c r="F1682" t="str">
        <x:v>Active name match</x:v>
      </x:c>
      <x:c r="G1682" t="n">
        <x:v>1</x:v>
      </x:c>
      <x:c r="H1682" t="n">
        <x:v>0</x:v>
      </x:c>
      <x:c r="I1682" t="str">
        <x:v>4401483</x:v>
      </x:c>
      <x:c r="J1682" t="str">
        <x:v>519 WEST 27TH ASSOCIATES, L.L.C.</x:v>
      </x:c>
      <x:c r="K1682" s="55" t="n">
        <x:v>41404</x:v>
      </x:c>
      <x:c r="L1682" t="str">
        <x:v>New York</x:v>
      </x:c>
      <x:c r="M1682" t="str">
        <x:v>Delaware</x:v>
      </x:c>
      <x:c r="N1682" t="str">
        <x:v>FOREIGN LIMITED LIABILITY COMPANY</x:v>
      </x:c>
      <x:c r="O1682" t="str">
        <x:v>C/O CORPORATION SERVICE COMPANY</x:v>
      </x:c>
      <x:c r="P1682" t="str">
        <x:v>80 STATE STREET, ALBANY, NY, 12207</x:v>
      </x:c>
      <x:c r="Q1682" t="str"/>
      <x:c r="R1682" t="str"/>
      <x:c r="S1682" t="str"/>
      <x:c r="T1682" t="str"/>
      <x:c r="U1682" t="str"/>
      <x:c r="V1682" t="str"/>
      <x:c r="W1682" t="str"/>
      <x:c r="X1682" t="str"/>
      <x:c r="Y1682" t="str">
        <x:v>https://data.ny.gov/Economic-Development/Active-Corporations-Beginning-1800/n9v6-gdp6</x:v>
      </x:c>
    </x:row>
    <x:row r="1683">
      <x:c r="A1683" t="str">
        <x:v>DOS-6-081</x:v>
      </x:c>
      <x:c r="B1683" t="n">
        <x:v>6</x:v>
      </x:c>
      <x:c r="C1683" t="str">
        <x:v>60 COLUMBUS CIRCLE, NEW YORK, NY, 10023, US</x:v>
      </x:c>
      <x:c r="D1683" t="str">
        <x:v>CARNEGIE PARK COMMERCIAL LLC</x:v>
      </x:c>
      <x:c r="E1683" t="str">
        <x:v>CARNEGIE PARK COMMERCIAL LLC</x:v>
      </x:c>
      <x:c r="F1683" t="str">
        <x:v>Active name match</x:v>
      </x:c>
      <x:c r="G1683" t="n">
        <x:v>1</x:v>
      </x:c>
      <x:c r="H1683" t="n">
        <x:v>0</x:v>
      </x:c>
      <x:c r="I1683" t="str">
        <x:v>5129945</x:v>
      </x:c>
      <x:c r="J1683" t="str">
        <x:v>CARNEGIE PARK COMMERCIAL LLC</x:v>
      </x:c>
      <x:c r="K1683" s="55" t="n">
        <x:v>42857</x:v>
      </x:c>
      <x:c r="L1683" t="str">
        <x:v>New York</x:v>
      </x:c>
      <x:c r="M1683" t="str">
        <x:v>Delaware</x:v>
      </x:c>
      <x:c r="N1683" t="str">
        <x:v>FOREIGN LIMITED LIABILITY COMPANY</x:v>
      </x:c>
      <x:c r="O1683" t="str">
        <x:v>C/O CORPORATION SERVICE COMPANY</x:v>
      </x:c>
      <x:c r="P1683" t="str">
        <x:v>80 STATE STREET, ALBANY, NY, 12207</x:v>
      </x:c>
      <x:c r="Q1683" t="str"/>
      <x:c r="R1683" t="str"/>
      <x:c r="S1683" t="str"/>
      <x:c r="T1683" t="str"/>
      <x:c r="U1683" t="str"/>
      <x:c r="V1683" t="str"/>
      <x:c r="W1683" t="str"/>
      <x:c r="X1683" t="str"/>
      <x:c r="Y1683" t="str">
        <x:v>https://data.ny.gov/Economic-Development/Active-Corporations-Beginning-1800/n9v6-gdp6</x:v>
      </x:c>
    </x:row>
    <x:row r="1684">
      <x:c r="A1684" t="str">
        <x:v>DOS-6-081</x:v>
      </x:c>
      <x:c r="B1684" t="n">
        <x:v>6</x:v>
      </x:c>
      <x:c r="C1684" t="str">
        <x:v>60 COLUMBUS CIRCLE, NEW YORK, NY, 10023, US</x:v>
      </x:c>
      <x:c r="D1684" t="str">
        <x:v>CARNEGIEL PARK COMMERCIAL LLC</x:v>
      </x:c>
      <x:c r="E1684" t="str">
        <x:v>CARNEGIEL PARK COMMERCIAL LLC</x:v>
      </x:c>
      <x:c r="F1684" t="str">
        <x:v>No active DOS match</x:v>
      </x:c>
      <x:c r="G1684" t="n">
        <x:v>0</x:v>
      </x:c>
      <x:c r="H1684" t="n">
        <x:v>0</x:v>
      </x:c>
      <x:c r="I1684" t="str"/>
      <x:c r="J1684" t="str"/>
      <x:c r="K1684" s="55" t="str"/>
      <x:c r="L1684" t="str"/>
      <x:c r="M1684" t="str"/>
      <x:c r="N1684" t="str"/>
      <x:c r="O1684" t="str"/>
      <x:c r="P1684" t="str"/>
      <x:c r="Q1684" t="str"/>
      <x:c r="R1684" t="str"/>
      <x:c r="S1684" t="str"/>
      <x:c r="T1684" t="str"/>
      <x:c r="U1684" t="str"/>
      <x:c r="V1684" t="str"/>
      <x:c r="W1684" t="str"/>
      <x:c r="X1684" t="str"/>
      <x:c r="Y1684" t="str">
        <x:v>https://data.ny.gov/Economic-Development/Active-Corporations-Beginning-1800/n9v6-gdp6</x:v>
      </x:c>
    </x:row>
    <x:row r="1685">
      <x:c r="A1685" t="str">
        <x:v>DOS-6-081</x:v>
      </x:c>
      <x:c r="B1685" t="n">
        <x:v>6</x:v>
      </x:c>
      <x:c r="C1685" t="str">
        <x:v>60 COLUMBUS CIRCLE, NEW YORK, NY, 10023, US</x:v>
      </x:c>
      <x:c r="D1685" t="str">
        <x:v>CARNEIGE PARK COMMERCIAL LLC</x:v>
      </x:c>
      <x:c r="E1685" t="str">
        <x:v>CARNEIGE PARK COMMERCIAL LLC</x:v>
      </x:c>
      <x:c r="F1685" t="str">
        <x:v>No active DOS match</x:v>
      </x:c>
      <x:c r="G1685" t="n">
        <x:v>0</x:v>
      </x:c>
      <x:c r="H1685" t="n">
        <x:v>0</x:v>
      </x:c>
      <x:c r="I1685" t="str"/>
      <x:c r="J1685" t="str"/>
      <x:c r="K1685" s="55" t="str"/>
      <x:c r="L1685" t="str"/>
      <x:c r="M1685" t="str"/>
      <x:c r="N1685" t="str"/>
      <x:c r="O1685" t="str"/>
      <x:c r="P1685" t="str"/>
      <x:c r="Q1685" t="str"/>
      <x:c r="R1685" t="str"/>
      <x:c r="S1685" t="str"/>
      <x:c r="T1685" t="str"/>
      <x:c r="U1685" t="str"/>
      <x:c r="V1685" t="str"/>
      <x:c r="W1685" t="str"/>
      <x:c r="X1685" t="str"/>
      <x:c r="Y1685" t="str">
        <x:v>https://data.ny.gov/Economic-Development/Active-Corporations-Beginning-1800/n9v6-gdp6</x:v>
      </x:c>
    </x:row>
    <x:row r="1686">
      <x:c r="A1686" t="str">
        <x:v>DOS-6-081</x:v>
      </x:c>
      <x:c r="B1686" t="n">
        <x:v>6</x:v>
      </x:c>
      <x:c r="C1686" t="str">
        <x:v>60 COLUMBUS CIRCLE, NEW YORK, NY, 10023, US</x:v>
      </x:c>
      <x:c r="D1686" t="str">
        <x:v>SUPERIOR INK GARAGE LLC</x:v>
      </x:c>
      <x:c r="E1686" t="str">
        <x:v>SUPERIOR INK GARAGE, LLC</x:v>
      </x:c>
      <x:c r="F1686" t="str">
        <x:v>Active name match</x:v>
      </x:c>
      <x:c r="G1686" t="n">
        <x:v>1</x:v>
      </x:c>
      <x:c r="H1686" t="n">
        <x:v>0</x:v>
      </x:c>
      <x:c r="I1686" t="str">
        <x:v>3922369</x:v>
      </x:c>
      <x:c r="J1686" t="str">
        <x:v>SUPERIOR INK GARAGE, LLC</x:v>
      </x:c>
      <x:c r="K1686" s="55" t="n">
        <x:v>40247</x:v>
      </x:c>
      <x:c r="L1686" t="str">
        <x:v>New York</x:v>
      </x:c>
      <x:c r="M1686" t="str">
        <x:v>Delaware</x:v>
      </x:c>
      <x:c r="N1686" t="str">
        <x:v>FOREIGN LIMITED LIABILITY COMPANY</x:v>
      </x:c>
      <x:c r="O1686" t="str">
        <x:v>C/O CORPORATION SERVICE COMPANY</x:v>
      </x:c>
      <x:c r="P1686" t="str">
        <x:v>80 STATE STREET, ALBANY, NY, 12207</x:v>
      </x:c>
      <x:c r="Q1686" t="str"/>
      <x:c r="R1686" t="str"/>
      <x:c r="S1686" t="str"/>
      <x:c r="T1686" t="str"/>
      <x:c r="U1686" t="str"/>
      <x:c r="V1686" t="str"/>
      <x:c r="W1686" t="str"/>
      <x:c r="X1686" t="str"/>
      <x:c r="Y1686" t="str">
        <x:v>https://data.ny.gov/Economic-Development/Active-Corporations-Beginning-1800/n9v6-gdp6</x:v>
      </x:c>
    </x:row>
    <x:row r="1687">
      <x:c r="A1687" t="str">
        <x:v>DOS-6-081</x:v>
      </x:c>
      <x:c r="B1687" t="n">
        <x:v>6</x:v>
      </x:c>
      <x:c r="C1687" t="str">
        <x:v>60 COLUMBUS CIRCLE, NEW YORK, NY, 10023, US</x:v>
      </x:c>
      <x:c r="D1687" t="str">
        <x:v>YUKON HOLDINGS LLC</x:v>
      </x:c>
      <x:c r="E1687" t="str">
        <x:v>YUKON HOLDINGS, L.L.C.</x:v>
      </x:c>
      <x:c r="F1687" t="str">
        <x:v>No active DOS match</x:v>
      </x:c>
      <x:c r="G1687" t="n">
        <x:v>0</x:v>
      </x:c>
      <x:c r="H1687" t="n">
        <x:v>0</x:v>
      </x:c>
      <x:c r="I1687" t="str"/>
      <x:c r="J1687" t="str"/>
      <x:c r="K1687" s="55" t="str"/>
      <x:c r="L1687" t="str"/>
      <x:c r="M1687" t="str"/>
      <x:c r="N1687" t="str"/>
      <x:c r="O1687" t="str"/>
      <x:c r="P1687" t="str"/>
      <x:c r="Q1687" t="str"/>
      <x:c r="R1687" t="str"/>
      <x:c r="S1687" t="str"/>
      <x:c r="T1687" t="str"/>
      <x:c r="U1687" t="str"/>
      <x:c r="V1687" t="str"/>
      <x:c r="W1687" t="str"/>
      <x:c r="X1687" t="str"/>
      <x:c r="Y1687" t="str">
        <x:v>https://data.ny.gov/Economic-Development/Active-Corporations-Beginning-1800/n9v6-gdp6</x:v>
      </x:c>
    </x:row>
    <x:row r="1688">
      <x:c r="A1688" t="str">
        <x:v>DOS-6-082</x:v>
      </x:c>
      <x:c r="B1688" t="n">
        <x:v>6</x:v>
      </x:c>
      <x:c r="C1688" t="str">
        <x:v>670 MYRTLE AVENUE, SUITE 6449, BROOKLYN, NY, 11205, US</x:v>
      </x:c>
      <x:c r="D1688" t="str">
        <x:v>1139 RESIDENTS LLC</x:v>
      </x:c>
      <x:c r="E1688" t="str">
        <x:v>1139 RESIDENTS LLC</x:v>
      </x:c>
      <x:c r="F1688" t="str">
        <x:v>Address-corroborated active match</x:v>
      </x:c>
      <x:c r="G1688" t="n">
        <x:v>1</x:v>
      </x:c>
      <x:c r="H1688" t="n">
        <x:v>2</x:v>
      </x:c>
      <x:c r="I1688" t="str">
        <x:v>6651772</x:v>
      </x:c>
      <x:c r="J1688" t="str">
        <x:v>1139 RESIDENTS LLC</x:v>
      </x:c>
      <x:c r="K1688" s="55" t="n">
        <x:v>44893</x:v>
      </x:c>
      <x:c r="L1688" t="str">
        <x:v>Kings</x:v>
      </x:c>
      <x:c r="M1688" t="str">
        <x:v>New York</x:v>
      </x:c>
      <x:c r="N1688" t="str">
        <x:v>DOMESTIC LIMITED LIABILITY COMPANY</x:v>
      </x:c>
      <x:c r="O1688" t="str">
        <x:v>1139 Residents LLC</x:v>
      </x:c>
      <x:c r="P1688" t="str">
        <x:v>670 Myrtle Avenue, Brooklyn, NY, 11205</x:v>
      </x:c>
      <x:c r="Q1688" t="str"/>
      <x:c r="R1688" t="str"/>
      <x:c r="S1688" t="str"/>
      <x:c r="T1688" t="str"/>
      <x:c r="U1688" t="str"/>
      <x:c r="V1688" t="str"/>
      <x:c r="W1688" t="str"/>
      <x:c r="X1688" t="str"/>
      <x:c r="Y1688" t="str">
        <x:v>https://data.ny.gov/Economic-Development/Active-Corporations-Beginning-1800/n9v6-gdp6</x:v>
      </x:c>
    </x:row>
    <x:row r="1689">
      <x:c r="A1689" t="str">
        <x:v>DOS-6-082</x:v>
      </x:c>
      <x:c r="B1689" t="n">
        <x:v>6</x:v>
      </x:c>
      <x:c r="C1689" t="str">
        <x:v>670 MYRTLE AVENUE, SUITE 6449, BROOKLYN, NY, 11205, US</x:v>
      </x:c>
      <x:c r="D1689" t="str">
        <x:v>1641 MELVILLE LLC</x:v>
      </x:c>
      <x:c r="E1689" t="str">
        <x:v>1641 MELVILLE LLC</x:v>
      </x:c>
      <x:c r="F1689" t="str">
        <x:v>Active name match</x:v>
      </x:c>
      <x:c r="G1689" t="n">
        <x:v>1</x:v>
      </x:c>
      <x:c r="H1689" t="n">
        <x:v>1</x:v>
      </x:c>
      <x:c r="I1689" t="str">
        <x:v>6838107</x:v>
      </x:c>
      <x:c r="J1689" t="str">
        <x:v>1641 MELVILLE LLC</x:v>
      </x:c>
      <x:c r="K1689" s="55" t="n">
        <x:v>45065</x:v>
      </x:c>
      <x:c r="L1689" t="str">
        <x:v>Kings</x:v>
      </x:c>
      <x:c r="M1689" t="str">
        <x:v>New York</x:v>
      </x:c>
      <x:c r="N1689" t="str">
        <x:v>DOMESTIC LIMITED LIABILITY COMPANY</x:v>
      </x:c>
      <x:c r="O1689" t="str">
        <x:v>1641 Melville LLC</x:v>
      </x:c>
      <x:c r="P1689" t="str">
        <x:v>670 Myrtle Ave Ste 6449, Brooklyn, NY, 11205</x:v>
      </x:c>
      <x:c r="Q1689" t="str"/>
      <x:c r="R1689" t="str"/>
      <x:c r="S1689" t="str"/>
      <x:c r="T1689" t="str"/>
      <x:c r="U1689" t="str"/>
      <x:c r="V1689" t="str"/>
      <x:c r="W1689" t="str"/>
      <x:c r="X1689" t="str"/>
      <x:c r="Y1689" t="str">
        <x:v>https://data.ny.gov/Economic-Development/Active-Corporations-Beginning-1800/n9v6-gdp6</x:v>
      </x:c>
    </x:row>
    <x:row r="1690">
      <x:c r="A1690" t="str">
        <x:v>DOS-6-082</x:v>
      </x:c>
      <x:c r="B1690" t="n">
        <x:v>6</x:v>
      </x:c>
      <x:c r="C1690" t="str">
        <x:v>670 MYRTLE AVENUE, SUITE 6449, BROOKLYN, NY, 11205, US</x:v>
      </x:c>
      <x:c r="D1690" t="str">
        <x:v>457 459 RESIDENTS LLC</x:v>
      </x:c>
      <x:c r="E1690" t="str">
        <x:v>457-459 RESIDENTS LLC</x:v>
      </x:c>
      <x:c r="F1690" t="str">
        <x:v>Active name match</x:v>
      </x:c>
      <x:c r="G1690" t="n">
        <x:v>1</x:v>
      </x:c>
      <x:c r="H1690" t="n">
        <x:v>1</x:v>
      </x:c>
      <x:c r="I1690" t="str">
        <x:v>7232926</x:v>
      </x:c>
      <x:c r="J1690" t="str">
        <x:v>457-459 RESIDENTS LLC</x:v>
      </x:c>
      <x:c r="K1690" s="55" t="n">
        <x:v>45310</x:v>
      </x:c>
      <x:c r="L1690" t="str">
        <x:v>Orange</x:v>
      </x:c>
      <x:c r="M1690" t="str">
        <x:v>New York</x:v>
      </x:c>
      <x:c r="N1690" t="str">
        <x:v>DOMESTIC LIMITED LIABILITY COMPANY</x:v>
      </x:c>
      <x:c r="O1690" t="str">
        <x:v>457-459 RESIDENTS LLC</x:v>
      </x:c>
      <x:c r="P1690" t="str">
        <x:v>670 Myrtle Ave Ste 6449, Brooklyn, NY, 11205</x:v>
      </x:c>
      <x:c r="Q1690" t="str"/>
      <x:c r="R1690" t="str"/>
      <x:c r="S1690" t="str"/>
      <x:c r="T1690" t="str"/>
      <x:c r="U1690" t="str"/>
      <x:c r="V1690" t="str"/>
      <x:c r="W1690" t="str"/>
      <x:c r="X1690" t="str"/>
      <x:c r="Y1690" t="str">
        <x:v>https://data.ny.gov/Economic-Development/Active-Corporations-Beginning-1800/n9v6-gdp6</x:v>
      </x:c>
    </x:row>
    <x:row r="1691">
      <x:c r="A1691" t="str">
        <x:v>DOS-6-082</x:v>
      </x:c>
      <x:c r="B1691" t="n">
        <x:v>6</x:v>
      </x:c>
      <x:c r="C1691" t="str">
        <x:v>670 MYRTLE AVENUE, SUITE 6449, BROOKLYN, NY, 11205, US</x:v>
      </x:c>
      <x:c r="D1691" t="str">
        <x:v>650 EAST 229TH RESIDENTS LLC</x:v>
      </x:c>
      <x:c r="E1691" t="str">
        <x:v>650 EAST 229TH RESIDENTS LLC</x:v>
      </x:c>
      <x:c r="F1691" t="str">
        <x:v>Active name match</x:v>
      </x:c>
      <x:c r="G1691" t="n">
        <x:v>1</x:v>
      </x:c>
      <x:c r="H1691" t="n">
        <x:v>1</x:v>
      </x:c>
      <x:c r="I1691" t="str">
        <x:v>7227480</x:v>
      </x:c>
      <x:c r="J1691" t="str">
        <x:v>650 EAST 229TH RESIDENTS LLC</x:v>
      </x:c>
      <x:c r="K1691" s="55" t="n">
        <x:v>45303</x:v>
      </x:c>
      <x:c r="L1691" t="str">
        <x:v>Kings</x:v>
      </x:c>
      <x:c r="M1691" t="str">
        <x:v>New York</x:v>
      </x:c>
      <x:c r="N1691" t="str">
        <x:v>DOMESTIC LIMITED LIABILITY COMPANY</x:v>
      </x:c>
      <x:c r="O1691" t="str">
        <x:v>650 East 229th Residents LLC</x:v>
      </x:c>
      <x:c r="P1691" t="str">
        <x:v>670 Myrtle Ave Ste 6449, Brooklyn, NY, 11205</x:v>
      </x:c>
      <x:c r="Q1691" t="str"/>
      <x:c r="R1691" t="str"/>
      <x:c r="S1691" t="str"/>
      <x:c r="T1691" t="str"/>
      <x:c r="U1691" t="str"/>
      <x:c r="V1691" t="str"/>
      <x:c r="W1691" t="str"/>
      <x:c r="X1691" t="str"/>
      <x:c r="Y1691" t="str">
        <x:v>https://data.ny.gov/Economic-Development/Active-Corporations-Beginning-1800/n9v6-gdp6</x:v>
      </x:c>
    </x:row>
    <x:row r="1692">
      <x:c r="A1692" t="str">
        <x:v>DOS-6-082</x:v>
      </x:c>
      <x:c r="B1692" t="n">
        <x:v>6</x:v>
      </x:c>
      <x:c r="C1692" t="str">
        <x:v>670 MYRTLE AVENUE, SUITE 6449, BROOKLYN, NY, 11205, US</x:v>
      </x:c>
      <x:c r="D1692" t="str">
        <x:v>BEAVER RESIDENTS LLC</x:v>
      </x:c>
      <x:c r="E1692" t="str">
        <x:v>BEAVER RESIDENTS LLC</x:v>
      </x:c>
      <x:c r="F1692" t="str">
        <x:v>Active name match</x:v>
      </x:c>
      <x:c r="G1692" t="n">
        <x:v>1</x:v>
      </x:c>
      <x:c r="H1692" t="n">
        <x:v>1</x:v>
      </x:c>
      <x:c r="I1692" t="str">
        <x:v>6465937</x:v>
      </x:c>
      <x:c r="J1692" t="str">
        <x:v>BEAVER RESIDENTS LLC</x:v>
      </x:c>
      <x:c r="K1692" s="55" t="n">
        <x:v>44676</x:v>
      </x:c>
      <x:c r="L1692" t="str">
        <x:v>Kings</x:v>
      </x:c>
      <x:c r="M1692" t="str">
        <x:v>New York</x:v>
      </x:c>
      <x:c r="N1692" t="str">
        <x:v>DOMESTIC LIMITED LIABILITY COMPANY</x:v>
      </x:c>
      <x:c r="O1692" t="str">
        <x:v>670 MYRTLE AVE</x:v>
      </x:c>
      <x:c r="P1692" t="str">
        <x:v>STE 6449, BROOKLYN, NY, 11205</x:v>
      </x:c>
      <x:c r="Q1692" t="str"/>
      <x:c r="R1692" t="str"/>
      <x:c r="S1692" t="str"/>
      <x:c r="T1692" t="str"/>
      <x:c r="U1692" t="str"/>
      <x:c r="V1692" t="str"/>
      <x:c r="W1692" t="str"/>
      <x:c r="X1692" t="str"/>
      <x:c r="Y1692" t="str">
        <x:v>https://data.ny.gov/Economic-Development/Active-Corporations-Beginning-1800/n9v6-gdp6</x:v>
      </x:c>
    </x:row>
    <x:row r="1693">
      <x:c r="A1693" t="str">
        <x:v>DOS-6-082</x:v>
      </x:c>
      <x:c r="B1693" t="n">
        <x:v>6</x:v>
      </x:c>
      <x:c r="C1693" t="str">
        <x:v>670 MYRTLE AVENUE, SUITE 6449, BROOKLYN, NY, 11205, US</x:v>
      </x:c>
      <x:c r="D1693" t="str">
        <x:v>CONDO RESIDENTS LLC</x:v>
      </x:c>
      <x:c r="E1693" t="str">
        <x:v>CONDO RESIDENTS LLC</x:v>
      </x:c>
      <x:c r="F1693" t="str">
        <x:v>Active name match</x:v>
      </x:c>
      <x:c r="G1693" t="n">
        <x:v>1</x:v>
      </x:c>
      <x:c r="H1693" t="n">
        <x:v>1</x:v>
      </x:c>
      <x:c r="I1693" t="str">
        <x:v>7524924</x:v>
      </x:c>
      <x:c r="J1693" t="str">
        <x:v>CONDO RESIDENTS LLC</x:v>
      </x:c>
      <x:c r="K1693" s="55" t="n">
        <x:v>45691</x:v>
      </x:c>
      <x:c r="L1693" t="str">
        <x:v>Kings</x:v>
      </x:c>
      <x:c r="M1693" t="str">
        <x:v>New York</x:v>
      </x:c>
      <x:c r="N1693" t="str">
        <x:v>DOMESTIC LIMITED LIABILITY COMPANY</x:v>
      </x:c>
      <x:c r="O1693" t="str">
        <x:v>CONDO RESIDENTS LLC</x:v>
      </x:c>
      <x:c r="P1693" t="str">
        <x:v>670 Myrtle Ave STE 6449, Brooklyn, NY, 11205</x:v>
      </x:c>
      <x:c r="Q1693" t="str"/>
      <x:c r="R1693" t="str"/>
      <x:c r="S1693" t="str"/>
      <x:c r="T1693" t="str"/>
      <x:c r="U1693" t="str"/>
      <x:c r="V1693" t="str"/>
      <x:c r="W1693" t="str"/>
      <x:c r="X1693" t="str"/>
      <x:c r="Y1693" t="str">
        <x:v>https://data.ny.gov/Economic-Development/Active-Corporations-Beginning-1800/n9v6-gdp6</x:v>
      </x:c>
    </x:row>
    <x:row r="1694">
      <x:c r="A1694" t="str">
        <x:v>DOS-6-083</x:v>
      </x:c>
      <x:c r="B1694" t="n">
        <x:v>6</x:v>
      </x:c>
      <x:c r="C1694" t="str">
        <x:v>721 EAST 136TH STREET, BRONX, NY, 10454, US</x:v>
      </x:c>
      <x:c r="D1694" t="str">
        <x:v>1142 EAST 156TH STREET REALTY LLC</x:v>
      </x:c>
      <x:c r="E1694" t="str">
        <x:v>1142 EAST 156TH STREET REALTY LLC</x:v>
      </x:c>
      <x:c r="F1694" t="str">
        <x:v>Address-corroborated active match</x:v>
      </x:c>
      <x:c r="G1694" t="n">
        <x:v>1</x:v>
      </x:c>
      <x:c r="H1694" t="n">
        <x:v>2</x:v>
      </x:c>
      <x:c r="I1694" t="str">
        <x:v>3547336</x:v>
      </x:c>
      <x:c r="J1694" t="str">
        <x:v>1142 EAST 156TH STREET REALTY, LLC</x:v>
      </x:c>
      <x:c r="K1694" s="55" t="n">
        <x:v>39287</x:v>
      </x:c>
      <x:c r="L1694" t="str">
        <x:v>Bronx</x:v>
      </x:c>
      <x:c r="M1694" t="str">
        <x:v>New York</x:v>
      </x:c>
      <x:c r="N1694" t="str">
        <x:v>DOMESTIC LIMITED LIABILITY COMPANY</x:v>
      </x:c>
      <x:c r="O1694" t="str">
        <x:v>JOHN COAKLEY</x:v>
      </x:c>
      <x:c r="P1694" t="str">
        <x:v>721 EAST 136TH STREET, BRONX, NY, 10454</x:v>
      </x:c>
      <x:c r="Q1694" t="str"/>
      <x:c r="R1694" t="str"/>
      <x:c r="S1694" t="str"/>
      <x:c r="T1694" t="str"/>
      <x:c r="U1694" t="str"/>
      <x:c r="V1694" t="str"/>
      <x:c r="W1694" t="str"/>
      <x:c r="X1694" t="str"/>
      <x:c r="Y1694" t="str">
        <x:v>https://data.ny.gov/Economic-Development/Active-Corporations-Beginning-1800/n9v6-gdp6</x:v>
      </x:c>
    </x:row>
    <x:row r="1695">
      <x:c r="A1695" t="str">
        <x:v>DOS-6-083</x:v>
      </x:c>
      <x:c r="B1695" t="n">
        <x:v>6</x:v>
      </x:c>
      <x:c r="C1695" t="str">
        <x:v>721 EAST 136TH STREET, BRONX, NY, 10454, US</x:v>
      </x:c>
      <x:c r="D1695" t="str">
        <x:v>715 EAST 136TH REALTY LLC</x:v>
      </x:c>
      <x:c r="E1695" t="str">
        <x:v>715 EAST 136TH REALTY LLC</x:v>
      </x:c>
      <x:c r="F1695" t="str">
        <x:v>Address-corroborated active match</x:v>
      </x:c>
      <x:c r="G1695" t="n">
        <x:v>1</x:v>
      </x:c>
      <x:c r="H1695" t="n">
        <x:v>2</x:v>
      </x:c>
      <x:c r="I1695" t="str">
        <x:v>5969071</x:v>
      </x:c>
      <x:c r="J1695" t="str">
        <x:v>715 EAST 136TH REALTY LLC</x:v>
      </x:c>
      <x:c r="K1695" s="55" t="n">
        <x:v>44277</x:v>
      </x:c>
      <x:c r="L1695" t="str">
        <x:v>Bronx</x:v>
      </x:c>
      <x:c r="M1695" t="str">
        <x:v>New York</x:v>
      </x:c>
      <x:c r="N1695" t="str">
        <x:v>DOMESTIC LIMITED LIABILITY COMPANY</x:v>
      </x:c>
      <x:c r="O1695" t="str">
        <x:v>715 EAST 136TH REALTY LLC</x:v>
      </x:c>
      <x:c r="P1695" t="str">
        <x:v>721 EAST 136TH STREET, BRONX, NY, 10454</x:v>
      </x:c>
      <x:c r="Q1695" t="str"/>
      <x:c r="R1695" t="str"/>
      <x:c r="S1695" t="str"/>
      <x:c r="T1695" t="str"/>
      <x:c r="U1695" t="str"/>
      <x:c r="V1695" t="str"/>
      <x:c r="W1695" t="str"/>
      <x:c r="X1695" t="str"/>
      <x:c r="Y1695" t="str">
        <x:v>https://data.ny.gov/Economic-Development/Active-Corporations-Beginning-1800/n9v6-gdp6</x:v>
      </x:c>
    </x:row>
    <x:row r="1696">
      <x:c r="A1696" t="str">
        <x:v>DOS-6-083</x:v>
      </x:c>
      <x:c r="B1696" t="n">
        <x:v>6</x:v>
      </x:c>
      <x:c r="C1696" t="str">
        <x:v>721 EAST 136TH STREET, BRONX, NY, 10454, US</x:v>
      </x:c>
      <x:c r="D1696" t="str">
        <x:v>735 EAST 136TH STREET LLC</x:v>
      </x:c>
      <x:c r="E1696" t="str">
        <x:v>735 EAST 136TH STREET LLC</x:v>
      </x:c>
      <x:c r="F1696" t="str">
        <x:v>No active DOS match</x:v>
      </x:c>
      <x:c r="G1696" t="n">
        <x:v>0</x:v>
      </x:c>
      <x:c r="H1696" t="n">
        <x:v>0</x:v>
      </x:c>
      <x:c r="I1696" t="str"/>
      <x:c r="J1696" t="str"/>
      <x:c r="K1696" s="55" t="str"/>
      <x:c r="L1696" t="str"/>
      <x:c r="M1696" t="str"/>
      <x:c r="N1696" t="str"/>
      <x:c r="O1696" t="str"/>
      <x:c r="P1696" t="str"/>
      <x:c r="Q1696" t="str"/>
      <x:c r="R1696" t="str"/>
      <x:c r="S1696" t="str"/>
      <x:c r="T1696" t="str"/>
      <x:c r="U1696" t="str"/>
      <x:c r="V1696" t="str"/>
      <x:c r="W1696" t="str"/>
      <x:c r="X1696" t="str"/>
      <x:c r="Y1696" t="str">
        <x:v>https://data.ny.gov/Economic-Development/Active-Corporations-Beginning-1800/n9v6-gdp6</x:v>
      </x:c>
    </x:row>
    <x:row r="1697">
      <x:c r="A1697" t="str">
        <x:v>DOS-6-083</x:v>
      </x:c>
      <x:c r="B1697" t="n">
        <x:v>6</x:v>
      </x:c>
      <x:c r="C1697" t="str">
        <x:v>721 EAST 136TH STREET, BRONX, NY, 10454, US</x:v>
      </x:c>
      <x:c r="D1697" t="str">
        <x:v>739 EAST 136TH STREET LLC</x:v>
      </x:c>
      <x:c r="E1697" t="str">
        <x:v>739 EAST 136TH STREET LLC</x:v>
      </x:c>
      <x:c r="F1697" t="str">
        <x:v>Address-corroborated active match</x:v>
      </x:c>
      <x:c r="G1697" t="n">
        <x:v>1</x:v>
      </x:c>
      <x:c r="H1697" t="n">
        <x:v>2</x:v>
      </x:c>
      <x:c r="I1697" t="str">
        <x:v>4250466</x:v>
      </x:c>
      <x:c r="J1697" t="str">
        <x:v>739 EAST 136TH STREET, LLC</x:v>
      </x:c>
      <x:c r="K1697" s="55" t="n">
        <x:v>41054</x:v>
      </x:c>
      <x:c r="L1697" t="str">
        <x:v>Bronx</x:v>
      </x:c>
      <x:c r="M1697" t="str">
        <x:v>New York</x:v>
      </x:c>
      <x:c r="N1697" t="str">
        <x:v>DOMESTIC LIMITED LIABILITY COMPANY</x:v>
      </x:c>
      <x:c r="O1697" t="str">
        <x:v>739 EAST 136TH STREET, LLC</x:v>
      </x:c>
      <x:c r="P1697" t="str">
        <x:v>721 EAST 136TH STREET, BRONX, NY, 10454</x:v>
      </x:c>
      <x:c r="Q1697" t="str"/>
      <x:c r="R1697" t="str"/>
      <x:c r="S1697" t="str"/>
      <x:c r="T1697" t="str"/>
      <x:c r="U1697" t="str"/>
      <x:c r="V1697" t="str"/>
      <x:c r="W1697" t="str"/>
      <x:c r="X1697" t="str"/>
      <x:c r="Y1697" t="str">
        <x:v>https://data.ny.gov/Economic-Development/Active-Corporations-Beginning-1800/n9v6-gdp6</x:v>
      </x:c>
    </x:row>
    <x:row r="1698">
      <x:c r="A1698" t="str">
        <x:v>DOS-6-083</x:v>
      </x:c>
      <x:c r="B1698" t="n">
        <x:v>6</x:v>
      </x:c>
      <x:c r="C1698" t="str">
        <x:v>721 EAST 136TH STREET, BRONX, NY, 10454, US</x:v>
      </x:c>
      <x:c r="D1698" t="str">
        <x:v>745 EAST 136TH STREET LLC</x:v>
      </x:c>
      <x:c r="E1698" t="str">
        <x:v>745 EAST 136TH STREET LLC</x:v>
      </x:c>
      <x:c r="F1698" t="str">
        <x:v>Address-corroborated active match</x:v>
      </x:c>
      <x:c r="G1698" t="n">
        <x:v>1</x:v>
      </x:c>
      <x:c r="H1698" t="n">
        <x:v>2</x:v>
      </x:c>
      <x:c r="I1698" t="str">
        <x:v>5132374</x:v>
      </x:c>
      <x:c r="J1698" t="str">
        <x:v>745 EAST 136TH STREET LLC</x:v>
      </x:c>
      <x:c r="K1698" s="55" t="n">
        <x:v>42860</x:v>
      </x:c>
      <x:c r="L1698" t="str">
        <x:v>Bronx</x:v>
      </x:c>
      <x:c r="M1698" t="str">
        <x:v>New York</x:v>
      </x:c>
      <x:c r="N1698" t="str">
        <x:v>DOMESTIC LIMITED LIABILITY COMPANY</x:v>
      </x:c>
      <x:c r="O1698" t="str">
        <x:v>745 EAST 136TH STREET LLC</x:v>
      </x:c>
      <x:c r="P1698" t="str">
        <x:v>721 EAST 136TH STREET, BRONX, NY, 10454</x:v>
      </x:c>
      <x:c r="Q1698" t="str"/>
      <x:c r="R1698" t="str"/>
      <x:c r="S1698" t="str"/>
      <x:c r="T1698" t="str"/>
      <x:c r="U1698" t="str"/>
      <x:c r="V1698" t="str"/>
      <x:c r="W1698" t="str"/>
      <x:c r="X1698" t="str"/>
      <x:c r="Y1698" t="str">
        <x:v>https://data.ny.gov/Economic-Development/Active-Corporations-Beginning-1800/n9v6-gdp6</x:v>
      </x:c>
    </x:row>
    <x:row r="1699">
      <x:c r="A1699" t="str">
        <x:v>DOS-6-083</x:v>
      </x:c>
      <x:c r="B1699" t="n">
        <x:v>6</x:v>
      </x:c>
      <x:c r="C1699" t="str">
        <x:v>721 EAST 136TH STREET, BRONX, NY, 10454, US</x:v>
      </x:c>
      <x:c r="D1699" t="str">
        <x:v>767 EAST 137TH STREET REALTY LLC</x:v>
      </x:c>
      <x:c r="E1699" t="str">
        <x:v>767 EAST 137TH  STREET REALTY  LLC</x:v>
      </x:c>
      <x:c r="F1699" t="str">
        <x:v>Address-corroborated active match</x:v>
      </x:c>
      <x:c r="G1699" t="n">
        <x:v>1</x:v>
      </x:c>
      <x:c r="H1699" t="n">
        <x:v>2</x:v>
      </x:c>
      <x:c r="I1699" t="str">
        <x:v>4661006</x:v>
      </x:c>
      <x:c r="J1699" t="str">
        <x:v>767 EAST 137TH STREET REALTY, LLC</x:v>
      </x:c>
      <x:c r="K1699" s="55" t="n">
        <x:v>41947</x:v>
      </x:c>
      <x:c r="L1699" t="str">
        <x:v>Bronx</x:v>
      </x:c>
      <x:c r="M1699" t="str">
        <x:v>New York</x:v>
      </x:c>
      <x:c r="N1699" t="str">
        <x:v>DOMESTIC LIMITED LIABILITY COMPANY</x:v>
      </x:c>
      <x:c r="O1699" t="str">
        <x:v>767 EAST 137TH STREET REALTY, LLC</x:v>
      </x:c>
      <x:c r="P1699" t="str">
        <x:v>721 EAST 136TH STREET, BRONX, NY, 10454</x:v>
      </x:c>
      <x:c r="Q1699" t="str"/>
      <x:c r="R1699" t="str"/>
      <x:c r="S1699" t="str"/>
      <x:c r="T1699" t="str"/>
      <x:c r="U1699" t="str"/>
      <x:c r="V1699" t="str"/>
      <x:c r="W1699" t="str"/>
      <x:c r="X1699" t="str"/>
      <x:c r="Y1699" t="str">
        <x:v>https://data.ny.gov/Economic-Development/Active-Corporations-Beginning-1800/n9v6-gdp6</x:v>
      </x:c>
    </x:row>
    <x:row r="1700">
      <x:c r="A1700" t="str">
        <x:v>DOS-6-084</x:v>
      </x:c>
      <x:c r="B1700" t="n">
        <x:v>6</x:v>
      </x:c>
      <x:c r="C1700" t="str">
        <x:v>8 DOUGLAS DRIVE, HOLMDEL, NJ, 07733, US</x:v>
      </x:c>
      <x:c r="D1700" t="str">
        <x:v>306 REALTY MANAGEMENT LLC</x:v>
      </x:c>
      <x:c r="E1700" t="str">
        <x:v>306 REALTY MANAGEMENT LLC</x:v>
      </x:c>
      <x:c r="F1700" t="str">
        <x:v>Address-corroborated active match</x:v>
      </x:c>
      <x:c r="G1700" t="n">
        <x:v>1</x:v>
      </x:c>
      <x:c r="H1700" t="n">
        <x:v>2</x:v>
      </x:c>
      <x:c r="I1700" t="str">
        <x:v>5403998</x:v>
      </x:c>
      <x:c r="J1700" t="str">
        <x:v>306 REALTY MANAGEMENT LLC</x:v>
      </x:c>
      <x:c r="K1700" s="55" t="n">
        <x:v>43347</x:v>
      </x:c>
      <x:c r="L1700" t="str">
        <x:v>Kings</x:v>
      </x:c>
      <x:c r="M1700" t="str">
        <x:v>New York</x:v>
      </x:c>
      <x:c r="N1700" t="str">
        <x:v>DOMESTIC LIMITED LIABILITY COMPANY</x:v>
      </x:c>
      <x:c r="O1700" t="str">
        <x:v>306 REALTY MANAGEMENT LLC</x:v>
      </x:c>
      <x:c r="P1700" t="str">
        <x:v>8 DOUGLAS DR, HOLMDEL, NJ, 07733</x:v>
      </x:c>
      <x:c r="Q1700" t="str"/>
      <x:c r="R1700" t="str"/>
      <x:c r="S1700" t="str"/>
      <x:c r="T1700" t="str"/>
      <x:c r="U1700" t="str"/>
      <x:c r="V1700" t="str"/>
      <x:c r="W1700" t="str"/>
      <x:c r="X1700" t="str"/>
      <x:c r="Y1700" t="str">
        <x:v>https://data.ny.gov/Economic-Development/Active-Corporations-Beginning-1800/n9v6-gdp6</x:v>
      </x:c>
    </x:row>
    <x:row r="1701">
      <x:c r="A1701" t="str">
        <x:v>DOS-6-084</x:v>
      </x:c>
      <x:c r="B1701" t="n">
        <x:v>6</x:v>
      </x:c>
      <x:c r="C1701" t="str">
        <x:v>8 DOUGLAS DRIVE, HOLMDEL, NJ, 07733, US</x:v>
      </x:c>
      <x:c r="D1701" t="str">
        <x:v>3119 FT HAMILTON HOLDINGS LLC</x:v>
      </x:c>
      <x:c r="E1701" t="str">
        <x:v>3119 FT HAMILTON HOLDINGS LLC</x:v>
      </x:c>
      <x:c r="F1701" t="str">
        <x:v>No active DOS match</x:v>
      </x:c>
      <x:c r="G1701" t="n">
        <x:v>0</x:v>
      </x:c>
      <x:c r="H1701" t="n">
        <x:v>0</x:v>
      </x:c>
      <x:c r="I1701" t="str"/>
      <x:c r="J1701" t="str"/>
      <x:c r="K1701" s="55" t="str"/>
      <x:c r="L1701" t="str"/>
      <x:c r="M1701" t="str"/>
      <x:c r="N1701" t="str"/>
      <x:c r="O1701" t="str"/>
      <x:c r="P1701" t="str"/>
      <x:c r="Q1701" t="str"/>
      <x:c r="R1701" t="str"/>
      <x:c r="S1701" t="str"/>
      <x:c r="T1701" t="str"/>
      <x:c r="U1701" t="str"/>
      <x:c r="V1701" t="str"/>
      <x:c r="W1701" t="str"/>
      <x:c r="X1701" t="str"/>
      <x:c r="Y1701" t="str">
        <x:v>https://data.ny.gov/Economic-Development/Active-Corporations-Beginning-1800/n9v6-gdp6</x:v>
      </x:c>
    </x:row>
    <x:row r="1702">
      <x:c r="A1702" t="str">
        <x:v>DOS-6-084</x:v>
      </x:c>
      <x:c r="B1702" t="n">
        <x:v>6</x:v>
      </x:c>
      <x:c r="C1702" t="str">
        <x:v>8 DOUGLAS DRIVE, HOLMDEL, NJ, 07733, US</x:v>
      </x:c>
      <x:c r="D1702" t="str">
        <x:v>CANOLI STRONGHOLD LLC</x:v>
      </x:c>
      <x:c r="E1702" t="str">
        <x:v>CANOLI STRONGHOLD LLC</x:v>
      </x:c>
      <x:c r="F1702" t="str">
        <x:v>No active DOS match</x:v>
      </x:c>
      <x:c r="G1702" t="n">
        <x:v>0</x:v>
      </x:c>
      <x:c r="H1702" t="n">
        <x:v>0</x:v>
      </x:c>
      <x:c r="I1702" t="str"/>
      <x:c r="J1702" t="str"/>
      <x:c r="K1702" s="55" t="str"/>
      <x:c r="L1702" t="str"/>
      <x:c r="M1702" t="str"/>
      <x:c r="N1702" t="str"/>
      <x:c r="O1702" t="str"/>
      <x:c r="P1702" t="str"/>
      <x:c r="Q1702" t="str"/>
      <x:c r="R1702" t="str"/>
      <x:c r="S1702" t="str"/>
      <x:c r="T1702" t="str"/>
      <x:c r="U1702" t="str"/>
      <x:c r="V1702" t="str"/>
      <x:c r="W1702" t="str"/>
      <x:c r="X1702" t="str"/>
      <x:c r="Y1702" t="str">
        <x:v>https://data.ny.gov/Economic-Development/Active-Corporations-Beginning-1800/n9v6-gdp6</x:v>
      </x:c>
    </x:row>
    <x:row r="1703">
      <x:c r="A1703" t="str">
        <x:v>DOS-6-084</x:v>
      </x:c>
      <x:c r="B1703" t="n">
        <x:v>6</x:v>
      </x:c>
      <x:c r="C1703" t="str">
        <x:v>8 DOUGLAS DRIVE, HOLMDEL, NJ, 07733, US</x:v>
      </x:c>
      <x:c r="D1703" t="str">
        <x:v>MPJM CRUSH HOLDINGS LLC</x:v>
      </x:c>
      <x:c r="E1703" t="str">
        <x:v>MPJM CRUSH HOLDINGS LLC.</x:v>
      </x:c>
      <x:c r="F1703" t="str">
        <x:v>Active name match</x:v>
      </x:c>
      <x:c r="G1703" t="n">
        <x:v>1</x:v>
      </x:c>
      <x:c r="H1703" t="n">
        <x:v>0</x:v>
      </x:c>
      <x:c r="I1703" t="str">
        <x:v>3920419</x:v>
      </x:c>
      <x:c r="J1703" t="str">
        <x:v>MPJM CRUSH HOLDINGS LLC</x:v>
      </x:c>
      <x:c r="K1703" s="55" t="n">
        <x:v>40242</x:v>
      </x:c>
      <x:c r="L1703" t="str">
        <x:v>Kings</x:v>
      </x:c>
      <x:c r="M1703" t="str">
        <x:v>New York</x:v>
      </x:c>
      <x:c r="N1703" t="str">
        <x:v>DOMESTIC LIMITED LIABILITY COMPANY</x:v>
      </x:c>
      <x:c r="O1703" t="str">
        <x:v>MARIO PRESTIGIACOMO</x:v>
      </x:c>
      <x:c r="P1703" t="str">
        <x:v>2152 59TH ST, BROOKLYN, NY, 11204</x:v>
      </x:c>
      <x:c r="Q1703" t="str"/>
      <x:c r="R1703" t="str"/>
      <x:c r="S1703" t="str"/>
      <x:c r="T1703" t="str"/>
      <x:c r="U1703" t="str"/>
      <x:c r="V1703" t="str"/>
      <x:c r="W1703" t="str"/>
      <x:c r="X1703" t="str"/>
      <x:c r="Y1703" t="str">
        <x:v>https://data.ny.gov/Economic-Development/Active-Corporations-Beginning-1800/n9v6-gdp6</x:v>
      </x:c>
    </x:row>
    <x:row r="1704">
      <x:c r="A1704" t="str">
        <x:v>DOS-6-084</x:v>
      </x:c>
      <x:c r="B1704" t="n">
        <x:v>6</x:v>
      </x:c>
      <x:c r="C1704" t="str">
        <x:v>8 DOUGLAS DRIVE, HOLMDEL, NJ, 07733, US</x:v>
      </x:c>
      <x:c r="D1704" t="str">
        <x:v>PRIMO HOLDINGS LLC</x:v>
      </x:c>
      <x:c r="E1704" t="str">
        <x:v>PRIMO HOLDINGS LLC</x:v>
      </x:c>
      <x:c r="F1704" t="str">
        <x:v>No active DOS match</x:v>
      </x:c>
      <x:c r="G1704" t="n">
        <x:v>0</x:v>
      </x:c>
      <x:c r="H1704" t="n">
        <x:v>0</x:v>
      </x:c>
      <x:c r="I1704" t="str"/>
      <x:c r="J1704" t="str"/>
      <x:c r="K1704" s="55" t="str"/>
      <x:c r="L1704" t="str"/>
      <x:c r="M1704" t="str"/>
      <x:c r="N1704" t="str"/>
      <x:c r="O1704" t="str"/>
      <x:c r="P1704" t="str"/>
      <x:c r="Q1704" t="str"/>
      <x:c r="R1704" t="str"/>
      <x:c r="S1704" t="str"/>
      <x:c r="T1704" t="str"/>
      <x:c r="U1704" t="str"/>
      <x:c r="V1704" t="str"/>
      <x:c r="W1704" t="str"/>
      <x:c r="X1704" t="str"/>
      <x:c r="Y1704" t="str">
        <x:v>https://data.ny.gov/Economic-Development/Active-Corporations-Beginning-1800/n9v6-gdp6</x:v>
      </x:c>
    </x:row>
    <x:row r="1705">
      <x:c r="A1705" t="str">
        <x:v>DOS-6-084</x:v>
      </x:c>
      <x:c r="B1705" t="n">
        <x:v>6</x:v>
      </x:c>
      <x:c r="C1705" t="str">
        <x:v>8 DOUGLAS DRIVE, HOLMDEL, NJ, 07733, US</x:v>
      </x:c>
      <x:c r="D1705" t="str">
        <x:v>RI GREENWOOD HOUSE LLC</x:v>
      </x:c>
      <x:c r="E1705" t="str">
        <x:v>RI GREENWOOD HOUSE LLC</x:v>
      </x:c>
      <x:c r="F1705" t="str">
        <x:v>Active name match</x:v>
      </x:c>
      <x:c r="G1705" t="n">
        <x:v>1</x:v>
      </x:c>
      <x:c r="H1705" t="n">
        <x:v>0</x:v>
      </x:c>
      <x:c r="I1705" t="str">
        <x:v>3390898</x:v>
      </x:c>
      <x:c r="J1705" t="str">
        <x:v>RI GREENWOOD HOUSE LLC</x:v>
      </x:c>
      <x:c r="K1705" s="55" t="n">
        <x:v>38918</x:v>
      </x:c>
      <x:c r="L1705" t="str">
        <x:v>Kings</x:v>
      </x:c>
      <x:c r="M1705" t="str">
        <x:v>New York</x:v>
      </x:c>
      <x:c r="N1705" t="str">
        <x:v>DOMESTIC LIMITED LIABILITY COMPANY</x:v>
      </x:c>
      <x:c r="O1705" t="str">
        <x:v>RI GREENWOOD HOUSE LLC</x:v>
      </x:c>
      <x:c r="P1705" t="str">
        <x:v>4061 VICTORY BLVD, STATEN ISLAND, NY, 10314</x:v>
      </x:c>
      <x:c r="Q1705" t="str"/>
      <x:c r="R1705" t="str"/>
      <x:c r="S1705" t="str"/>
      <x:c r="T1705" t="str"/>
      <x:c r="U1705" t="str"/>
      <x:c r="V1705" t="str"/>
      <x:c r="W1705" t="str"/>
      <x:c r="X1705" t="str"/>
      <x:c r="Y1705" t="str">
        <x:v>https://data.ny.gov/Economic-Development/Active-Corporations-Beginning-1800/n9v6-gdp6</x:v>
      </x:c>
    </x:row>
    <x:row r="1706">
      <x:c r="A1706" t="str">
        <x:v>DOS-6-085</x:v>
      </x:c>
      <x:c r="B1706" t="n">
        <x:v>6</x:v>
      </x:c>
      <x:c r="C1706" t="str">
        <x:v>P.O. BOX 150, MONSEY, NY, 10952, US</x:v>
      </x:c>
      <x:c r="D1706" t="str">
        <x:v>1165 MORRIS TOWERS LLC</x:v>
      </x:c>
      <x:c r="E1706" t="str">
        <x:v>1165 MORRIS TOWERS LLC</x:v>
      </x:c>
      <x:c r="F1706" t="str">
        <x:v>Active name match</x:v>
      </x:c>
      <x:c r="G1706" t="n">
        <x:v>1</x:v>
      </x:c>
      <x:c r="H1706" t="n">
        <x:v>1</x:v>
      </x:c>
      <x:c r="I1706" t="str">
        <x:v>3991302</x:v>
      </x:c>
      <x:c r="J1706" t="str">
        <x:v>1165 MORRIS TOWERS LLC</x:v>
      </x:c>
      <x:c r="K1706" s="55" t="n">
        <x:v>40422</x:v>
      </x:c>
      <x:c r="L1706" t="str">
        <x:v>Rockland</x:v>
      </x:c>
      <x:c r="M1706" t="str">
        <x:v>New York</x:v>
      </x:c>
      <x:c r="N1706" t="str">
        <x:v>DOMESTIC LIMITED LIABILITY COMPANY</x:v>
      </x:c>
      <x:c r="O1706" t="str">
        <x:v>1165 MORRIS TOWERS LLC</x:v>
      </x:c>
      <x:c r="P1706" t="str">
        <x:v>PO BOX 150, MONSEY, NY, 10952</x:v>
      </x:c>
      <x:c r="Q1706" t="str"/>
      <x:c r="R1706" t="str"/>
      <x:c r="S1706" t="str"/>
      <x:c r="T1706" t="str"/>
      <x:c r="U1706" t="str"/>
      <x:c r="V1706" t="str"/>
      <x:c r="W1706" t="str"/>
      <x:c r="X1706" t="str"/>
      <x:c r="Y1706" t="str">
        <x:v>https://data.ny.gov/Economic-Development/Active-Corporations-Beginning-1800/n9v6-gdp6</x:v>
      </x:c>
    </x:row>
    <x:row r="1707">
      <x:c r="A1707" t="str">
        <x:v>DOS-6-085</x:v>
      </x:c>
      <x:c r="B1707" t="n">
        <x:v>6</x:v>
      </x:c>
      <x:c r="C1707" t="str">
        <x:v>P.O. BOX 150, MONSEY, NY, 10952, US</x:v>
      </x:c>
      <x:c r="D1707" t="str">
        <x:v>2205 WALTON TOWERS LLC</x:v>
      </x:c>
      <x:c r="E1707" t="str">
        <x:v>2205 WALTON TOWERS LLC</x:v>
      </x:c>
      <x:c r="F1707" t="str">
        <x:v>Active name match</x:v>
      </x:c>
      <x:c r="G1707" t="n">
        <x:v>1</x:v>
      </x:c>
      <x:c r="H1707" t="n">
        <x:v>1</x:v>
      </x:c>
      <x:c r="I1707" t="str">
        <x:v>3991303</x:v>
      </x:c>
      <x:c r="J1707" t="str">
        <x:v>2205 WALTON TOWERS LLC</x:v>
      </x:c>
      <x:c r="K1707" s="55" t="n">
        <x:v>40422</x:v>
      </x:c>
      <x:c r="L1707" t="str">
        <x:v>Rockland</x:v>
      </x:c>
      <x:c r="M1707" t="str">
        <x:v>New York</x:v>
      </x:c>
      <x:c r="N1707" t="str">
        <x:v>DOMESTIC LIMITED LIABILITY COMPANY</x:v>
      </x:c>
      <x:c r="O1707" t="str">
        <x:v>2205 WALTON TOWERS LLC</x:v>
      </x:c>
      <x:c r="P1707" t="str">
        <x:v>PO BOX 150, MONSEY, NY, 10952</x:v>
      </x:c>
      <x:c r="Q1707" t="str"/>
      <x:c r="R1707" t="str"/>
      <x:c r="S1707" t="str"/>
      <x:c r="T1707" t="str"/>
      <x:c r="U1707" t="str"/>
      <x:c r="V1707" t="str"/>
      <x:c r="W1707" t="str"/>
      <x:c r="X1707" t="str"/>
      <x:c r="Y1707" t="str">
        <x:v>https://data.ny.gov/Economic-Development/Active-Corporations-Beginning-1800/n9v6-gdp6</x:v>
      </x:c>
    </x:row>
    <x:row r="1708">
      <x:c r="A1708" t="str">
        <x:v>DOS-6-085</x:v>
      </x:c>
      <x:c r="B1708" t="n">
        <x:v>6</x:v>
      </x:c>
      <x:c r="C1708" t="str">
        <x:v>P.O. BOX 150, MONSEY, NY, 10952, US</x:v>
      </x:c>
      <x:c r="D1708" t="str">
        <x:v>3573 DEKALB REALTY LLC</x:v>
      </x:c>
      <x:c r="E1708" t="str">
        <x:v>3573 DEKALB REALTY LLC</x:v>
      </x:c>
      <x:c r="F1708" t="str">
        <x:v>Active name match</x:v>
      </x:c>
      <x:c r="G1708" t="n">
        <x:v>1</x:v>
      </x:c>
      <x:c r="H1708" t="n">
        <x:v>1</x:v>
      </x:c>
      <x:c r="I1708" t="str">
        <x:v>3215765</x:v>
      </x:c>
      <x:c r="J1708" t="str">
        <x:v>3573 DEKALB REALTY LLC</x:v>
      </x:c>
      <x:c r="K1708" s="55" t="n">
        <x:v>38511</x:v>
      </x:c>
      <x:c r="L1708" t="str">
        <x:v>Rockland</x:v>
      </x:c>
      <x:c r="M1708" t="str">
        <x:v>New York</x:v>
      </x:c>
      <x:c r="N1708" t="str">
        <x:v>DOMESTIC LIMITED LIABILITY COMPANY</x:v>
      </x:c>
      <x:c r="O1708" t="str">
        <x:v>3573 DEKALB REALTY LLC</x:v>
      </x:c>
      <x:c r="P1708" t="str">
        <x:v>PO BOX 150, MONSEY, NY, 10952</x:v>
      </x:c>
      <x:c r="Q1708" t="str"/>
      <x:c r="R1708" t="str"/>
      <x:c r="S1708" t="str"/>
      <x:c r="T1708" t="str"/>
      <x:c r="U1708" t="str"/>
      <x:c r="V1708" t="str"/>
      <x:c r="W1708" t="str"/>
      <x:c r="X1708" t="str"/>
      <x:c r="Y1708" t="str">
        <x:v>https://data.ny.gov/Economic-Development/Active-Corporations-Beginning-1800/n9v6-gdp6</x:v>
      </x:c>
    </x:row>
    <x:row r="1709">
      <x:c r="A1709" t="str">
        <x:v>DOS-6-085</x:v>
      </x:c>
      <x:c r="B1709" t="n">
        <x:v>6</x:v>
      </x:c>
      <x:c r="C1709" t="str">
        <x:v>P.O. BOX 150, MONSEY, NY, 10952, US</x:v>
      </x:c>
      <x:c r="D1709" t="str">
        <x:v>MARO REALTY LLC</x:v>
      </x:c>
      <x:c r="E1709" t="str">
        <x:v>MARO REALTY LLC</x:v>
      </x:c>
      <x:c r="F1709" t="str">
        <x:v>Active name match</x:v>
      </x:c>
      <x:c r="G1709" t="n">
        <x:v>1</x:v>
      </x:c>
      <x:c r="H1709" t="n">
        <x:v>1</x:v>
      </x:c>
      <x:c r="I1709" t="str">
        <x:v>2957872</x:v>
      </x:c>
      <x:c r="J1709" t="str">
        <x:v>MARO REALTY, LLC</x:v>
      </x:c>
      <x:c r="K1709" s="55" t="n">
        <x:v>37888</x:v>
      </x:c>
      <x:c r="L1709" t="str">
        <x:v>Rockland</x:v>
      </x:c>
      <x:c r="M1709" t="str">
        <x:v>New York</x:v>
      </x:c>
      <x:c r="N1709" t="str">
        <x:v>DOMESTIC LIMITED LIABILITY COMPANY</x:v>
      </x:c>
      <x:c r="O1709" t="str">
        <x:v>MARO REALTY LLC</x:v>
      </x:c>
      <x:c r="P1709" t="str">
        <x:v>PO BOX 150, MONSEY, NY, 10952</x:v>
      </x:c>
      <x:c r="Q1709" t="str"/>
      <x:c r="R1709" t="str"/>
      <x:c r="S1709" t="str"/>
      <x:c r="T1709" t="str"/>
      <x:c r="U1709" t="str"/>
      <x:c r="V1709" t="str"/>
      <x:c r="W1709" t="str"/>
      <x:c r="X1709" t="str"/>
      <x:c r="Y1709" t="str">
        <x:v>https://data.ny.gov/Economic-Development/Active-Corporations-Beginning-1800/n9v6-gdp6</x:v>
      </x:c>
    </x:row>
    <x:row r="1710">
      <x:c r="A1710" t="str">
        <x:v>DOS-6-085</x:v>
      </x:c>
      <x:c r="B1710" t="n">
        <x:v>6</x:v>
      </x:c>
      <x:c r="C1710" t="str">
        <x:v>P.O. BOX 150, MONSEY, NY, 10952, US</x:v>
      </x:c>
      <x:c r="D1710" t="str">
        <x:v>MORRIS TOWERS LLC</x:v>
      </x:c>
      <x:c r="E1710" t="str">
        <x:v>MORRIS TOWERS LLC</x:v>
      </x:c>
      <x:c r="F1710" t="str">
        <x:v>Active name match</x:v>
      </x:c>
      <x:c r="G1710" t="n">
        <x:v>1</x:v>
      </x:c>
      <x:c r="H1710" t="n">
        <x:v>1</x:v>
      </x:c>
      <x:c r="I1710" t="str">
        <x:v>3854032</x:v>
      </x:c>
      <x:c r="J1710" t="str">
        <x:v>MORRIS TOWERS LLC</x:v>
      </x:c>
      <x:c r="K1710" s="55" t="n">
        <x:v>40065</x:v>
      </x:c>
      <x:c r="L1710" t="str">
        <x:v>Rockland</x:v>
      </x:c>
      <x:c r="M1710" t="str">
        <x:v>New York</x:v>
      </x:c>
      <x:c r="N1710" t="str">
        <x:v>DOMESTIC LIMITED LIABILITY COMPANY</x:v>
      </x:c>
      <x:c r="O1710" t="str">
        <x:v>MORRIS TOWERS LLC</x:v>
      </x:c>
      <x:c r="P1710" t="str">
        <x:v>PO BOX 150, MONSEY, NY, 10952</x:v>
      </x:c>
      <x:c r="Q1710" t="str"/>
      <x:c r="R1710" t="str"/>
      <x:c r="S1710" t="str"/>
      <x:c r="T1710" t="str"/>
      <x:c r="U1710" t="str"/>
      <x:c r="V1710" t="str"/>
      <x:c r="W1710" t="str"/>
      <x:c r="X1710" t="str"/>
      <x:c r="Y1710" t="str">
        <x:v>https://data.ny.gov/Economic-Development/Active-Corporations-Beginning-1800/n9v6-gdp6</x:v>
      </x:c>
    </x:row>
    <x:row r="1711">
      <x:c r="A1711" t="str">
        <x:v>DOS-6-085</x:v>
      </x:c>
      <x:c r="B1711" t="n">
        <x:v>6</x:v>
      </x:c>
      <x:c r="C1711" t="str">
        <x:v>P.O. BOX 150, MONSEY, NY, 10952, US</x:v>
      </x:c>
      <x:c r="D1711" t="str">
        <x:v>TIEBOUT REALTY LLC</x:v>
      </x:c>
      <x:c r="E1711" t="str">
        <x:v>TIEBOUT REALTY LLC</x:v>
      </x:c>
      <x:c r="F1711" t="str">
        <x:v>Active name match</x:v>
      </x:c>
      <x:c r="G1711" t="n">
        <x:v>1</x:v>
      </x:c>
      <x:c r="H1711" t="n">
        <x:v>1</x:v>
      </x:c>
      <x:c r="I1711" t="str">
        <x:v>2957878</x:v>
      </x:c>
      <x:c r="J1711" t="str">
        <x:v>TIEBOUT REALTY, LLC</x:v>
      </x:c>
      <x:c r="K1711" s="55" t="n">
        <x:v>37888</x:v>
      </x:c>
      <x:c r="L1711" t="str">
        <x:v>Rockland</x:v>
      </x:c>
      <x:c r="M1711" t="str">
        <x:v>New York</x:v>
      </x:c>
      <x:c r="N1711" t="str">
        <x:v>DOMESTIC LIMITED LIABILITY COMPANY</x:v>
      </x:c>
      <x:c r="O1711" t="str">
        <x:v>TIEBOUT REALTY LLC</x:v>
      </x:c>
      <x:c r="P1711" t="str">
        <x:v>PO BOX 150, MONSEY, NY, 10952</x:v>
      </x:c>
      <x:c r="Q1711" t="str"/>
      <x:c r="R1711" t="str"/>
      <x:c r="S1711" t="str"/>
      <x:c r="T1711" t="str"/>
      <x:c r="U1711" t="str"/>
      <x:c r="V1711" t="str"/>
      <x:c r="W1711" t="str"/>
      <x:c r="X1711" t="str"/>
      <x:c r="Y1711" t="str">
        <x:v>https://data.ny.gov/Economic-Development/Active-Corporations-Beginning-1800/n9v6-gdp6</x:v>
      </x:c>
    </x:row>
    <x:row r="1712">
      <x:c r="A1712" t="str">
        <x:v>DOS-6-086</x:v>
      </x:c>
      <x:c r="B1712" t="n">
        <x:v>6</x:v>
      </x:c>
      <x:c r="C1712" t="str">
        <x:v>PO BOX 234550, GREAT NECK, NY, 11023, US</x:v>
      </x:c>
      <x:c r="D1712" t="str">
        <x:v>1333 INWOOD AVE LLC</x:v>
      </x:c>
      <x:c r="E1712" t="str">
        <x:v>1333 INWOOD AVE LLC</x:v>
      </x:c>
      <x:c r="F1712" t="str">
        <x:v>Address-corroborated active match</x:v>
      </x:c>
      <x:c r="G1712" t="n">
        <x:v>1</x:v>
      </x:c>
      <x:c r="H1712" t="n">
        <x:v>2</x:v>
      </x:c>
      <x:c r="I1712" t="str">
        <x:v>7788440</x:v>
      </x:c>
      <x:c r="J1712" t="str">
        <x:v>1333 INWOOD AVE LLC</x:v>
      </x:c>
      <x:c r="K1712" s="55" t="n">
        <x:v>46013</x:v>
      </x:c>
      <x:c r="L1712" t="str">
        <x:v>Bronx</x:v>
      </x:c>
      <x:c r="M1712" t="str">
        <x:v>New York</x:v>
      </x:c>
      <x:c r="N1712" t="str">
        <x:v>DOMESTIC LIMITED LIABILITY COMPANY</x:v>
      </x:c>
      <x:c r="O1712" t="str">
        <x:v>1333 INWOOD AVE LLC</x:v>
      </x:c>
      <x:c r="P1712" t="str">
        <x:v>PO Box 234550, Great Neck, NY, 11023</x:v>
      </x:c>
      <x:c r="Q1712" t="str"/>
      <x:c r="R1712" t="str"/>
      <x:c r="S1712" t="str"/>
      <x:c r="T1712" t="str"/>
      <x:c r="U1712" t="str"/>
      <x:c r="V1712" t="str"/>
      <x:c r="W1712" t="str"/>
      <x:c r="X1712" t="str"/>
      <x:c r="Y1712" t="str">
        <x:v>https://data.ny.gov/Economic-Development/Active-Corporations-Beginning-1800/n9v6-gdp6</x:v>
      </x:c>
    </x:row>
    <x:row r="1713">
      <x:c r="A1713" t="str">
        <x:v>DOS-6-086</x:v>
      </x:c>
      <x:c r="B1713" t="n">
        <x:v>6</x:v>
      </x:c>
      <x:c r="C1713" t="str">
        <x:v>PO BOX 234550, GREAT NECK, NY, 11023, US</x:v>
      </x:c>
      <x:c r="D1713" t="str">
        <x:v>24 20 PARSONS BLVD LLC</x:v>
      </x:c>
      <x:c r="E1713" t="str">
        <x:v>24-20 PARSONS BLVD LLC</x:v>
      </x:c>
      <x:c r="F1713" t="str">
        <x:v>Address-corroborated active match</x:v>
      </x:c>
      <x:c r="G1713" t="n">
        <x:v>1</x:v>
      </x:c>
      <x:c r="H1713" t="n">
        <x:v>2</x:v>
      </x:c>
      <x:c r="I1713" t="str">
        <x:v>4340401</x:v>
      </x:c>
      <x:c r="J1713" t="str">
        <x:v>24-20 PARSONS BLVD LLC</x:v>
      </x:c>
      <x:c r="K1713" s="55" t="n">
        <x:v>41277</x:v>
      </x:c>
      <x:c r="L1713" t="str">
        <x:v>Bronx</x:v>
      </x:c>
      <x:c r="M1713" t="str">
        <x:v>New York</x:v>
      </x:c>
      <x:c r="N1713" t="str">
        <x:v>DOMESTIC LIMITED LIABILITY COMPANY</x:v>
      </x:c>
      <x:c r="O1713" t="str">
        <x:v>24-20 PARSONS BLVD LLC</x:v>
      </x:c>
      <x:c r="P1713" t="str">
        <x:v>PO BOX 234550, GREAT NECK, NY, 11023</x:v>
      </x:c>
      <x:c r="Q1713" t="str"/>
      <x:c r="R1713" t="str"/>
      <x:c r="S1713" t="str">
        <x:v>PILLAR PROPERTY MANAGEMENT LLC</x:v>
      </x:c>
      <x:c r="T1713" t="str">
        <x:v>3251 3RD AVE FL 2, BRONX, NEW YORK, 10456</x:v>
      </x:c>
      <x:c r="U1713" t="str"/>
      <x:c r="V1713" t="str"/>
      <x:c r="W1713" t="str"/>
      <x:c r="X1713" t="str"/>
      <x:c r="Y1713" t="str">
        <x:v>https://data.ny.gov/Economic-Development/Active-Corporations-Beginning-1800/n9v6-gdp6</x:v>
      </x:c>
    </x:row>
    <x:row r="1714">
      <x:c r="A1714" t="str">
        <x:v>DOS-6-086</x:v>
      </x:c>
      <x:c r="B1714" t="n">
        <x:v>6</x:v>
      </x:c>
      <x:c r="C1714" t="str">
        <x:v>PO BOX 234550, GREAT NECK, NY, 11023, US</x:v>
      </x:c>
      <x:c r="D1714" t="str">
        <x:v>308 312 WEST 36 ST LLC</x:v>
      </x:c>
      <x:c r="E1714" t="str">
        <x:v>308-312 WEST 36 ST LLC</x:v>
      </x:c>
      <x:c r="F1714" t="str">
        <x:v>Active name match</x:v>
      </x:c>
      <x:c r="G1714" t="n">
        <x:v>1</x:v>
      </x:c>
      <x:c r="H1714" t="n">
        <x:v>1</x:v>
      </x:c>
      <x:c r="I1714" t="str">
        <x:v>2490489</x:v>
      </x:c>
      <x:c r="J1714" t="str">
        <x:v>308-312 WEST 36 ST LLC</x:v>
      </x:c>
      <x:c r="K1714" s="55" t="n">
        <x:v>36609</x:v>
      </x:c>
      <x:c r="L1714" t="str">
        <x:v>New York</x:v>
      </x:c>
      <x:c r="M1714" t="str">
        <x:v>New York</x:v>
      </x:c>
      <x:c r="N1714" t="str">
        <x:v>DOMESTIC LIMITED LIABILITY COMPANY</x:v>
      </x:c>
      <x:c r="O1714" t="str">
        <x:v>308-312 WEST 36 ST LLC</x:v>
      </x:c>
      <x:c r="P1714" t="str">
        <x:v>P.O. BOX 234550, GREAT NECK, NY, 11023</x:v>
      </x:c>
      <x:c r="Q1714" t="str"/>
      <x:c r="R1714" t="str"/>
      <x:c r="S1714" t="str"/>
      <x:c r="T1714" t="str"/>
      <x:c r="U1714" t="str"/>
      <x:c r="V1714" t="str"/>
      <x:c r="W1714" t="str"/>
      <x:c r="X1714" t="str"/>
      <x:c r="Y1714" t="str">
        <x:v>https://data.ny.gov/Economic-Development/Active-Corporations-Beginning-1800/n9v6-gdp6</x:v>
      </x:c>
    </x:row>
    <x:row r="1715">
      <x:c r="A1715" t="str">
        <x:v>DOS-6-086</x:v>
      </x:c>
      <x:c r="B1715" t="n">
        <x:v>6</x:v>
      </x:c>
      <x:c r="C1715" t="str">
        <x:v>PO BOX 234550, GREAT NECK, NY, 11023, US</x:v>
      </x:c>
      <x:c r="D1715" t="str">
        <x:v>647 651 ELTON AVE JV LLC</x:v>
      </x:c>
      <x:c r="E1715" t="str">
        <x:v>647-651 ELTON AVE JV LLC</x:v>
      </x:c>
      <x:c r="F1715" t="str">
        <x:v>Address-corroborated active match</x:v>
      </x:c>
      <x:c r="G1715" t="n">
        <x:v>1</x:v>
      </x:c>
      <x:c r="H1715" t="n">
        <x:v>2</x:v>
      </x:c>
      <x:c r="I1715" t="str">
        <x:v>6371354</x:v>
      </x:c>
      <x:c r="J1715" t="str">
        <x:v>647-651 ELTON AVE JV LLC</x:v>
      </x:c>
      <x:c r="K1715" s="55" t="n">
        <x:v>44571</x:v>
      </x:c>
      <x:c r="L1715" t="str">
        <x:v>Bronx</x:v>
      </x:c>
      <x:c r="M1715" t="str">
        <x:v>New York</x:v>
      </x:c>
      <x:c r="N1715" t="str">
        <x:v>DOMESTIC LIMITED LIABILITY COMPANY</x:v>
      </x:c>
      <x:c r="O1715" t="str">
        <x:v>647-651 ELTON AVE JV LLC</x:v>
      </x:c>
      <x:c r="P1715" t="str">
        <x:v>PO Box 234550, Great Neck, NY, 11023</x:v>
      </x:c>
      <x:c r="Q1715" t="str"/>
      <x:c r="R1715" t="str"/>
      <x:c r="S1715" t="str"/>
      <x:c r="T1715" t="str"/>
      <x:c r="U1715" t="str"/>
      <x:c r="V1715" t="str"/>
      <x:c r="W1715" t="str"/>
      <x:c r="X1715" t="str"/>
      <x:c r="Y1715" t="str">
        <x:v>https://data.ny.gov/Economic-Development/Active-Corporations-Beginning-1800/n9v6-gdp6</x:v>
      </x:c>
    </x:row>
    <x:row r="1716">
      <x:c r="A1716" t="str">
        <x:v>DOS-6-086</x:v>
      </x:c>
      <x:c r="B1716" t="n">
        <x:v>6</x:v>
      </x:c>
      <x:c r="C1716" t="str">
        <x:v>PO BOX 234550, GREAT NECK, NY, 11023, US</x:v>
      </x:c>
      <x:c r="D1716" t="str">
        <x:v>CROMWELL PLG LLC</x:v>
      </x:c>
      <x:c r="E1716" t="str">
        <x:v>CROMWELL PLG LLC</x:v>
      </x:c>
      <x:c r="F1716" t="str">
        <x:v>Active name match</x:v>
      </x:c>
      <x:c r="G1716" t="n">
        <x:v>1</x:v>
      </x:c>
      <x:c r="H1716" t="n">
        <x:v>0</x:v>
      </x:c>
      <x:c r="I1716" t="str">
        <x:v>5173867</x:v>
      </x:c>
      <x:c r="J1716" t="str">
        <x:v>CROMWELL PLG LLC</x:v>
      </x:c>
      <x:c r="K1716" s="55" t="n">
        <x:v>42937</x:v>
      </x:c>
      <x:c r="L1716" t="str">
        <x:v>Bronx</x:v>
      </x:c>
      <x:c r="M1716" t="str">
        <x:v>New York</x:v>
      </x:c>
      <x:c r="N1716" t="str">
        <x:v>DOMESTIC LIMITED LIABILITY COMPANY</x:v>
      </x:c>
      <x:c r="O1716" t="str">
        <x:v>CROMWELL PLG LLC</x:v>
      </x:c>
      <x:c r="P1716" t="str">
        <x:v>1368 CROMWELL AVE, BRONX, NY, 10452</x:v>
      </x:c>
      <x:c r="Q1716" t="str"/>
      <x:c r="R1716" t="str"/>
      <x:c r="S1716" t="str"/>
      <x:c r="T1716" t="str"/>
      <x:c r="U1716" t="str"/>
      <x:c r="V1716" t="str"/>
      <x:c r="W1716" t="str"/>
      <x:c r="X1716" t="str"/>
      <x:c r="Y1716" t="str">
        <x:v>https://data.ny.gov/Economic-Development/Active-Corporations-Beginning-1800/n9v6-gdp6</x:v>
      </x:c>
    </x:row>
    <x:row r="1717">
      <x:c r="A1717" t="str">
        <x:v>DOS-6-086</x:v>
      </x:c>
      <x:c r="B1717" t="n">
        <x:v>6</x:v>
      </x:c>
      <x:c r="C1717" t="str">
        <x:v>PO BOX 234550, GREAT NECK, NY, 11023, US</x:v>
      </x:c>
      <x:c r="D1717" t="str">
        <x:v>ONE PLAZA LLC</x:v>
      </x:c>
      <x:c r="E1717" t="str">
        <x:v>ONE PLAZA LLC</x:v>
      </x:c>
      <x:c r="F1717" t="str">
        <x:v>Active name match</x:v>
      </x:c>
      <x:c r="G1717" t="n">
        <x:v>1</x:v>
      </x:c>
      <x:c r="H1717" t="n">
        <x:v>0</x:v>
      </x:c>
      <x:c r="I1717" t="str">
        <x:v>4807363</x:v>
      </x:c>
      <x:c r="J1717" t="str">
        <x:v>ONE PLAZA LLC</x:v>
      </x:c>
      <x:c r="K1717" s="55" t="n">
        <x:v>42235</x:v>
      </x:c>
      <x:c r="L1717" t="str">
        <x:v>Bronx</x:v>
      </x:c>
      <x:c r="M1717" t="str">
        <x:v>New York</x:v>
      </x:c>
      <x:c r="N1717" t="str">
        <x:v>DOMESTIC LIMITED LIABILITY COMPANY</x:v>
      </x:c>
      <x:c r="O1717" t="str">
        <x:v>ONE PLAZA LLC</x:v>
      </x:c>
      <x:c r="P1717" t="str">
        <x:v>3251 THIRD AVENUE 2ND FLOOR, BRONX, NY, 10456</x:v>
      </x:c>
      <x:c r="Q1717" t="str"/>
      <x:c r="R1717" t="str"/>
      <x:c r="S1717" t="str"/>
      <x:c r="T1717" t="str"/>
      <x:c r="U1717" t="str"/>
      <x:c r="V1717" t="str"/>
      <x:c r="W1717" t="str"/>
      <x:c r="X1717" t="str"/>
      <x:c r="Y1717" t="str">
        <x:v>https://data.ny.gov/Economic-Development/Active-Corporations-Beginning-1800/n9v6-gdp6</x:v>
      </x:c>
    </x:row>
    <x:row r="1718">
      <x:c r="A1718" t="str">
        <x:v>DOS-6-087</x:v>
      </x:c>
      <x:c r="B1718" t="n">
        <x:v>6</x:v>
      </x:c>
      <x:c r="C1718" t="str">
        <x:v>101-42 99TH STREET, OZONE PARK, NY, 11416, US</x:v>
      </x:c>
      <x:c r="D1718" t="str">
        <x:v>101 22 99TH REALTY LLC</x:v>
      </x:c>
      <x:c r="E1718" t="str">
        <x:v>101-22 99TH REALTY LLC</x:v>
      </x:c>
      <x:c r="F1718" t="str">
        <x:v>Active name match</x:v>
      </x:c>
      <x:c r="G1718" t="n">
        <x:v>1</x:v>
      </x:c>
      <x:c r="H1718" t="n">
        <x:v>1</x:v>
      </x:c>
      <x:c r="I1718" t="str">
        <x:v>5587219</x:v>
      </x:c>
      <x:c r="J1718" t="str">
        <x:v>101-22 99TH REALTY LLC</x:v>
      </x:c>
      <x:c r="K1718" s="55" t="n">
        <x:v>43661</x:v>
      </x:c>
      <x:c r="L1718" t="str">
        <x:v>Queens</x:v>
      </x:c>
      <x:c r="M1718" t="str">
        <x:v>New York</x:v>
      </x:c>
      <x:c r="N1718" t="str">
        <x:v>DOMESTIC LIMITED LIABILITY COMPANY</x:v>
      </x:c>
      <x:c r="O1718" t="str">
        <x:v>101-22 99TH REALTY LLC</x:v>
      </x:c>
      <x:c r="P1718" t="str">
        <x:v>101-24 99TH STREET, OZONE PARK, NY, 11416</x:v>
      </x:c>
      <x:c r="Q1718" t="str"/>
      <x:c r="R1718" t="str"/>
      <x:c r="S1718" t="str"/>
      <x:c r="T1718" t="str"/>
      <x:c r="U1718" t="str"/>
      <x:c r="V1718" t="str"/>
      <x:c r="W1718" t="str"/>
      <x:c r="X1718" t="str"/>
      <x:c r="Y1718" t="str">
        <x:v>https://data.ny.gov/Economic-Development/Active-Corporations-Beginning-1800/n9v6-gdp6</x:v>
      </x:c>
    </x:row>
    <x:row r="1719">
      <x:c r="A1719" t="str">
        <x:v>DOS-6-087</x:v>
      </x:c>
      <x:c r="B1719" t="n">
        <x:v>6</x:v>
      </x:c>
      <x:c r="C1719" t="str">
        <x:v>101-42 99TH STREET, OZONE PARK, NY, 11416, US</x:v>
      </x:c>
      <x:c r="D1719" t="str">
        <x:v>101 24 99TH REALTY LLC</x:v>
      </x:c>
      <x:c r="E1719" t="str">
        <x:v>101-24 99TH REALTY LLC</x:v>
      </x:c>
      <x:c r="F1719" t="str">
        <x:v>Active name match</x:v>
      </x:c>
      <x:c r="G1719" t="n">
        <x:v>1</x:v>
      </x:c>
      <x:c r="H1719" t="n">
        <x:v>1</x:v>
      </x:c>
      <x:c r="I1719" t="str">
        <x:v>5587194</x:v>
      </x:c>
      <x:c r="J1719" t="str">
        <x:v>101-24 99TH REALTY LLC</x:v>
      </x:c>
      <x:c r="K1719" s="55" t="n">
        <x:v>43661</x:v>
      </x:c>
      <x:c r="L1719" t="str">
        <x:v>Queens</x:v>
      </x:c>
      <x:c r="M1719" t="str">
        <x:v>New York</x:v>
      </x:c>
      <x:c r="N1719" t="str">
        <x:v>DOMESTIC LIMITED LIABILITY COMPANY</x:v>
      </x:c>
      <x:c r="O1719" t="str">
        <x:v>101-24 99TH REALTY LLC</x:v>
      </x:c>
      <x:c r="P1719" t="str">
        <x:v>101-24 99TH STREET, OZONE PARK, NY, 11416</x:v>
      </x:c>
      <x:c r="Q1719" t="str"/>
      <x:c r="R1719" t="str"/>
      <x:c r="S1719" t="str"/>
      <x:c r="T1719" t="str"/>
      <x:c r="U1719" t="str"/>
      <x:c r="V1719" t="str"/>
      <x:c r="W1719" t="str"/>
      <x:c r="X1719" t="str"/>
      <x:c r="Y1719" t="str">
        <x:v>https://data.ny.gov/Economic-Development/Active-Corporations-Beginning-1800/n9v6-gdp6</x:v>
      </x:c>
    </x:row>
    <x:row r="1720">
      <x:c r="A1720" t="str">
        <x:v>DOS-6-087</x:v>
      </x:c>
      <x:c r="B1720" t="n">
        <x:v>6</x:v>
      </x:c>
      <x:c r="C1720" t="str">
        <x:v>101-42 99TH STREET, OZONE PARK, NY, 11416, US</x:v>
      </x:c>
      <x:c r="D1720" t="str">
        <x:v>103 03 REALTY LLC</x:v>
      </x:c>
      <x:c r="E1720" t="str">
        <x:v>103-03 REALTY LLC</x:v>
      </x:c>
      <x:c r="F1720" t="str">
        <x:v>Active name match</x:v>
      </x:c>
      <x:c r="G1720" t="n">
        <x:v>1</x:v>
      </x:c>
      <x:c r="H1720" t="n">
        <x:v>1</x:v>
      </x:c>
      <x:c r="I1720" t="str">
        <x:v>5861746</x:v>
      </x:c>
      <x:c r="J1720" t="str">
        <x:v>103-03 REALTY LLC</x:v>
      </x:c>
      <x:c r="K1720" s="55" t="n">
        <x:v>44125</x:v>
      </x:c>
      <x:c r="L1720" t="str">
        <x:v>Queens</x:v>
      </x:c>
      <x:c r="M1720" t="str">
        <x:v>New York</x:v>
      </x:c>
      <x:c r="N1720" t="str">
        <x:v>DOMESTIC LIMITED LIABILITY COMPANY</x:v>
      </x:c>
      <x:c r="O1720" t="str">
        <x:v>103-03 REALTY LLC</x:v>
      </x:c>
      <x:c r="P1720" t="str">
        <x:v>101-24 99TH ST, OZONE PARK, NY, 11416</x:v>
      </x:c>
      <x:c r="Q1720" t="str"/>
      <x:c r="R1720" t="str"/>
      <x:c r="S1720" t="str"/>
      <x:c r="T1720" t="str"/>
      <x:c r="U1720" t="str"/>
      <x:c r="V1720" t="str"/>
      <x:c r="W1720" t="str"/>
      <x:c r="X1720" t="str"/>
      <x:c r="Y1720" t="str">
        <x:v>https://data.ny.gov/Economic-Development/Active-Corporations-Beginning-1800/n9v6-gdp6</x:v>
      </x:c>
    </x:row>
    <x:row r="1721">
      <x:c r="A1721" t="str">
        <x:v>DOS-6-087</x:v>
      </x:c>
      <x:c r="B1721" t="n">
        <x:v>6</x:v>
      </x:c>
      <x:c r="C1721" t="str">
        <x:v>101-42 99TH STREET, OZONE PARK, NY, 11416, US</x:v>
      </x:c>
      <x:c r="D1721" t="str">
        <x:v>162 23 91 REALTY LLC</x:v>
      </x:c>
      <x:c r="E1721" t="str">
        <x:v>162-23 91 REALTY LLC</x:v>
      </x:c>
      <x:c r="F1721" t="str">
        <x:v>Active name match</x:v>
      </x:c>
      <x:c r="G1721" t="n">
        <x:v>1</x:v>
      </x:c>
      <x:c r="H1721" t="n">
        <x:v>1</x:v>
      </x:c>
      <x:c r="I1721" t="str">
        <x:v>5860707</x:v>
      </x:c>
      <x:c r="J1721" t="str">
        <x:v>162-23 91 REALTY LLC</x:v>
      </x:c>
      <x:c r="K1721" s="55" t="n">
        <x:v>44124</x:v>
      </x:c>
      <x:c r="L1721" t="str">
        <x:v>Queens</x:v>
      </x:c>
      <x:c r="M1721" t="str">
        <x:v>New York</x:v>
      </x:c>
      <x:c r="N1721" t="str">
        <x:v>DOMESTIC LIMITED LIABILITY COMPANY</x:v>
      </x:c>
      <x:c r="O1721" t="str">
        <x:v>162-23 91 REALTY LLC</x:v>
      </x:c>
      <x:c r="P1721" t="str">
        <x:v>101-24 99TH ST, OZONE PARK, NY, 11416</x:v>
      </x:c>
      <x:c r="Q1721" t="str"/>
      <x:c r="R1721" t="str"/>
      <x:c r="S1721" t="str"/>
      <x:c r="T1721" t="str"/>
      <x:c r="U1721" t="str"/>
      <x:c r="V1721" t="str"/>
      <x:c r="W1721" t="str"/>
      <x:c r="X1721" t="str"/>
      <x:c r="Y1721" t="str">
        <x:v>https://data.ny.gov/Economic-Development/Active-Corporations-Beginning-1800/n9v6-gdp6</x:v>
      </x:c>
    </x:row>
    <x:row r="1722">
      <x:c r="A1722" t="str">
        <x:v>DOS-6-087</x:v>
      </x:c>
      <x:c r="B1722" t="n">
        <x:v>6</x:v>
      </x:c>
      <x:c r="C1722" t="str">
        <x:v>101-42 99TH STREET, OZONE PARK, NY, 11416, US</x:v>
      </x:c>
      <x:c r="D1722" t="str">
        <x:v>64 33 REALTY LLC</x:v>
      </x:c>
      <x:c r="E1722" t="str">
        <x:v>64-33 REALTY LLC</x:v>
      </x:c>
      <x:c r="F1722" t="str">
        <x:v>Address-corroborated active match</x:v>
      </x:c>
      <x:c r="G1722" t="n">
        <x:v>1</x:v>
      </x:c>
      <x:c r="H1722" t="n">
        <x:v>2</x:v>
      </x:c>
      <x:c r="I1722" t="str">
        <x:v>5863621</x:v>
      </x:c>
      <x:c r="J1722" t="str">
        <x:v>64-33 REALTY LLC</x:v>
      </x:c>
      <x:c r="K1722" s="55" t="n">
        <x:v>44127</x:v>
      </x:c>
      <x:c r="L1722" t="str">
        <x:v>Queens</x:v>
      </x:c>
      <x:c r="M1722" t="str">
        <x:v>New York</x:v>
      </x:c>
      <x:c r="N1722" t="str">
        <x:v>DOMESTIC LIMITED LIABILITY COMPANY</x:v>
      </x:c>
      <x:c r="O1722" t="str">
        <x:v>64-33 REALTY LLC</x:v>
      </x:c>
      <x:c r="P1722" t="str">
        <x:v>101-42 99TH ST, OZONE PARK, NY, 11416</x:v>
      </x:c>
      <x:c r="Q1722" t="str"/>
      <x:c r="R1722" t="str"/>
      <x:c r="S1722" t="str"/>
      <x:c r="T1722" t="str"/>
      <x:c r="U1722" t="str"/>
      <x:c r="V1722" t="str"/>
      <x:c r="W1722" t="str"/>
      <x:c r="X1722" t="str"/>
      <x:c r="Y1722" t="str">
        <x:v>https://data.ny.gov/Economic-Development/Active-Corporations-Beginning-1800/n9v6-gdp6</x:v>
      </x:c>
    </x:row>
    <x:row r="1723">
      <x:c r="A1723" t="str">
        <x:v>DOS-6-087</x:v>
      </x:c>
      <x:c r="B1723" t="n">
        <x:v>6</x:v>
      </x:c>
      <x:c r="C1723" t="str">
        <x:v>101-42 99TH STREET, OZONE PARK, NY, 11416, US</x:v>
      </x:c>
      <x:c r="D1723" t="str">
        <x:v>64 35 REALTY LLC</x:v>
      </x:c>
      <x:c r="E1723" t="str">
        <x:v>64-35 REALTY LLC</x:v>
      </x:c>
      <x:c r="F1723" t="str">
        <x:v>Active name match</x:v>
      </x:c>
      <x:c r="G1723" t="n">
        <x:v>1</x:v>
      </x:c>
      <x:c r="H1723" t="n">
        <x:v>1</x:v>
      </x:c>
      <x:c r="I1723" t="str">
        <x:v>5864847</x:v>
      </x:c>
      <x:c r="J1723" t="str">
        <x:v>64-35 REALTY LLC</x:v>
      </x:c>
      <x:c r="K1723" s="55" t="n">
        <x:v>44130</x:v>
      </x:c>
      <x:c r="L1723" t="str">
        <x:v>Queens</x:v>
      </x:c>
      <x:c r="M1723" t="str">
        <x:v>New York</x:v>
      </x:c>
      <x:c r="N1723" t="str">
        <x:v>DOMESTIC LIMITED LIABILITY COMPANY</x:v>
      </x:c>
      <x:c r="O1723" t="str">
        <x:v>64-35 REALTY LLC</x:v>
      </x:c>
      <x:c r="P1723" t="str">
        <x:v>101-24 99TH ST, OZONE PARK, NY, 11416</x:v>
      </x:c>
      <x:c r="Q1723" t="str"/>
      <x:c r="R1723" t="str"/>
      <x:c r="S1723" t="str"/>
      <x:c r="T1723" t="str"/>
      <x:c r="U1723" t="str"/>
      <x:c r="V1723" t="str"/>
      <x:c r="W1723" t="str"/>
      <x:c r="X1723" t="str"/>
      <x:c r="Y1723" t="str">
        <x:v>https://data.ny.gov/Economic-Development/Active-Corporations-Beginning-1800/n9v6-gdp6</x:v>
      </x:c>
    </x:row>
    <x:row r="1724">
      <x:c r="A1724" t="str">
        <x:v>DOS-6-088</x:v>
      </x:c>
      <x:c r="B1724" t="n">
        <x:v>6</x:v>
      </x:c>
      <x:c r="C1724" t="str">
        <x:v>108-18 QUEENS BOULEVARD, FOREST HILLS, NY, 11375, US</x:v>
      </x:c>
      <x:c r="D1724" t="str">
        <x:v>CALIENDO PROPERTIES LLC</x:v>
      </x:c>
      <x:c r="E1724" t="str">
        <x:v>CALIENDO PROPERTIES LLC</x:v>
      </x:c>
      <x:c r="F1724" t="str">
        <x:v>Active name match</x:v>
      </x:c>
      <x:c r="G1724" t="n">
        <x:v>1</x:v>
      </x:c>
      <x:c r="H1724" t="n">
        <x:v>0</x:v>
      </x:c>
      <x:c r="I1724" t="str">
        <x:v>3324934</x:v>
      </x:c>
      <x:c r="J1724" t="str">
        <x:v>CALIENDO PROPERTIES LLC</x:v>
      </x:c>
      <x:c r="K1724" s="55" t="n">
        <x:v>38772</x:v>
      </x:c>
      <x:c r="L1724" t="str">
        <x:v>Queens</x:v>
      </x:c>
      <x:c r="M1724" t="str">
        <x:v>New York</x:v>
      </x:c>
      <x:c r="N1724" t="str">
        <x:v>DOMESTIC LIMITED LIABILITY COMPANY</x:v>
      </x:c>
      <x:c r="O1724" t="str">
        <x:v>CALIENDO PROPERTIES LLC</x:v>
      </x:c>
      <x:c r="P1724" t="str">
        <x:v>138-72 QUEENS BLVD., BRIARWOOD, NY, 11435</x:v>
      </x:c>
      <x:c r="Q1724" t="str"/>
      <x:c r="R1724" t="str"/>
      <x:c r="S1724" t="str"/>
      <x:c r="T1724" t="str"/>
      <x:c r="U1724" t="str"/>
      <x:c r="V1724" t="str"/>
      <x:c r="W1724" t="str"/>
      <x:c r="X1724" t="str"/>
      <x:c r="Y1724" t="str">
        <x:v>https://data.ny.gov/Economic-Development/Active-Corporations-Beginning-1800/n9v6-gdp6</x:v>
      </x:c>
    </x:row>
    <x:row r="1725">
      <x:c r="A1725" t="str">
        <x:v>DOS-6-088</x:v>
      </x:c>
      <x:c r="B1725" t="n">
        <x:v>6</x:v>
      </x:c>
      <x:c r="C1725" t="str">
        <x:v>108-18 QUEENS BOULEVARD, FOREST HILLS, NY, 11375, US</x:v>
      </x:c>
      <x:c r="D1725" t="str">
        <x:v>DITMAS PARK 2015 LLC</x:v>
      </x:c>
      <x:c r="E1725" t="str">
        <x:v>DITMAS PARK 2015 LLC</x:v>
      </x:c>
      <x:c r="F1725" t="str">
        <x:v>Active name match</x:v>
      </x:c>
      <x:c r="G1725" t="n">
        <x:v>1</x:v>
      </x:c>
      <x:c r="H1725" t="n">
        <x:v>1</x:v>
      </x:c>
      <x:c r="I1725" t="str">
        <x:v>3674717</x:v>
      </x:c>
      <x:c r="J1725" t="str">
        <x:v>DITMAS PARK 2015 LLC</x:v>
      </x:c>
      <x:c r="K1725" s="55" t="n">
        <x:v>39589</x:v>
      </x:c>
      <x:c r="L1725" t="str">
        <x:v>Queens</x:v>
      </x:c>
      <x:c r="M1725" t="str">
        <x:v>New York</x:v>
      </x:c>
      <x:c r="N1725" t="str">
        <x:v>DOMESTIC LIMITED LIABILITY COMPANY</x:v>
      </x:c>
      <x:c r="O1725" t="str">
        <x:v>DITMAS PARK 2015 LLC</x:v>
      </x:c>
      <x:c r="P1725" t="str">
        <x:v>108-18 QUEENS BLVD, STE 302, FOREST HILLS, NY, 11375</x:v>
      </x:c>
      <x:c r="Q1725" t="str"/>
      <x:c r="R1725" t="str"/>
      <x:c r="S1725" t="str"/>
      <x:c r="T1725" t="str"/>
      <x:c r="U1725" t="str"/>
      <x:c r="V1725" t="str"/>
      <x:c r="W1725" t="str"/>
      <x:c r="X1725" t="str"/>
      <x:c r="Y1725" t="str">
        <x:v>https://data.ny.gov/Economic-Development/Active-Corporations-Beginning-1800/n9v6-gdp6</x:v>
      </x:c>
    </x:row>
    <x:row r="1726">
      <x:c r="A1726" t="str">
        <x:v>DOS-6-088</x:v>
      </x:c>
      <x:c r="B1726" t="n">
        <x:v>6</x:v>
      </x:c>
      <x:c r="C1726" t="str">
        <x:v>108-18 QUEENS BOULEVARD, FOREST HILLS, NY, 11375, US</x:v>
      </x:c>
      <x:c r="D1726" t="str">
        <x:v>DITMAS PARK 307 LLC</x:v>
      </x:c>
      <x:c r="E1726" t="str">
        <x:v>DITMAS PARK 307 LLC</x:v>
      </x:c>
      <x:c r="F1726" t="str">
        <x:v>Active name match</x:v>
      </x:c>
      <x:c r="G1726" t="n">
        <x:v>1</x:v>
      </x:c>
      <x:c r="H1726" t="n">
        <x:v>1</x:v>
      </x:c>
      <x:c r="I1726" t="str">
        <x:v>3635970</x:v>
      </x:c>
      <x:c r="J1726" t="str">
        <x:v>DITMAS PARK 307 LLC</x:v>
      </x:c>
      <x:c r="K1726" s="55" t="n">
        <x:v>39503</x:v>
      </x:c>
      <x:c r="L1726" t="str">
        <x:v>Queens</x:v>
      </x:c>
      <x:c r="M1726" t="str">
        <x:v>New York</x:v>
      </x:c>
      <x:c r="N1726" t="str">
        <x:v>DOMESTIC LIMITED LIABILITY COMPANY</x:v>
      </x:c>
      <x:c r="O1726" t="str">
        <x:v>DITMAS PARK 307 LLC</x:v>
      </x:c>
      <x:c r="P1726" t="str">
        <x:v>108-18 QUEENS BLVD, STE 302, FOREST HILLS, NY, 11375</x:v>
      </x:c>
      <x:c r="Q1726" t="str"/>
      <x:c r="R1726" t="str"/>
      <x:c r="S1726" t="str"/>
      <x:c r="T1726" t="str"/>
      <x:c r="U1726" t="str"/>
      <x:c r="V1726" t="str"/>
      <x:c r="W1726" t="str"/>
      <x:c r="X1726" t="str"/>
      <x:c r="Y1726" t="str">
        <x:v>https://data.ny.gov/Economic-Development/Active-Corporations-Beginning-1800/n9v6-gdp6</x:v>
      </x:c>
    </x:row>
    <x:row r="1727">
      <x:c r="A1727" t="str">
        <x:v>DOS-6-088</x:v>
      </x:c>
      <x:c r="B1727" t="n">
        <x:v>6</x:v>
      </x:c>
      <x:c r="C1727" t="str">
        <x:v>108-18 QUEENS BOULEVARD, FOREST HILLS, NY, 11375, US</x:v>
      </x:c>
      <x:c r="D1727" t="str">
        <x:v>HEIGHTS 177 LLC</x:v>
      </x:c>
      <x:c r="E1727" t="str">
        <x:v>HEIGHTS 177 LLC</x:v>
      </x:c>
      <x:c r="F1727" t="str">
        <x:v>Active name match</x:v>
      </x:c>
      <x:c r="G1727" t="n">
        <x:v>1</x:v>
      </x:c>
      <x:c r="H1727" t="n">
        <x:v>1</x:v>
      </x:c>
      <x:c r="I1727" t="str">
        <x:v>3669316</x:v>
      </x:c>
      <x:c r="J1727" t="str">
        <x:v>HEIGHTS 177 LLC</x:v>
      </x:c>
      <x:c r="K1727" s="55" t="n">
        <x:v>39576</x:v>
      </x:c>
      <x:c r="L1727" t="str">
        <x:v>Queens</x:v>
      </x:c>
      <x:c r="M1727" t="str">
        <x:v>New York</x:v>
      </x:c>
      <x:c r="N1727" t="str">
        <x:v>DOMESTIC LIMITED LIABILITY COMPANY</x:v>
      </x:c>
      <x:c r="O1727" t="str">
        <x:v>HEIGHTS 177 LLC</x:v>
      </x:c>
      <x:c r="P1727" t="str">
        <x:v>108-18 QUEENS BLVD, FOREST HILLS, NY, 11375</x:v>
      </x:c>
      <x:c r="Q1727" t="str"/>
      <x:c r="R1727" t="str"/>
      <x:c r="S1727" t="str"/>
      <x:c r="T1727" t="str"/>
      <x:c r="U1727" t="str"/>
      <x:c r="V1727" t="str"/>
      <x:c r="W1727" t="str"/>
      <x:c r="X1727" t="str"/>
      <x:c r="Y1727" t="str">
        <x:v>https://data.ny.gov/Economic-Development/Active-Corporations-Beginning-1800/n9v6-gdp6</x:v>
      </x:c>
    </x:row>
    <x:row r="1728">
      <x:c r="A1728" t="str">
        <x:v>DOS-6-088</x:v>
      </x:c>
      <x:c r="B1728" t="n">
        <x:v>6</x:v>
      </x:c>
      <x:c r="C1728" t="str">
        <x:v>108-18 QUEENS BOULEVARD, FOREST HILLS, NY, 11375, US</x:v>
      </x:c>
      <x:c r="D1728" t="str">
        <x:v>HEIGHTS 612 LLC</x:v>
      </x:c>
      <x:c r="E1728" t="str">
        <x:v>HEIGHTS 612 LLC</x:v>
      </x:c>
      <x:c r="F1728" t="str">
        <x:v>Active name match</x:v>
      </x:c>
      <x:c r="G1728" t="n">
        <x:v>1</x:v>
      </x:c>
      <x:c r="H1728" t="n">
        <x:v>1</x:v>
      </x:c>
      <x:c r="I1728" t="str">
        <x:v>3460288</x:v>
      </x:c>
      <x:c r="J1728" t="str">
        <x:v>HEIGHTS 612 LLC</x:v>
      </x:c>
      <x:c r="K1728" s="55" t="n">
        <x:v>39092</x:v>
      </x:c>
      <x:c r="L1728" t="str">
        <x:v>Queens</x:v>
      </x:c>
      <x:c r="M1728" t="str">
        <x:v>New York</x:v>
      </x:c>
      <x:c r="N1728" t="str">
        <x:v>DOMESTIC LIMITED LIABILITY COMPANY</x:v>
      </x:c>
      <x:c r="O1728" t="str">
        <x:v>HEIGHTS LLC</x:v>
      </x:c>
      <x:c r="P1728" t="str">
        <x:v>108-18 QUEENS BLVD., SUITE 302, FOREST HILLS, NY, 11375</x:v>
      </x:c>
      <x:c r="Q1728" t="str"/>
      <x:c r="R1728" t="str"/>
      <x:c r="S1728" t="str"/>
      <x:c r="T1728" t="str"/>
      <x:c r="U1728" t="str"/>
      <x:c r="V1728" t="str"/>
      <x:c r="W1728" t="str"/>
      <x:c r="X1728" t="str"/>
      <x:c r="Y1728" t="str">
        <x:v>https://data.ny.gov/Economic-Development/Active-Corporations-Beginning-1800/n9v6-gdp6</x:v>
      </x:c>
    </x:row>
    <x:row r="1729">
      <x:c r="A1729" t="str">
        <x:v>DOS-6-088</x:v>
      </x:c>
      <x:c r="B1729" t="n">
        <x:v>6</x:v>
      </x:c>
      <x:c r="C1729" t="str">
        <x:v>108-18 QUEENS BOULEVARD, FOREST HILLS, NY, 11375, US</x:v>
      </x:c>
      <x:c r="D1729" t="str">
        <x:v>HEIGHTS 660 LLC</x:v>
      </x:c>
      <x:c r="E1729" t="str">
        <x:v>HEIGHTS 660 LLC</x:v>
      </x:c>
      <x:c r="F1729" t="str">
        <x:v>Active name match</x:v>
      </x:c>
      <x:c r="G1729" t="n">
        <x:v>1</x:v>
      </x:c>
      <x:c r="H1729" t="n">
        <x:v>1</x:v>
      </x:c>
      <x:c r="I1729" t="str">
        <x:v>3460252</x:v>
      </x:c>
      <x:c r="J1729" t="str">
        <x:v>HEIGHTS 660 LLC</x:v>
      </x:c>
      <x:c r="K1729" s="55" t="n">
        <x:v>39092</x:v>
      </x:c>
      <x:c r="L1729" t="str">
        <x:v>Queens</x:v>
      </x:c>
      <x:c r="M1729" t="str">
        <x:v>New York</x:v>
      </x:c>
      <x:c r="N1729" t="str">
        <x:v>DOMESTIC LIMITED LIABILITY COMPANY</x:v>
      </x:c>
      <x:c r="O1729" t="str">
        <x:v>HEIGHTS 660 LLC</x:v>
      </x:c>
      <x:c r="P1729" t="str">
        <x:v>108-18 QUEENS BLVD. STE 302, FOREST HILLS, NY, 11375</x:v>
      </x:c>
      <x:c r="Q1729" t="str"/>
      <x:c r="R1729" t="str"/>
      <x:c r="S1729" t="str"/>
      <x:c r="T1729" t="str"/>
      <x:c r="U1729" t="str"/>
      <x:c r="V1729" t="str"/>
      <x:c r="W1729" t="str"/>
      <x:c r="X1729" t="str"/>
      <x:c r="Y1729" t="str">
        <x:v>https://data.ny.gov/Economic-Development/Active-Corporations-Beginning-1800/n9v6-gdp6</x:v>
      </x:c>
    </x:row>
    <x:row r="1730">
      <x:c r="A1730" t="str">
        <x:v>DOS-6-089</x:v>
      </x:c>
      <x:c r="B1730" t="n">
        <x:v>6</x:v>
      </x:c>
      <x:c r="C1730" t="str">
        <x:v>1104 EAST 21ST STREET, BROOKLYN, NY, 11210, US</x:v>
      </x:c>
      <x:c r="D1730" t="str">
        <x:v>188 ITANU LLC</x:v>
      </x:c>
      <x:c r="E1730" t="str">
        <x:v>188 ITANU LLC</x:v>
      </x:c>
      <x:c r="F1730" t="str">
        <x:v>Address-corroborated active match</x:v>
      </x:c>
      <x:c r="G1730" t="n">
        <x:v>1</x:v>
      </x:c>
      <x:c r="H1730" t="n">
        <x:v>2</x:v>
      </x:c>
      <x:c r="I1730" t="str">
        <x:v>6228531</x:v>
      </x:c>
      <x:c r="J1730" t="str">
        <x:v>188 ITANU LLC</x:v>
      </x:c>
      <x:c r="K1730" s="55" t="n">
        <x:v>44403</x:v>
      </x:c>
      <x:c r="L1730" t="str">
        <x:v>Queens</x:v>
      </x:c>
      <x:c r="M1730" t="str">
        <x:v>New York</x:v>
      </x:c>
      <x:c r="N1730" t="str">
        <x:v>DOMESTIC LIMITED LIABILITY COMPANY</x:v>
      </x:c>
      <x:c r="O1730" t="str">
        <x:v>ASJER BABAZADEH</x:v>
      </x:c>
      <x:c r="P1730" t="str">
        <x:v>1104 East 21st Street, Brooklyn, NY, 11210</x:v>
      </x:c>
      <x:c r="Q1730" t="str"/>
      <x:c r="R1730" t="str"/>
      <x:c r="S1730" t="str"/>
      <x:c r="T1730" t="str"/>
      <x:c r="U1730" t="str"/>
      <x:c r="V1730" t="str"/>
      <x:c r="W1730" t="str"/>
      <x:c r="X1730" t="str"/>
      <x:c r="Y1730" t="str">
        <x:v>https://data.ny.gov/Economic-Development/Active-Corporations-Beginning-1800/n9v6-gdp6</x:v>
      </x:c>
    </x:row>
    <x:row r="1731">
      <x:c r="A1731" t="str">
        <x:v>DOS-6-089</x:v>
      </x:c>
      <x:c r="B1731" t="n">
        <x:v>6</x:v>
      </x:c>
      <x:c r="C1731" t="str">
        <x:v>1104 EAST 21ST STREET, BROOKLYN, NY, 11210, US</x:v>
      </x:c>
      <x:c r="D1731" t="str">
        <x:v>283 EAST 39 PROJECT LLC</x:v>
      </x:c>
      <x:c r="E1731" t="str">
        <x:v>283 EAST 39 PROJECT LLC</x:v>
      </x:c>
      <x:c r="F1731" t="str">
        <x:v>Address-corroborated active match</x:v>
      </x:c>
      <x:c r="G1731" t="n">
        <x:v>1</x:v>
      </x:c>
      <x:c r="H1731" t="n">
        <x:v>2</x:v>
      </x:c>
      <x:c r="I1731" t="str">
        <x:v>5959347</x:v>
      </x:c>
      <x:c r="J1731" t="str">
        <x:v>283 EAST 39 PROJECT LLC</x:v>
      </x:c>
      <x:c r="K1731" s="55" t="n">
        <x:v>44264</x:v>
      </x:c>
      <x:c r="L1731" t="str">
        <x:v>Kings</x:v>
      </x:c>
      <x:c r="M1731" t="str">
        <x:v>New York</x:v>
      </x:c>
      <x:c r="N1731" t="str">
        <x:v>DOMESTIC LIMITED LIABILITY COMPANY</x:v>
      </x:c>
      <x:c r="O1731" t="str">
        <x:v>283 EAST 39 PROJECT LLC</x:v>
      </x:c>
      <x:c r="P1731" t="str">
        <x:v>1104 EAST 21ST STREET, BROOKLYN, NY, 11210</x:v>
      </x:c>
      <x:c r="Q1731" t="str"/>
      <x:c r="R1731" t="str"/>
      <x:c r="S1731" t="str"/>
      <x:c r="T1731" t="str"/>
      <x:c r="U1731" t="str"/>
      <x:c r="V1731" t="str"/>
      <x:c r="W1731" t="str"/>
      <x:c r="X1731" t="str"/>
      <x:c r="Y1731" t="str">
        <x:v>https://data.ny.gov/Economic-Development/Active-Corporations-Beginning-1800/n9v6-gdp6</x:v>
      </x:c>
    </x:row>
    <x:row r="1732">
      <x:c r="A1732" t="str">
        <x:v>DOS-6-089</x:v>
      </x:c>
      <x:c r="B1732" t="n">
        <x:v>6</x:v>
      </x:c>
      <x:c r="C1732" t="str">
        <x:v>1104 EAST 21ST STREET, BROOKLYN, NY, 11210, US</x:v>
      </x:c>
      <x:c r="D1732" t="str">
        <x:v>319 ITANU LLC</x:v>
      </x:c>
      <x:c r="E1732" t="str">
        <x:v>319 ITANU LLC</x:v>
      </x:c>
      <x:c r="F1732" t="str">
        <x:v>Address-corroborated active match</x:v>
      </x:c>
      <x:c r="G1732" t="n">
        <x:v>1</x:v>
      </x:c>
      <x:c r="H1732" t="n">
        <x:v>2</x:v>
      </x:c>
      <x:c r="I1732" t="str">
        <x:v>7746189</x:v>
      </x:c>
      <x:c r="J1732" t="str">
        <x:v>319 ITANU LLC</x:v>
      </x:c>
      <x:c r="K1732" s="55" t="n">
        <x:v>45959</x:v>
      </x:c>
      <x:c r="L1732" t="str">
        <x:v>Kings</x:v>
      </x:c>
      <x:c r="M1732" t="str">
        <x:v>New York</x:v>
      </x:c>
      <x:c r="N1732" t="str">
        <x:v>DOMESTIC LIMITED LIABILITY COMPANY</x:v>
      </x:c>
      <x:c r="O1732" t="str">
        <x:v>319 Itanu LLC</x:v>
      </x:c>
      <x:c r="P1732" t="str">
        <x:v>1104 East 21st Street, Brooklyn, NY, 11210</x:v>
      </x:c>
      <x:c r="Q1732" t="str"/>
      <x:c r="R1732" t="str"/>
      <x:c r="S1732" t="str"/>
      <x:c r="T1732" t="str"/>
      <x:c r="U1732" t="str"/>
      <x:c r="V1732" t="str"/>
      <x:c r="W1732" t="str"/>
      <x:c r="X1732" t="str"/>
      <x:c r="Y1732" t="str">
        <x:v>https://data.ny.gov/Economic-Development/Active-Corporations-Beginning-1800/n9v6-gdp6</x:v>
      </x:c>
    </x:row>
    <x:row r="1733">
      <x:c r="A1733" t="str">
        <x:v>DOS-6-089</x:v>
      </x:c>
      <x:c r="B1733" t="n">
        <x:v>6</x:v>
      </x:c>
      <x:c r="C1733" t="str">
        <x:v>1104 EAST 21ST STREET, BROOKLYN, NY, 11210, US</x:v>
      </x:c>
      <x:c r="D1733" t="str">
        <x:v>88TH ITANU LLC</x:v>
      </x:c>
      <x:c r="E1733" t="str">
        <x:v>88TH ITANU LLC</x:v>
      </x:c>
      <x:c r="F1733" t="str">
        <x:v>Active name match</x:v>
      </x:c>
      <x:c r="G1733" t="n">
        <x:v>1</x:v>
      </x:c>
      <x:c r="H1733" t="n">
        <x:v>1</x:v>
      </x:c>
      <x:c r="I1733" t="str">
        <x:v>6264744</x:v>
      </x:c>
      <x:c r="J1733" t="str">
        <x:v>88TH ITANU LLC</x:v>
      </x:c>
      <x:c r="K1733" s="55" t="n">
        <x:v>44431</x:v>
      </x:c>
      <x:c r="L1733" t="str">
        <x:v>Kings</x:v>
      </x:c>
      <x:c r="M1733" t="str">
        <x:v>New York</x:v>
      </x:c>
      <x:c r="N1733" t="str">
        <x:v>DOMESTIC LIMITED LIABILITY COMPANY</x:v>
      </x:c>
      <x:c r="O1733" t="str">
        <x:v>ASHER BABAZADEH</x:v>
      </x:c>
      <x:c r="P1733" t="str">
        <x:v>1104 E. 21 Street, Brooklyn, NY, 11210</x:v>
      </x:c>
      <x:c r="Q1733" t="str"/>
      <x:c r="R1733" t="str"/>
      <x:c r="S1733" t="str"/>
      <x:c r="T1733" t="str"/>
      <x:c r="U1733" t="str"/>
      <x:c r="V1733" t="str"/>
      <x:c r="W1733" t="str"/>
      <x:c r="X1733" t="str"/>
      <x:c r="Y1733" t="str">
        <x:v>https://data.ny.gov/Economic-Development/Active-Corporations-Beginning-1800/n9v6-gdp6</x:v>
      </x:c>
    </x:row>
    <x:row r="1734">
      <x:c r="A1734" t="str">
        <x:v>DOS-6-089</x:v>
      </x:c>
      <x:c r="B1734" t="n">
        <x:v>6</x:v>
      </x:c>
      <x:c r="C1734" t="str">
        <x:v>1104 EAST 21ST STREET, BROOKLYN, NY, 11210, US</x:v>
      </x:c>
      <x:c r="D1734" t="str">
        <x:v>DOUGLASS BAPAZ LLC</x:v>
      </x:c>
      <x:c r="E1734" t="str">
        <x:v>DOUGLASS BAPAZ, LLC</x:v>
      </x:c>
      <x:c r="F1734" t="str">
        <x:v>Active name match</x:v>
      </x:c>
      <x:c r="G1734" t="n">
        <x:v>1</x:v>
      </x:c>
      <x:c r="H1734" t="n">
        <x:v>0</x:v>
      </x:c>
      <x:c r="I1734" t="str">
        <x:v>6374136</x:v>
      </x:c>
      <x:c r="J1734" t="str">
        <x:v>DOUGLASS BAPAZ, LLC</x:v>
      </x:c>
      <x:c r="K1734" s="55" t="n">
        <x:v>44574</x:v>
      </x:c>
      <x:c r="L1734" t="str">
        <x:v>Nassau</x:v>
      </x:c>
      <x:c r="M1734" t="str">
        <x:v>New York</x:v>
      </x:c>
      <x:c r="N1734" t="str">
        <x:v>DOMESTIC LIMITED LIABILITY COMPANY</x:v>
      </x:c>
      <x:c r="O1734" t="str">
        <x:v>MOSS &amp; KALISH, PLLC</x:v>
      </x:c>
      <x:c r="P1734" t="str">
        <x:v>122 E. 42ND ST., STE. 2100, NEW YORK, NY, 10168</x:v>
      </x:c>
      <x:c r="Q1734" t="str"/>
      <x:c r="R1734" t="str"/>
      <x:c r="S1734" t="str"/>
      <x:c r="T1734" t="str"/>
      <x:c r="U1734" t="str"/>
      <x:c r="V1734" t="str"/>
      <x:c r="W1734" t="str"/>
      <x:c r="X1734" t="str"/>
      <x:c r="Y1734" t="str">
        <x:v>https://data.ny.gov/Economic-Development/Active-Corporations-Beginning-1800/n9v6-gdp6</x:v>
      </x:c>
    </x:row>
    <x:row r="1735">
      <x:c r="A1735" t="str">
        <x:v>DOS-6-089</x:v>
      </x:c>
      <x:c r="B1735" t="n">
        <x:v>6</x:v>
      </x:c>
      <x:c r="C1735" t="str">
        <x:v>1104 EAST 21ST STREET, BROOKLYN, NY, 11210, US</x:v>
      </x:c>
      <x:c r="D1735" t="str">
        <x:v>PROSPECT BSD LLC</x:v>
      </x:c>
      <x:c r="E1735" t="str">
        <x:v>PROSPECT BSD LLC</x:v>
      </x:c>
      <x:c r="F1735" t="str">
        <x:v>Address-corroborated active match</x:v>
      </x:c>
      <x:c r="G1735" t="n">
        <x:v>1</x:v>
      </x:c>
      <x:c r="H1735" t="n">
        <x:v>2</x:v>
      </x:c>
      <x:c r="I1735" t="str">
        <x:v>7613526</x:v>
      </x:c>
      <x:c r="J1735" t="str">
        <x:v>PROSPECT BSD LLC</x:v>
      </x:c>
      <x:c r="K1735" s="55" t="n">
        <x:v>45793</x:v>
      </x:c>
      <x:c r="L1735" t="str">
        <x:v>Kings</x:v>
      </x:c>
      <x:c r="M1735" t="str">
        <x:v>New York</x:v>
      </x:c>
      <x:c r="N1735" t="str">
        <x:v>DOMESTIC LIMITED LIABILITY COMPANY</x:v>
      </x:c>
      <x:c r="O1735" t="str">
        <x:v>Asher Babazadeh</x:v>
      </x:c>
      <x:c r="P1735" t="str">
        <x:v>1104 East 21st Street, Brooklyn, NY, 11210</x:v>
      </x:c>
      <x:c r="Q1735" t="str"/>
      <x:c r="R1735" t="str"/>
      <x:c r="S1735" t="str"/>
      <x:c r="T1735" t="str"/>
      <x:c r="U1735" t="str"/>
      <x:c r="V1735" t="str"/>
      <x:c r="W1735" t="str"/>
      <x:c r="X1735" t="str"/>
      <x:c r="Y1735" t="str">
        <x:v>https://data.ny.gov/Economic-Development/Active-Corporations-Beginning-1800/n9v6-gdp6</x:v>
      </x:c>
    </x:row>
    <x:row r="1736">
      <x:c r="A1736" t="str">
        <x:v>DOS-6-090</x:v>
      </x:c>
      <x:c r="B1736" t="n">
        <x:v>6</x:v>
      </x:c>
      <x:c r="C1736" t="str">
        <x:v>111 EAST JERICHO TURNPIKE 2ND FLOOR, MINEOLA, NY, 11501, US | 111 EAST JERICHO TURNPIKE, 2ND FLOOR, MINEOLA, NY, 11501, US</x:v>
      </x:c>
      <x:c r="D1736" t="str">
        <x:v>107 20 GUY R BREWER LLC</x:v>
      </x:c>
      <x:c r="E1736" t="str">
        <x:v>107-20 GUY R. BREWER LLC</x:v>
      </x:c>
      <x:c r="F1736" t="str">
        <x:v>Active name match</x:v>
      </x:c>
      <x:c r="G1736" t="n">
        <x:v>1</x:v>
      </x:c>
      <x:c r="H1736" t="n">
        <x:v>1</x:v>
      </x:c>
      <x:c r="I1736" t="str">
        <x:v>7204527</x:v>
      </x:c>
      <x:c r="J1736" t="str">
        <x:v>107-20 GUY R. BREWER LLC</x:v>
      </x:c>
      <x:c r="K1736" s="55" t="n">
        <x:v>45273</x:v>
      </x:c>
      <x:c r="L1736" t="str">
        <x:v>Nassau</x:v>
      </x:c>
      <x:c r="M1736" t="str">
        <x:v>New York</x:v>
      </x:c>
      <x:c r="N1736" t="str">
        <x:v>DOMESTIC LIMITED LIABILITY COMPANY</x:v>
      </x:c>
      <x:c r="O1736" t="str">
        <x:v>107-20 GUY R. BREWER LLC</x:v>
      </x:c>
      <x:c r="P1736" t="str">
        <x:v>111 E Jericho Turnpike, Mineola, NY, 11501</x:v>
      </x:c>
      <x:c r="Q1736" t="str"/>
      <x:c r="R1736" t="str"/>
      <x:c r="S1736" t="str"/>
      <x:c r="T1736" t="str"/>
      <x:c r="U1736" t="str"/>
      <x:c r="V1736" t="str"/>
      <x:c r="W1736" t="str"/>
      <x:c r="X1736" t="str"/>
      <x:c r="Y1736" t="str">
        <x:v>https://data.ny.gov/Economic-Development/Active-Corporations-Beginning-1800/n9v6-gdp6</x:v>
      </x:c>
    </x:row>
    <x:row r="1737">
      <x:c r="A1737" t="str">
        <x:v>DOS-6-090</x:v>
      </x:c>
      <x:c r="B1737" t="n">
        <x:v>6</x:v>
      </x:c>
      <x:c r="C1737" t="str">
        <x:v>111 EAST JERICHO TURNPIKE 2ND FLOOR, MINEOLA, NY, 11501, US | 111 EAST JERICHO TURNPIKE, 2ND FLOOR, MINEOLA, NY, 11501, US</x:v>
      </x:c>
      <x:c r="D1737" t="str">
        <x:v>111 14 FB LLC</x:v>
      </x:c>
      <x:c r="E1737" t="str">
        <x:v>111-14 FB LLC</x:v>
      </x:c>
      <x:c r="F1737" t="str">
        <x:v>Active name match</x:v>
      </x:c>
      <x:c r="G1737" t="n">
        <x:v>1</x:v>
      </x:c>
      <x:c r="H1737" t="n">
        <x:v>1</x:v>
      </x:c>
      <x:c r="I1737" t="str">
        <x:v>4867609</x:v>
      </x:c>
      <x:c r="J1737" t="str">
        <x:v>111-14 FB LLC</x:v>
      </x:c>
      <x:c r="K1737" s="55" t="n">
        <x:v>42359</x:v>
      </x:c>
      <x:c r="L1737" t="str">
        <x:v>Queens</x:v>
      </x:c>
      <x:c r="M1737" t="str">
        <x:v>New York</x:v>
      </x:c>
      <x:c r="N1737" t="str">
        <x:v>DOMESTIC LIMITED LIABILITY COMPANY</x:v>
      </x:c>
      <x:c r="O1737" t="str">
        <x:v>111-14 FB LLC</x:v>
      </x:c>
      <x:c r="P1737" t="str">
        <x:v>111 EAST JERICHO TPKE, 2ND FL., MINEOLA, NY, 11501</x:v>
      </x:c>
      <x:c r="Q1737" t="str"/>
      <x:c r="R1737" t="str"/>
      <x:c r="S1737" t="str"/>
      <x:c r="T1737" t="str"/>
      <x:c r="U1737" t="str"/>
      <x:c r="V1737" t="str"/>
      <x:c r="W1737" t="str"/>
      <x:c r="X1737" t="str"/>
      <x:c r="Y1737" t="str">
        <x:v>https://data.ny.gov/Economic-Development/Active-Corporations-Beginning-1800/n9v6-gdp6</x:v>
      </x:c>
    </x:row>
    <x:row r="1738">
      <x:c r="A1738" t="str">
        <x:v>DOS-6-090</x:v>
      </x:c>
      <x:c r="B1738" t="n">
        <x:v>6</x:v>
      </x:c>
      <x:c r="C1738" t="str">
        <x:v>111 EAST JERICHO TURNPIKE 2ND FLOOR, MINEOLA, NY, 11501, US | 111 EAST JERICHO TURNPIKE, 2ND FLOOR, MINEOLA, NY, 11501, US</x:v>
      </x:c>
      <x:c r="D1738" t="str">
        <x:v>138 63 FRANCIS LEWIS BLVD LLC</x:v>
      </x:c>
      <x:c r="E1738" t="str">
        <x:v>138-63 FRANCIS LEWIS BLVD LLC</x:v>
      </x:c>
      <x:c r="F1738" t="str">
        <x:v>Address-corroborated active match</x:v>
      </x:c>
      <x:c r="G1738" t="n">
        <x:v>1</x:v>
      </x:c>
      <x:c r="H1738" t="n">
        <x:v>2</x:v>
      </x:c>
      <x:c r="I1738" t="str">
        <x:v>5137016</x:v>
      </x:c>
      <x:c r="J1738" t="str">
        <x:v>138-63 FRANCIS LEWIS BLVD LLC</x:v>
      </x:c>
      <x:c r="K1738" s="55" t="n">
        <x:v>42870</x:v>
      </x:c>
      <x:c r="L1738" t="str">
        <x:v>Nassau</x:v>
      </x:c>
      <x:c r="M1738" t="str">
        <x:v>New York</x:v>
      </x:c>
      <x:c r="N1738" t="str">
        <x:v>DOMESTIC LIMITED LIABILITY COMPANY</x:v>
      </x:c>
      <x:c r="O1738" t="str">
        <x:v>138-63 FRANCIS LEWIS BLVD LLC</x:v>
      </x:c>
      <x:c r="P1738" t="str">
        <x:v>111 EAST JERICHO TURNPIKE, FLOOR 2, MINEOLA, NY, 11501</x:v>
      </x:c>
      <x:c r="Q1738" t="str"/>
      <x:c r="R1738" t="str"/>
      <x:c r="S1738" t="str"/>
      <x:c r="T1738" t="str"/>
      <x:c r="U1738" t="str"/>
      <x:c r="V1738" t="str"/>
      <x:c r="W1738" t="str"/>
      <x:c r="X1738" t="str"/>
      <x:c r="Y1738" t="str">
        <x:v>https://data.ny.gov/Economic-Development/Active-Corporations-Beginning-1800/n9v6-gdp6</x:v>
      </x:c>
    </x:row>
    <x:row r="1739">
      <x:c r="A1739" t="str">
        <x:v>DOS-6-090</x:v>
      </x:c>
      <x:c r="B1739" t="n">
        <x:v>6</x:v>
      </x:c>
      <x:c r="C1739" t="str">
        <x:v>111 EAST JERICHO TURNPIKE 2ND FLOOR, MINEOLA, NY, 11501, US | 111 EAST JERICHO TURNPIKE, 2ND FLOOR, MINEOLA, NY, 11501, US</x:v>
      </x:c>
      <x:c r="D1739" t="str">
        <x:v>195 53 JAMAICA AVENUE LLC</x:v>
      </x:c>
      <x:c r="E1739" t="str">
        <x:v>195-53 JAMAICA AVENUE LLC</x:v>
      </x:c>
      <x:c r="F1739" t="str">
        <x:v>Active name match</x:v>
      </x:c>
      <x:c r="G1739" t="n">
        <x:v>1</x:v>
      </x:c>
      <x:c r="H1739" t="n">
        <x:v>1</x:v>
      </x:c>
      <x:c r="I1739" t="str">
        <x:v>5242837</x:v>
      </x:c>
      <x:c r="J1739" t="str">
        <x:v>195-53 JAMAICA AVENUE LLC</x:v>
      </x:c>
      <x:c r="K1739" s="55" t="n">
        <x:v>43069</x:v>
      </x:c>
      <x:c r="L1739" t="str">
        <x:v>Nassau</x:v>
      </x:c>
      <x:c r="M1739" t="str">
        <x:v>New York</x:v>
      </x:c>
      <x:c r="N1739" t="str">
        <x:v>DOMESTIC LIMITED LIABILITY COMPANY</x:v>
      </x:c>
      <x:c r="O1739" t="str">
        <x:v>195-53 JAMAICA AVENUE LLC</x:v>
      </x:c>
      <x:c r="P1739" t="str">
        <x:v>111 E JERICHO TURNPIKE 2ND FL, Floor 2, MINEOLA, NY, 11501</x:v>
      </x:c>
      <x:c r="Q1739" t="str"/>
      <x:c r="R1739" t="str"/>
      <x:c r="S1739" t="str"/>
      <x:c r="T1739" t="str"/>
      <x:c r="U1739" t="str"/>
      <x:c r="V1739" t="str"/>
      <x:c r="W1739" t="str"/>
      <x:c r="X1739" t="str"/>
      <x:c r="Y1739" t="str">
        <x:v>https://data.ny.gov/Economic-Development/Active-Corporations-Beginning-1800/n9v6-gdp6</x:v>
      </x:c>
    </x:row>
    <x:row r="1740">
      <x:c r="A1740" t="str">
        <x:v>DOS-6-090</x:v>
      </x:c>
      <x:c r="B1740" t="n">
        <x:v>6</x:v>
      </x:c>
      <x:c r="C1740" t="str">
        <x:v>111 EAST JERICHO TURNPIKE 2ND FLOOR, MINEOLA, NY, 11501, US | 111 EAST JERICHO TURNPIKE, 2ND FLOOR, MINEOLA, NY, 11501, US</x:v>
      </x:c>
      <x:c r="D1740" t="str">
        <x:v>4509 WHITE PLAIN LLC</x:v>
      </x:c>
      <x:c r="E1740" t="str">
        <x:v>4509 WHITE PLAIN LLC</x:v>
      </x:c>
      <x:c r="F1740" t="str">
        <x:v>Active name match</x:v>
      </x:c>
      <x:c r="G1740" t="n">
        <x:v>1</x:v>
      </x:c>
      <x:c r="H1740" t="n">
        <x:v>1</x:v>
      </x:c>
      <x:c r="I1740" t="str">
        <x:v>5684656</x:v>
      </x:c>
      <x:c r="J1740" t="str">
        <x:v>4509 WHITE PLAIN LLC</x:v>
      </x:c>
      <x:c r="K1740" s="55" t="n">
        <x:v>43838</x:v>
      </x:c>
      <x:c r="L1740" t="str">
        <x:v>Bronx</x:v>
      </x:c>
      <x:c r="M1740" t="str">
        <x:v>New York</x:v>
      </x:c>
      <x:c r="N1740" t="str">
        <x:v>DOMESTIC LIMITED LIABILITY COMPANY</x:v>
      </x:c>
      <x:c r="O1740" t="str">
        <x:v>4509 WHITE PLAIN LLC</x:v>
      </x:c>
      <x:c r="P1740" t="str">
        <x:v>111 E JERICHO TURNPIKE, 2ND FL, MINEOLA, NY, 11501</x:v>
      </x:c>
      <x:c r="Q1740" t="str"/>
      <x:c r="R1740" t="str"/>
      <x:c r="S1740" t="str"/>
      <x:c r="T1740" t="str"/>
      <x:c r="U1740" t="str"/>
      <x:c r="V1740" t="str"/>
      <x:c r="W1740" t="str"/>
      <x:c r="X1740" t="str"/>
      <x:c r="Y1740" t="str">
        <x:v>https://data.ny.gov/Economic-Development/Active-Corporations-Beginning-1800/n9v6-gdp6</x:v>
      </x:c>
    </x:row>
    <x:row r="1741">
      <x:c r="A1741" t="str">
        <x:v>DOS-6-090</x:v>
      </x:c>
      <x:c r="B1741" t="n">
        <x:v>6</x:v>
      </x:c>
      <x:c r="C1741" t="str">
        <x:v>111 EAST JERICHO TURNPIKE 2ND FLOOR, MINEOLA, NY, 11501, US | 111 EAST JERICHO TURNPIKE, 2ND FLOOR, MINEOLA, NY, 11501, US</x:v>
      </x:c>
      <x:c r="D1741" t="str">
        <x:v>51 BELMONT HOLDING LLC</x:v>
      </x:c>
      <x:c r="E1741" t="str">
        <x:v>51 BELMONT HOLDING, LLC</x:v>
      </x:c>
      <x:c r="F1741" t="str">
        <x:v>Active name match</x:v>
      </x:c>
      <x:c r="G1741" t="n">
        <x:v>1</x:v>
      </x:c>
      <x:c r="H1741" t="n">
        <x:v>1</x:v>
      </x:c>
      <x:c r="I1741" t="str">
        <x:v>4874308</x:v>
      </x:c>
      <x:c r="J1741" t="str">
        <x:v>51 BELMONT HOLDING, LLC</x:v>
      </x:c>
      <x:c r="K1741" s="55" t="n">
        <x:v>42376</x:v>
      </x:c>
      <x:c r="L1741" t="str">
        <x:v>Queens</x:v>
      </x:c>
      <x:c r="M1741" t="str">
        <x:v>New York</x:v>
      </x:c>
      <x:c r="N1741" t="str">
        <x:v>DOMESTIC LIMITED LIABILITY COMPANY</x:v>
      </x:c>
      <x:c r="O1741" t="str">
        <x:v>ESHAGH MALEKAN</x:v>
      </x:c>
      <x:c r="P1741" t="str">
        <x:v>111 EAST JERICHO TPKE, MINEOLA, NY, 11501</x:v>
      </x:c>
      <x:c r="Q1741" t="str"/>
      <x:c r="R1741" t="str"/>
      <x:c r="S1741" t="str"/>
      <x:c r="T1741" t="str"/>
      <x:c r="U1741" t="str"/>
      <x:c r="V1741" t="str"/>
      <x:c r="W1741" t="str"/>
      <x:c r="X1741" t="str"/>
      <x:c r="Y1741" t="str">
        <x:v>https://data.ny.gov/Economic-Development/Active-Corporations-Beginning-1800/n9v6-gdp6</x:v>
      </x:c>
    </x:row>
    <x:row r="1742">
      <x:c r="A1742" t="str">
        <x:v>DOS-6-091</x:v>
      </x:c>
      <x:c r="B1742" t="n">
        <x:v>6</x:v>
      </x:c>
      <x:c r="C1742" t="str">
        <x:v>1144 ATLANTIC AVENUE, BALDWIN, NY, 11510, US</x:v>
      </x:c>
      <x:c r="D1742" t="str">
        <x:v>101 17 ASTORIA BOULEVARD LLC</x:v>
      </x:c>
      <x:c r="E1742" t="str">
        <x:v>101-17 ASTORIA BOULEVARD, LLC</x:v>
      </x:c>
      <x:c r="F1742" t="str">
        <x:v>Address-corroborated active match</x:v>
      </x:c>
      <x:c r="G1742" t="n">
        <x:v>1</x:v>
      </x:c>
      <x:c r="H1742" t="n">
        <x:v>2</x:v>
      </x:c>
      <x:c r="I1742" t="str">
        <x:v>4866254</x:v>
      </x:c>
      <x:c r="J1742" t="str">
        <x:v>101-17 ASTORIA BOULEVARD LLC</x:v>
      </x:c>
      <x:c r="K1742" s="55" t="n">
        <x:v>42356</x:v>
      </x:c>
      <x:c r="L1742" t="str">
        <x:v>Queens</x:v>
      </x:c>
      <x:c r="M1742" t="str">
        <x:v>New York</x:v>
      </x:c>
      <x:c r="N1742" t="str">
        <x:v>DOMESTIC LIMITED LIABILITY COMPANY</x:v>
      </x:c>
      <x:c r="O1742" t="str">
        <x:v>JONATHAN HALPERIN</x:v>
      </x:c>
      <x:c r="P1742" t="str">
        <x:v>1144 ATLANTIC AVE., BALDWIN, NY, 11510</x:v>
      </x:c>
      <x:c r="Q1742" t="str"/>
      <x:c r="R1742" t="str"/>
      <x:c r="S1742" t="str"/>
      <x:c r="T1742" t="str"/>
      <x:c r="U1742" t="str"/>
      <x:c r="V1742" t="str"/>
      <x:c r="W1742" t="str"/>
      <x:c r="X1742" t="str"/>
      <x:c r="Y1742" t="str">
        <x:v>https://data.ny.gov/Economic-Development/Active-Corporations-Beginning-1800/n9v6-gdp6</x:v>
      </x:c>
    </x:row>
    <x:row r="1743">
      <x:c r="A1743" t="str">
        <x:v>DOS-6-091</x:v>
      </x:c>
      <x:c r="B1743" t="n">
        <x:v>6</x:v>
      </x:c>
      <x:c r="C1743" t="str">
        <x:v>1144 ATLANTIC AVENUE, BALDWIN, NY, 11510, US</x:v>
      </x:c>
      <x:c r="D1743" t="str">
        <x:v>1121 PENNSYLVANIA AVENUE LLC</x:v>
      </x:c>
      <x:c r="E1743" t="str">
        <x:v>1121 PENNSYLVANIA AVENUE, LLC</x:v>
      </x:c>
      <x:c r="F1743" t="str">
        <x:v>Address-corroborated active match</x:v>
      </x:c>
      <x:c r="G1743" t="n">
        <x:v>1</x:v>
      </x:c>
      <x:c r="H1743" t="n">
        <x:v>2</x:v>
      </x:c>
      <x:c r="I1743" t="str">
        <x:v>4782506</x:v>
      </x:c>
      <x:c r="J1743" t="str">
        <x:v>1121 PENNSYLVANIA AVENUE, LLC</x:v>
      </x:c>
      <x:c r="K1743" s="55" t="n">
        <x:v>42186</x:v>
      </x:c>
      <x:c r="L1743" t="str">
        <x:v>Kings</x:v>
      </x:c>
      <x:c r="M1743" t="str">
        <x:v>New York</x:v>
      </x:c>
      <x:c r="N1743" t="str">
        <x:v>DOMESTIC LIMITED LIABILITY COMPANY</x:v>
      </x:c>
      <x:c r="O1743" t="str">
        <x:v>1121 PENNSYLVANIA AVENUE, LLC</x:v>
      </x:c>
      <x:c r="P1743" t="str">
        <x:v>1144 ATLANTIC AVE., BALDWIN, NY, 11510</x:v>
      </x:c>
      <x:c r="Q1743" t="str"/>
      <x:c r="R1743" t="str"/>
      <x:c r="S1743" t="str"/>
      <x:c r="T1743" t="str"/>
      <x:c r="U1743" t="str"/>
      <x:c r="V1743" t="str"/>
      <x:c r="W1743" t="str"/>
      <x:c r="X1743" t="str"/>
      <x:c r="Y1743" t="str">
        <x:v>https://data.ny.gov/Economic-Development/Active-Corporations-Beginning-1800/n9v6-gdp6</x:v>
      </x:c>
    </x:row>
    <x:row r="1744">
      <x:c r="A1744" t="str">
        <x:v>DOS-6-091</x:v>
      </x:c>
      <x:c r="B1744" t="n">
        <x:v>6</x:v>
      </x:c>
      <x:c r="C1744" t="str">
        <x:v>1144 ATLANTIC AVENUE, BALDWIN, NY, 11510, US</x:v>
      </x:c>
      <x:c r="D1744" t="str">
        <x:v>130 14 HILLSIDE AVENUE LLC</x:v>
      </x:c>
      <x:c r="E1744" t="str">
        <x:v>130-14 HILLSIDE AVENUE, LLC</x:v>
      </x:c>
      <x:c r="F1744" t="str">
        <x:v>Address-corroborated active match</x:v>
      </x:c>
      <x:c r="G1744" t="n">
        <x:v>1</x:v>
      </x:c>
      <x:c r="H1744" t="n">
        <x:v>2</x:v>
      </x:c>
      <x:c r="I1744" t="str">
        <x:v>4924902</x:v>
      </x:c>
      <x:c r="J1744" t="str">
        <x:v>130-14 HILLSIDE AVENUE, LLC</x:v>
      </x:c>
      <x:c r="K1744" s="55" t="n">
        <x:v>42465</x:v>
      </x:c>
      <x:c r="L1744" t="str">
        <x:v>Nassau</x:v>
      </x:c>
      <x:c r="M1744" t="str">
        <x:v>New York</x:v>
      </x:c>
      <x:c r="N1744" t="str">
        <x:v>DOMESTIC LIMITED LIABILITY COMPANY</x:v>
      </x:c>
      <x:c r="O1744" t="str">
        <x:v>JONATHAN HALPERIN</x:v>
      </x:c>
      <x:c r="P1744" t="str">
        <x:v>1144 ATLANTIC AVE., BALDWIN, NY, 11510</x:v>
      </x:c>
      <x:c r="Q1744" t="str"/>
      <x:c r="R1744" t="str"/>
      <x:c r="S1744" t="str"/>
      <x:c r="T1744" t="str"/>
      <x:c r="U1744" t="str"/>
      <x:c r="V1744" t="str"/>
      <x:c r="W1744" t="str"/>
      <x:c r="X1744" t="str"/>
      <x:c r="Y1744" t="str">
        <x:v>https://data.ny.gov/Economic-Development/Active-Corporations-Beginning-1800/n9v6-gdp6</x:v>
      </x:c>
    </x:row>
    <x:row r="1745">
      <x:c r="A1745" t="str">
        <x:v>DOS-6-091</x:v>
      </x:c>
      <x:c r="B1745" t="n">
        <x:v>6</x:v>
      </x:c>
      <x:c r="C1745" t="str">
        <x:v>1144 ATLANTIC AVENUE, BALDWIN, NY, 11510, US</x:v>
      </x:c>
      <x:c r="D1745" t="str">
        <x:v>144 34 FARMERS BOULEVARD LLC</x:v>
      </x:c>
      <x:c r="E1745" t="str">
        <x:v>144-34 FARMERS BOULEVARD, LLC</x:v>
      </x:c>
      <x:c r="F1745" t="str">
        <x:v>Address-corroborated active match</x:v>
      </x:c>
      <x:c r="G1745" t="n">
        <x:v>1</x:v>
      </x:c>
      <x:c r="H1745" t="n">
        <x:v>2</x:v>
      </x:c>
      <x:c r="I1745" t="str">
        <x:v>4924889</x:v>
      </x:c>
      <x:c r="J1745" t="str">
        <x:v>144-34 FARMERS BOULEVARD, LLC</x:v>
      </x:c>
      <x:c r="K1745" s="55" t="n">
        <x:v>42465</x:v>
      </x:c>
      <x:c r="L1745" t="str">
        <x:v>Nassau</x:v>
      </x:c>
      <x:c r="M1745" t="str">
        <x:v>New York</x:v>
      </x:c>
      <x:c r="N1745" t="str">
        <x:v>DOMESTIC LIMITED LIABILITY COMPANY</x:v>
      </x:c>
      <x:c r="O1745" t="str">
        <x:v>JONATHAN HALPERIN</x:v>
      </x:c>
      <x:c r="P1745" t="str">
        <x:v>1144 ATLANTIC AVE., BALDWIN, NY, 11510</x:v>
      </x:c>
      <x:c r="Q1745" t="str"/>
      <x:c r="R1745" t="str"/>
      <x:c r="S1745" t="str"/>
      <x:c r="T1745" t="str"/>
      <x:c r="U1745" t="str"/>
      <x:c r="V1745" t="str"/>
      <x:c r="W1745" t="str"/>
      <x:c r="X1745" t="str"/>
      <x:c r="Y1745" t="str">
        <x:v>https://data.ny.gov/Economic-Development/Active-Corporations-Beginning-1800/n9v6-gdp6</x:v>
      </x:c>
    </x:row>
    <x:row r="1746">
      <x:c r="A1746" t="str">
        <x:v>DOS-6-091</x:v>
      </x:c>
      <x:c r="B1746" t="n">
        <x:v>6</x:v>
      </x:c>
      <x:c r="C1746" t="str">
        <x:v>1144 ATLANTIC AVENUE, BALDWIN, NY, 11510, US</x:v>
      </x:c>
      <x:c r="D1746" t="str">
        <x:v>42 36 NORTHERN BLVD LLC</x:v>
      </x:c>
      <x:c r="E1746" t="str">
        <x:v>42-36 NORTHERN BLVD LLC</x:v>
      </x:c>
      <x:c r="F1746" t="str">
        <x:v>Address-corroborated active match</x:v>
      </x:c>
      <x:c r="G1746" t="n">
        <x:v>1</x:v>
      </x:c>
      <x:c r="H1746" t="n">
        <x:v>2</x:v>
      </x:c>
      <x:c r="I1746" t="str">
        <x:v>7786002</x:v>
      </x:c>
      <x:c r="J1746" t="str">
        <x:v>42-36 NORTHERN BLVD LLC</x:v>
      </x:c>
      <x:c r="K1746" s="55" t="n">
        <x:v>46009</x:v>
      </x:c>
      <x:c r="L1746" t="str">
        <x:v>Nassau</x:v>
      </x:c>
      <x:c r="M1746" t="str">
        <x:v>New York</x:v>
      </x:c>
      <x:c r="N1746" t="str">
        <x:v>DOMESTIC LIMITED LIABILITY COMPANY</x:v>
      </x:c>
      <x:c r="O1746" t="str">
        <x:v>Jon Halperin</x:v>
      </x:c>
      <x:c r="P1746" t="str">
        <x:v>1144 Atlantic Avenue, Baldwin, NY, 11510</x:v>
      </x:c>
      <x:c r="Q1746" t="str"/>
      <x:c r="R1746" t="str"/>
      <x:c r="S1746" t="str"/>
      <x:c r="T1746" t="str"/>
      <x:c r="U1746" t="str"/>
      <x:c r="V1746" t="str"/>
      <x:c r="W1746" t="str"/>
      <x:c r="X1746" t="str"/>
      <x:c r="Y1746" t="str">
        <x:v>https://data.ny.gov/Economic-Development/Active-Corporations-Beginning-1800/n9v6-gdp6</x:v>
      </x:c>
    </x:row>
    <x:row r="1747">
      <x:c r="A1747" t="str">
        <x:v>DOS-6-091</x:v>
      </x:c>
      <x:c r="B1747" t="n">
        <x:v>6</x:v>
      </x:c>
      <x:c r="C1747" t="str">
        <x:v>1144 ATLANTIC AVENUE, BALDWIN, NY, 11510, US</x:v>
      </x:c>
      <x:c r="D1747" t="str">
        <x:v>91 02 SOUTH CONDUIT AVENUE LLC</x:v>
      </x:c>
      <x:c r="E1747" t="str">
        <x:v>91-02 SOUTH CONDUIT AVENUE LLC</x:v>
      </x:c>
      <x:c r="F1747" t="str">
        <x:v>Address-corroborated active match</x:v>
      </x:c>
      <x:c r="G1747" t="n">
        <x:v>1</x:v>
      </x:c>
      <x:c r="H1747" t="n">
        <x:v>2</x:v>
      </x:c>
      <x:c r="I1747" t="str">
        <x:v>4924901</x:v>
      </x:c>
      <x:c r="J1747" t="str">
        <x:v>91-02 SOUTH CONDUIT AVENUE, LLC</x:v>
      </x:c>
      <x:c r="K1747" s="55" t="n">
        <x:v>42465</x:v>
      </x:c>
      <x:c r="L1747" t="str">
        <x:v>Nassau</x:v>
      </x:c>
      <x:c r="M1747" t="str">
        <x:v>New York</x:v>
      </x:c>
      <x:c r="N1747" t="str">
        <x:v>DOMESTIC LIMITED LIABILITY COMPANY</x:v>
      </x:c>
      <x:c r="O1747" t="str">
        <x:v>JONATHAN HALPERIN</x:v>
      </x:c>
      <x:c r="P1747" t="str">
        <x:v>1144 ATLANTIC AVE., BALDWIN, NY, 11510</x:v>
      </x:c>
      <x:c r="Q1747" t="str"/>
      <x:c r="R1747" t="str"/>
      <x:c r="S1747" t="str"/>
      <x:c r="T1747" t="str"/>
      <x:c r="U1747" t="str"/>
      <x:c r="V1747" t="str"/>
      <x:c r="W1747" t="str"/>
      <x:c r="X1747" t="str"/>
      <x:c r="Y1747" t="str">
        <x:v>https://data.ny.gov/Economic-Development/Active-Corporations-Beginning-1800/n9v6-gdp6</x:v>
      </x:c>
    </x:row>
    <x:row r="1748">
      <x:c r="A1748" t="str">
        <x:v>DOS-6-092</x:v>
      </x:c>
      <x:c r="B1748" t="n">
        <x:v>6</x:v>
      </x:c>
      <x:c r="C1748" t="str">
        <x:v>12 EAST 44TH STREET, SUITE 700, NEW YORK, NY, 10017, US</x:v>
      </x:c>
      <x:c r="D1748" t="str">
        <x:v>116 118 E 31ST PARTNERS LLC</x:v>
      </x:c>
      <x:c r="E1748" t="str">
        <x:v>116-118 E 31ST PARTNERS LLC</x:v>
      </x:c>
      <x:c r="F1748" t="str">
        <x:v>Address-corroborated active match</x:v>
      </x:c>
      <x:c r="G1748" t="n">
        <x:v>1</x:v>
      </x:c>
      <x:c r="H1748" t="n">
        <x:v>2</x:v>
      </x:c>
      <x:c r="I1748" t="str">
        <x:v>5863568</x:v>
      </x:c>
      <x:c r="J1748" t="str">
        <x:v>116-118 E 31ST PARTNERS LLC</x:v>
      </x:c>
      <x:c r="K1748" s="55" t="n">
        <x:v>44127</x:v>
      </x:c>
      <x:c r="L1748" t="str">
        <x:v>New York</x:v>
      </x:c>
      <x:c r="M1748" t="str">
        <x:v>New York</x:v>
      </x:c>
      <x:c r="N1748" t="str">
        <x:v>DOMESTIC LIMITED LIABILITY COMPANY</x:v>
      </x:c>
      <x:c r="O1748" t="str">
        <x:v>116-118 E 31ST PARTNERS LLC</x:v>
      </x:c>
      <x:c r="P1748" t="str">
        <x:v>12 EAST 44TH STREET, SUITE 700, NEW YORK, NY, 10017</x:v>
      </x:c>
      <x:c r="Q1748" t="str"/>
      <x:c r="R1748" t="str"/>
      <x:c r="S1748" t="str"/>
      <x:c r="T1748" t="str"/>
      <x:c r="U1748" t="str"/>
      <x:c r="V1748" t="str"/>
      <x:c r="W1748" t="str"/>
      <x:c r="X1748" t="str"/>
      <x:c r="Y1748" t="str">
        <x:v>https://data.ny.gov/Economic-Development/Active-Corporations-Beginning-1800/n9v6-gdp6</x:v>
      </x:c>
    </x:row>
    <x:row r="1749">
      <x:c r="A1749" t="str">
        <x:v>DOS-6-092</x:v>
      </x:c>
      <x:c r="B1749" t="n">
        <x:v>6</x:v>
      </x:c>
      <x:c r="C1749" t="str">
        <x:v>12 EAST 44TH STREET, SUITE 700, NEW YORK, NY, 10017, US</x:v>
      </x:c>
      <x:c r="D1749" t="str">
        <x:v>145 HENRY PARTNERS LLC</x:v>
      </x:c>
      <x:c r="E1749" t="str">
        <x:v>145 HENRY PARTNERS LLC</x:v>
      </x:c>
      <x:c r="F1749" t="str">
        <x:v>Active name match</x:v>
      </x:c>
      <x:c r="G1749" t="n">
        <x:v>1</x:v>
      </x:c>
      <x:c r="H1749" t="n">
        <x:v>0</x:v>
      </x:c>
      <x:c r="I1749" t="str">
        <x:v>5514038</x:v>
      </x:c>
      <x:c r="J1749" t="str">
        <x:v>145 HENRY PARTNERS LLC</x:v>
      </x:c>
      <x:c r="K1749" s="55" t="n">
        <x:v>43539</x:v>
      </x:c>
      <x:c r="L1749" t="str">
        <x:v>Albany</x:v>
      </x:c>
      <x:c r="M1749" t="str">
        <x:v>New York</x:v>
      </x:c>
      <x:c r="N1749" t="str">
        <x:v>DOMESTIC LIMITED LIABILITY COMPANY</x:v>
      </x:c>
      <x:c r="O1749" t="str">
        <x:v>ALLSTATE CORPORATE SERVICES</x:v>
      </x:c>
      <x:c r="P1749" t="str">
        <x:v>99 WASHINGTON AVENUE SUITE 1008, ALBANY, NY, 11260</x:v>
      </x:c>
      <x:c r="Q1749" t="str"/>
      <x:c r="R1749" t="str"/>
      <x:c r="S1749" t="str"/>
      <x:c r="T1749" t="str"/>
      <x:c r="U1749" t="str"/>
      <x:c r="V1749" t="str"/>
      <x:c r="W1749" t="str"/>
      <x:c r="X1749" t="str"/>
      <x:c r="Y1749" t="str">
        <x:v>https://data.ny.gov/Economic-Development/Active-Corporations-Beginning-1800/n9v6-gdp6</x:v>
      </x:c>
    </x:row>
    <x:row r="1750">
      <x:c r="A1750" t="str">
        <x:v>DOS-6-092</x:v>
      </x:c>
      <x:c r="B1750" t="n">
        <x:v>6</x:v>
      </x:c>
      <x:c r="C1750" t="str">
        <x:v>12 EAST 44TH STREET, SUITE 700, NEW YORK, NY, 10017, US</x:v>
      </x:c>
      <x:c r="D1750" t="str">
        <x:v>15 19 WYCKOFF PARTNERS LLC</x:v>
      </x:c>
      <x:c r="E1750" t="str">
        <x:v>15-19 WYCKOFF PARTNERS LLC</x:v>
      </x:c>
      <x:c r="F1750" t="str">
        <x:v>Address-corroborated active match</x:v>
      </x:c>
      <x:c r="G1750" t="n">
        <x:v>1</x:v>
      </x:c>
      <x:c r="H1750" t="n">
        <x:v>2</x:v>
      </x:c>
      <x:c r="I1750" t="str">
        <x:v>5514037</x:v>
      </x:c>
      <x:c r="J1750" t="str">
        <x:v>15-19 WYCKOFF PARTNERS LLC</x:v>
      </x:c>
      <x:c r="K1750" s="55" t="n">
        <x:v>43539</x:v>
      </x:c>
      <x:c r="L1750" t="str">
        <x:v>New York</x:v>
      </x:c>
      <x:c r="M1750" t="str">
        <x:v>New York</x:v>
      </x:c>
      <x:c r="N1750" t="str">
        <x:v>DOMESTIC LIMITED LIABILITY COMPANY</x:v>
      </x:c>
      <x:c r="O1750" t="str">
        <x:v>15-19 WYCKOFF PARTNERS LLC</x:v>
      </x:c>
      <x:c r="P1750" t="str">
        <x:v>12 EAST 44TH STREET, SUITE 700, NYC, NY, 10017</x:v>
      </x:c>
      <x:c r="Q1750" t="str"/>
      <x:c r="R1750" t="str"/>
      <x:c r="S1750" t="str"/>
      <x:c r="T1750" t="str"/>
      <x:c r="U1750" t="str"/>
      <x:c r="V1750" t="str"/>
      <x:c r="W1750" t="str"/>
      <x:c r="X1750" t="str"/>
      <x:c r="Y1750" t="str">
        <x:v>https://data.ny.gov/Economic-Development/Active-Corporations-Beginning-1800/n9v6-gdp6</x:v>
      </x:c>
    </x:row>
    <x:row r="1751">
      <x:c r="A1751" t="str">
        <x:v>DOS-6-092</x:v>
      </x:c>
      <x:c r="B1751" t="n">
        <x:v>6</x:v>
      </x:c>
      <x:c r="C1751" t="str">
        <x:v>12 EAST 44TH STREET, SUITE 700, NEW YORK, NY, 10017, US</x:v>
      </x:c>
      <x:c r="D1751" t="str">
        <x:v>187 BH PARTNERS LLC</x:v>
      </x:c>
      <x:c r="E1751" t="str">
        <x:v>187 BH PARTNERS LLC</x:v>
      </x:c>
      <x:c r="F1751" t="str">
        <x:v>Address-corroborated active match</x:v>
      </x:c>
      <x:c r="G1751" t="n">
        <x:v>1</x:v>
      </x:c>
      <x:c r="H1751" t="n">
        <x:v>2</x:v>
      </x:c>
      <x:c r="I1751" t="str">
        <x:v>5480763</x:v>
      </x:c>
      <x:c r="J1751" t="str">
        <x:v>187 BH PARTNERS LLC</x:v>
      </x:c>
      <x:c r="K1751" s="55" t="n">
        <x:v>43488</x:v>
      </x:c>
      <x:c r="L1751" t="str">
        <x:v>New York</x:v>
      </x:c>
      <x:c r="M1751" t="str">
        <x:v>New York</x:v>
      </x:c>
      <x:c r="N1751" t="str">
        <x:v>DOMESTIC LIMITED LIABILITY COMPANY</x:v>
      </x:c>
      <x:c r="O1751" t="str">
        <x:v>187 BH PARTNERS LLC</x:v>
      </x:c>
      <x:c r="P1751" t="str">
        <x:v>12 east 44th street, suite 700, NEW YORK, NY, 10017</x:v>
      </x:c>
      <x:c r="Q1751" t="str"/>
      <x:c r="R1751" t="str"/>
      <x:c r="S1751" t="str"/>
      <x:c r="T1751" t="str"/>
      <x:c r="U1751" t="str"/>
      <x:c r="V1751" t="str"/>
      <x:c r="W1751" t="str"/>
      <x:c r="X1751" t="str"/>
      <x:c r="Y1751" t="str">
        <x:v>https://data.ny.gov/Economic-Development/Active-Corporations-Beginning-1800/n9v6-gdp6</x:v>
      </x:c>
    </x:row>
    <x:row r="1752">
      <x:c r="A1752" t="str">
        <x:v>DOS-6-092</x:v>
      </x:c>
      <x:c r="B1752" t="n">
        <x:v>6</x:v>
      </x:c>
      <x:c r="C1752" t="str">
        <x:v>12 EAST 44TH STREET, SUITE 700, NEW YORK, NY, 10017, US</x:v>
      </x:c>
      <x:c r="D1752" t="str">
        <x:v>248 ELIZABETH PARTNERS LLC</x:v>
      </x:c>
      <x:c r="E1752" t="str">
        <x:v>248 ELIZABETH PARTNERS LLC</x:v>
      </x:c>
      <x:c r="F1752" t="str">
        <x:v>Address-corroborated active match</x:v>
      </x:c>
      <x:c r="G1752" t="n">
        <x:v>1</x:v>
      </x:c>
      <x:c r="H1752" t="n">
        <x:v>2</x:v>
      </x:c>
      <x:c r="I1752" t="str">
        <x:v>5671006</x:v>
      </x:c>
      <x:c r="J1752" t="str">
        <x:v>248 ELIZABETH PARTNERS LLC</x:v>
      </x:c>
      <x:c r="K1752" s="55" t="n">
        <x:v>43811</x:v>
      </x:c>
      <x:c r="L1752" t="str">
        <x:v>New York</x:v>
      </x:c>
      <x:c r="M1752" t="str">
        <x:v>New York</x:v>
      </x:c>
      <x:c r="N1752" t="str">
        <x:v>DOMESTIC LIMITED LIABILITY COMPANY</x:v>
      </x:c>
      <x:c r="O1752" t="str">
        <x:v>248 ELIZABETH PARTNERS LLC</x:v>
      </x:c>
      <x:c r="P1752" t="str">
        <x:v>12 EAST 44TH STREET, NEW YORK, NY, 10017</x:v>
      </x:c>
      <x:c r="Q1752" t="str"/>
      <x:c r="R1752" t="str"/>
      <x:c r="S1752" t="str"/>
      <x:c r="T1752" t="str"/>
      <x:c r="U1752" t="str"/>
      <x:c r="V1752" t="str"/>
      <x:c r="W1752" t="str"/>
      <x:c r="X1752" t="str"/>
      <x:c r="Y1752" t="str">
        <x:v>https://data.ny.gov/Economic-Development/Active-Corporations-Beginning-1800/n9v6-gdp6</x:v>
      </x:c>
    </x:row>
    <x:row r="1753">
      <x:c r="A1753" t="str">
        <x:v>DOS-6-092</x:v>
      </x:c>
      <x:c r="B1753" t="n">
        <x:v>6</x:v>
      </x:c>
      <x:c r="C1753" t="str">
        <x:v>12 EAST 44TH STREET, SUITE 700, NEW YORK, NY, 10017, US</x:v>
      </x:c>
      <x:c r="D1753" t="str">
        <x:v>30 32 E 14TH OWNER LLC</x:v>
      </x:c>
      <x:c r="E1753" t="str">
        <x:v>30-32 E 14TH OWNER LLC</x:v>
      </x:c>
      <x:c r="F1753" t="str">
        <x:v>Address-corroborated active match</x:v>
      </x:c>
      <x:c r="G1753" t="n">
        <x:v>1</x:v>
      </x:c>
      <x:c r="H1753" t="n">
        <x:v>2</x:v>
      </x:c>
      <x:c r="I1753" t="str">
        <x:v>7335805</x:v>
      </x:c>
      <x:c r="J1753" t="str">
        <x:v>30-32 E 14TH OWNER LLC</x:v>
      </x:c>
      <x:c r="K1753" s="55" t="n">
        <x:v>45435</x:v>
      </x:c>
      <x:c r="L1753" t="str">
        <x:v>New York</x:v>
      </x:c>
      <x:c r="M1753" t="str">
        <x:v>Delaware</x:v>
      </x:c>
      <x:c r="N1753" t="str">
        <x:v>FOREIGN LIMITED LIABILITY COMPANY</x:v>
      </x:c>
      <x:c r="O1753" t="str">
        <x:v>30-32 E 14TH OWNER LLC</x:v>
      </x:c>
      <x:c r="P1753" t="str">
        <x:v>12 east 44th street, floor 7, NEW YORK, NY, 10017</x:v>
      </x:c>
      <x:c r="Q1753" t="str"/>
      <x:c r="R1753" t="str"/>
      <x:c r="S1753" t="str"/>
      <x:c r="T1753" t="str"/>
      <x:c r="U1753" t="str"/>
      <x:c r="V1753" t="str"/>
      <x:c r="W1753" t="str"/>
      <x:c r="X1753" t="str"/>
      <x:c r="Y1753" t="str">
        <x:v>https://data.ny.gov/Economic-Development/Active-Corporations-Beginning-1800/n9v6-gdp6</x:v>
      </x:c>
    </x:row>
    <x:row r="1754">
      <x:c r="A1754" t="str">
        <x:v>DOS-6-093</x:v>
      </x:c>
      <x:c r="B1754" t="n">
        <x:v>6</x:v>
      </x:c>
      <x:c r="C1754" t="str">
        <x:v>128 44TH STREET, BROOKLYN, NY, 11232, US</x:v>
      </x:c>
      <x:c r="D1754" t="str">
        <x:v>193 22 GROUP LLC</x:v>
      </x:c>
      <x:c r="E1754" t="str">
        <x:v>193 22 GROUP LLC</x:v>
      </x:c>
      <x:c r="F1754" t="str">
        <x:v>Address-corroborated active match</x:v>
      </x:c>
      <x:c r="G1754" t="n">
        <x:v>1</x:v>
      </x:c>
      <x:c r="H1754" t="n">
        <x:v>2</x:v>
      </x:c>
      <x:c r="I1754" t="str">
        <x:v>5683826</x:v>
      </x:c>
      <x:c r="J1754" t="str">
        <x:v>193 22 GROUP LLC</x:v>
      </x:c>
      <x:c r="K1754" s="55" t="n">
        <x:v>43837</x:v>
      </x:c>
      <x:c r="L1754" t="str">
        <x:v>Kings</x:v>
      </x:c>
      <x:c r="M1754" t="str">
        <x:v>New York</x:v>
      </x:c>
      <x:c r="N1754" t="str">
        <x:v>DOMESTIC LIMITED LIABILITY COMPANY</x:v>
      </x:c>
      <x:c r="O1754" t="str">
        <x:v>C/O BARONE STEEL FABRICATORS, INC.</x:v>
      </x:c>
      <x:c r="P1754" t="str">
        <x:v>128 44TH STREET, BROOKLYN, NY, 11232</x:v>
      </x:c>
      <x:c r="Q1754" t="str"/>
      <x:c r="R1754" t="str"/>
      <x:c r="S1754" t="str"/>
      <x:c r="T1754" t="str"/>
      <x:c r="U1754" t="str"/>
      <x:c r="V1754" t="str"/>
      <x:c r="W1754" t="str"/>
      <x:c r="X1754" t="str"/>
      <x:c r="Y1754" t="str">
        <x:v>https://data.ny.gov/Economic-Development/Active-Corporations-Beginning-1800/n9v6-gdp6</x:v>
      </x:c>
    </x:row>
    <x:row r="1755">
      <x:c r="A1755" t="str">
        <x:v>DOS-6-093</x:v>
      </x:c>
      <x:c r="B1755" t="n">
        <x:v>6</x:v>
      </x:c>
      <x:c r="C1755" t="str">
        <x:v>128 44TH STREET, BROOKLYN, NY, 11232, US</x:v>
      </x:c>
      <x:c r="D1755" t="str">
        <x:v>267 18TH ST LLC</x:v>
      </x:c>
      <x:c r="E1755" t="str">
        <x:v>267 18TH ST LLC</x:v>
      </x:c>
      <x:c r="F1755" t="str">
        <x:v>Address-corroborated active match</x:v>
      </x:c>
      <x:c r="G1755" t="n">
        <x:v>1</x:v>
      </x:c>
      <x:c r="H1755" t="n">
        <x:v>2</x:v>
      </x:c>
      <x:c r="I1755" t="str">
        <x:v>7353344</x:v>
      </x:c>
      <x:c r="J1755" t="str">
        <x:v>267 18TH ST LLC</x:v>
      </x:c>
      <x:c r="K1755" s="55" t="n">
        <x:v>45460</x:v>
      </x:c>
      <x:c r="L1755" t="str">
        <x:v>Albany</x:v>
      </x:c>
      <x:c r="M1755" t="str">
        <x:v>New York</x:v>
      </x:c>
      <x:c r="N1755" t="str">
        <x:v>DOMESTIC LIMITED LIABILITY COMPANY</x:v>
      </x:c>
      <x:c r="O1755" t="str">
        <x:v>267 18TH ST LLC</x:v>
      </x:c>
      <x:c r="P1755" t="str">
        <x:v>128 44TH ST, BROOKLYN, NY, 11232</x:v>
      </x:c>
      <x:c r="Q1755" t="str"/>
      <x:c r="R1755" t="str"/>
      <x:c r="S1755" t="str"/>
      <x:c r="T1755" t="str"/>
      <x:c r="U1755" t="str"/>
      <x:c r="V1755" t="str"/>
      <x:c r="W1755" t="str"/>
      <x:c r="X1755" t="str"/>
      <x:c r="Y1755" t="str">
        <x:v>https://data.ny.gov/Economic-Development/Active-Corporations-Beginning-1800/n9v6-gdp6</x:v>
      </x:c>
    </x:row>
    <x:row r="1756">
      <x:c r="A1756" t="str">
        <x:v>DOS-6-093</x:v>
      </x:c>
      <x:c r="B1756" t="n">
        <x:v>6</x:v>
      </x:c>
      <x:c r="C1756" t="str">
        <x:v>128 44TH STREET, BROOKLYN, NY, 11232, US</x:v>
      </x:c>
      <x:c r="D1756" t="str">
        <x:v>316 22ND UNIT 2B LLC</x:v>
      </x:c>
      <x:c r="E1756" t="str">
        <x:v>316 22ND UNIT 2B LLC</x:v>
      </x:c>
      <x:c r="F1756" t="str">
        <x:v>Address-corroborated active match</x:v>
      </x:c>
      <x:c r="G1756" t="n">
        <x:v>1</x:v>
      </x:c>
      <x:c r="H1756" t="n">
        <x:v>2</x:v>
      </x:c>
      <x:c r="I1756" t="str">
        <x:v>7156927</x:v>
      </x:c>
      <x:c r="J1756" t="str">
        <x:v>316 22ND UNIT 2B LLC</x:v>
      </x:c>
      <x:c r="K1756" s="55" t="n">
        <x:v>45211</x:v>
      </x:c>
      <x:c r="L1756" t="str">
        <x:v>Queens</x:v>
      </x:c>
      <x:c r="M1756" t="str">
        <x:v>New York</x:v>
      </x:c>
      <x:c r="N1756" t="str">
        <x:v>DOMESTIC LIMITED LIABILITY COMPANY</x:v>
      </x:c>
      <x:c r="O1756" t="str">
        <x:v>316 22ND UNIT 2B LLC</x:v>
      </x:c>
      <x:c r="P1756" t="str">
        <x:v>128 44TH ST, BROOKLYN, NY, 11232</x:v>
      </x:c>
      <x:c r="Q1756" t="str"/>
      <x:c r="R1756" t="str"/>
      <x:c r="S1756" t="str"/>
      <x:c r="T1756" t="str"/>
      <x:c r="U1756" t="str"/>
      <x:c r="V1756" t="str"/>
      <x:c r="W1756" t="str"/>
      <x:c r="X1756" t="str"/>
      <x:c r="Y1756" t="str">
        <x:v>https://data.ny.gov/Economic-Development/Active-Corporations-Beginning-1800/n9v6-gdp6</x:v>
      </x:c>
    </x:row>
    <x:row r="1757">
      <x:c r="A1757" t="str">
        <x:v>DOS-6-093</x:v>
      </x:c>
      <x:c r="B1757" t="n">
        <x:v>6</x:v>
      </x:c>
      <x:c r="C1757" t="str">
        <x:v>128 44TH STREET, BROOKLYN, NY, 11232, US</x:v>
      </x:c>
      <x:c r="D1757" t="str">
        <x:v>4701 1ST LLC</x:v>
      </x:c>
      <x:c r="E1757" t="str">
        <x:v>4701 1ST LLC</x:v>
      </x:c>
      <x:c r="F1757" t="str">
        <x:v>Address-corroborated active match</x:v>
      </x:c>
      <x:c r="G1757" t="n">
        <x:v>1</x:v>
      </x:c>
      <x:c r="H1757" t="n">
        <x:v>2</x:v>
      </x:c>
      <x:c r="I1757" t="str">
        <x:v>3711803</x:v>
      </x:c>
      <x:c r="J1757" t="str">
        <x:v>4701 1ST LLC</x:v>
      </x:c>
      <x:c r="K1757" s="55" t="n">
        <x:v>39681</x:v>
      </x:c>
      <x:c r="L1757" t="str">
        <x:v>Kings</x:v>
      </x:c>
      <x:c r="M1757" t="str">
        <x:v>New York</x:v>
      </x:c>
      <x:c r="N1757" t="str">
        <x:v>DOMESTIC LIMITED LIABILITY COMPANY</x:v>
      </x:c>
      <x:c r="O1757" t="str">
        <x:v>4701 1ST LLC</x:v>
      </x:c>
      <x:c r="P1757" t="str">
        <x:v>128 44TH ST., BROOKLYN, NY, 11232</x:v>
      </x:c>
      <x:c r="Q1757" t="str"/>
      <x:c r="R1757" t="str"/>
      <x:c r="S1757" t="str"/>
      <x:c r="T1757" t="str"/>
      <x:c r="U1757" t="str"/>
      <x:c r="V1757" t="str"/>
      <x:c r="W1757" t="str"/>
      <x:c r="X1757" t="str"/>
      <x:c r="Y1757" t="str">
        <x:v>https://data.ny.gov/Economic-Development/Active-Corporations-Beginning-1800/n9v6-gdp6</x:v>
      </x:c>
    </x:row>
    <x:row r="1758">
      <x:c r="A1758" t="str">
        <x:v>DOS-6-093</x:v>
      </x:c>
      <x:c r="B1758" t="n">
        <x:v>6</x:v>
      </x:c>
      <x:c r="C1758" t="str">
        <x:v>128 44TH STREET, BROOKLYN, NY, 11232, US</x:v>
      </x:c>
      <x:c r="D1758" t="str">
        <x:v>695 6TH AVE 2M LLC</x:v>
      </x:c>
      <x:c r="E1758" t="str">
        <x:v>695 6TH AVE 2M LLC</x:v>
      </x:c>
      <x:c r="F1758" t="str">
        <x:v>Address-corroborated active match</x:v>
      </x:c>
      <x:c r="G1758" t="n">
        <x:v>1</x:v>
      </x:c>
      <x:c r="H1758" t="n">
        <x:v>2</x:v>
      </x:c>
      <x:c r="I1758" t="str">
        <x:v>5487727</x:v>
      </x:c>
      <x:c r="J1758" t="str">
        <x:v>695 6TH AVE 2M LLC</x:v>
      </x:c>
      <x:c r="K1758" s="55" t="n">
        <x:v>43500</x:v>
      </x:c>
      <x:c r="L1758" t="str">
        <x:v>Kings</x:v>
      </x:c>
      <x:c r="M1758" t="str">
        <x:v>New York</x:v>
      </x:c>
      <x:c r="N1758" t="str">
        <x:v>DOMESTIC LIMITED LIABILITY COMPANY</x:v>
      </x:c>
      <x:c r="O1758" t="str">
        <x:v>695 6TH AVE 2M LLC</x:v>
      </x:c>
      <x:c r="P1758" t="str">
        <x:v>128 44TH STREET, BROOKLYN, NY, 11232</x:v>
      </x:c>
      <x:c r="Q1758" t="str"/>
      <x:c r="R1758" t="str"/>
      <x:c r="S1758" t="str"/>
      <x:c r="T1758" t="str"/>
      <x:c r="U1758" t="str"/>
      <x:c r="V1758" t="str"/>
      <x:c r="W1758" t="str"/>
      <x:c r="X1758" t="str"/>
      <x:c r="Y1758" t="str">
        <x:v>https://data.ny.gov/Economic-Development/Active-Corporations-Beginning-1800/n9v6-gdp6</x:v>
      </x:c>
    </x:row>
    <x:row r="1759">
      <x:c r="A1759" t="str">
        <x:v>DOS-6-093</x:v>
      </x:c>
      <x:c r="B1759" t="n">
        <x:v>6</x:v>
      </x:c>
      <x:c r="C1759" t="str">
        <x:v>128 44TH STREET, BROOKLYN, NY, 11232, US</x:v>
      </x:c>
      <x:c r="D1759" t="str">
        <x:v>BROOKLYN 1ST AVENUE LLC</x:v>
      </x:c>
      <x:c r="E1759" t="str">
        <x:v>BROOKLYN 1ST AVENUE LLC</x:v>
      </x:c>
      <x:c r="F1759" t="str">
        <x:v>Active name match</x:v>
      </x:c>
      <x:c r="G1759" t="n">
        <x:v>1</x:v>
      </x:c>
      <x:c r="H1759" t="n">
        <x:v>0</x:v>
      </x:c>
      <x:c r="I1759" t="str">
        <x:v>5564242</x:v>
      </x:c>
      <x:c r="J1759" t="str">
        <x:v>BROOKLYN 1ST AVENUE LLC</x:v>
      </x:c>
      <x:c r="K1759" s="55" t="n">
        <x:v>43620</x:v>
      </x:c>
      <x:c r="L1759" t="str">
        <x:v>Kings</x:v>
      </x:c>
      <x:c r="M1759" t="str">
        <x:v>New York</x:v>
      </x:c>
      <x:c r="N1759" t="str">
        <x:v>DOMESTIC LIMITED LIABILITY COMPANY</x:v>
      </x:c>
      <x:c r="O1759" t="str">
        <x:v>C/O ABRAMS FENSTERMAN</x:v>
      </x:c>
      <x:c r="P1759" t="str">
        <x:v>1 METROTECH CENTER, SUITE 1701, BROOKLYN, NY, 11201</x:v>
      </x:c>
      <x:c r="Q1759" t="str"/>
      <x:c r="R1759" t="str"/>
      <x:c r="S1759" t="str"/>
      <x:c r="T1759" t="str"/>
      <x:c r="U1759" t="str"/>
      <x:c r="V1759" t="str"/>
      <x:c r="W1759" t="str"/>
      <x:c r="X1759" t="str"/>
      <x:c r="Y1759" t="str">
        <x:v>https://data.ny.gov/Economic-Development/Active-Corporations-Beginning-1800/n9v6-gdp6</x:v>
      </x:c>
    </x:row>
    <x:row r="1760">
      <x:c r="A1760" t="str">
        <x:v>DOS-6-094</x:v>
      </x:c>
      <x:c r="B1760" t="n">
        <x:v>6</x:v>
      </x:c>
      <x:c r="C1760" t="str">
        <x:v>130 LEE AVENUE SUITE #338, BROOKLYN, NY, 11211, US | 130 LEE AVENUE, SUITE #338, BROOKLYN, NY, 11211, US | 130 LEE AVENUE, SUITE 338, BROOKLYN, NY, 11211, US</x:v>
      </x:c>
      <x:c r="D1760" t="str">
        <x:v>1494 NELSON LLC</x:v>
      </x:c>
      <x:c r="E1760" t="str">
        <x:v>1494 NELSON LLC</x:v>
      </x:c>
      <x:c r="F1760" t="str">
        <x:v>Active name match</x:v>
      </x:c>
      <x:c r="G1760" t="n">
        <x:v>1</x:v>
      </x:c>
      <x:c r="H1760" t="n">
        <x:v>1</x:v>
      </x:c>
      <x:c r="I1760" t="str">
        <x:v>6233154</x:v>
      </x:c>
      <x:c r="J1760" t="str">
        <x:v>1494 NELSON LLC</x:v>
      </x:c>
      <x:c r="K1760" s="55" t="n">
        <x:v>44410</x:v>
      </x:c>
      <x:c r="L1760" t="str">
        <x:v>Rockland</x:v>
      </x:c>
      <x:c r="M1760" t="str"/>
      <x:c r="N1760" t="str">
        <x:v>DOMESTIC LIMITED LIABILITY COMPANY</x:v>
      </x:c>
      <x:c r="O1760" t="str">
        <x:v>1494 NELSON LLC</x:v>
      </x:c>
      <x:c r="P1760" t="str">
        <x:v>130 LEE AVE STE 338, BROOKLYN, NY, 11211</x:v>
      </x:c>
      <x:c r="Q1760" t="str"/>
      <x:c r="R1760" t="str"/>
      <x:c r="S1760" t="str"/>
      <x:c r="T1760" t="str"/>
      <x:c r="U1760" t="str"/>
      <x:c r="V1760" t="str"/>
      <x:c r="W1760" t="str"/>
      <x:c r="X1760" t="str"/>
      <x:c r="Y1760" t="str">
        <x:v>https://data.ny.gov/Economic-Development/Active-Corporations-Beginning-1800/n9v6-gdp6</x:v>
      </x:c>
    </x:row>
    <x:row r="1761">
      <x:c r="A1761" t="str">
        <x:v>DOS-6-094</x:v>
      </x:c>
      <x:c r="B1761" t="n">
        <x:v>6</x:v>
      </x:c>
      <x:c r="C1761" t="str">
        <x:v>130 LEE AVENUE SUITE #338, BROOKLYN, NY, 11211, US | 130 LEE AVENUE, SUITE #338, BROOKLYN, NY, 11211, US | 130 LEE AVENUE, SUITE 338, BROOKLYN, NY, 11211, US</x:v>
      </x:c>
      <x:c r="D1761" t="str">
        <x:v>1547 COMMON LLC</x:v>
      </x:c>
      <x:c r="E1761" t="str">
        <x:v>1547 COMMON LLC</x:v>
      </x:c>
      <x:c r="F1761" t="str">
        <x:v>Active name match</x:v>
      </x:c>
      <x:c r="G1761" t="n">
        <x:v>1</x:v>
      </x:c>
      <x:c r="H1761" t="n">
        <x:v>1</x:v>
      </x:c>
      <x:c r="I1761" t="str">
        <x:v>5943750</x:v>
      </x:c>
      <x:c r="J1761" t="str">
        <x:v>1547 COMMON LLC</x:v>
      </x:c>
      <x:c r="K1761" s="55" t="n">
        <x:v>44244</x:v>
      </x:c>
      <x:c r="L1761" t="str">
        <x:v>Bronx</x:v>
      </x:c>
      <x:c r="M1761" t="str">
        <x:v>New York</x:v>
      </x:c>
      <x:c r="N1761" t="str">
        <x:v>DOMESTIC LIMITED LIABILITY COMPANY</x:v>
      </x:c>
      <x:c r="O1761" t="str">
        <x:v>1547 COMMON LLC</x:v>
      </x:c>
      <x:c r="P1761" t="str">
        <x:v>130 LEE AVE STE 338, BROOKLYN, NY, 11211</x:v>
      </x:c>
      <x:c r="Q1761" t="str"/>
      <x:c r="R1761" t="str"/>
      <x:c r="S1761" t="str"/>
      <x:c r="T1761" t="str"/>
      <x:c r="U1761" t="str"/>
      <x:c r="V1761" t="str"/>
      <x:c r="W1761" t="str"/>
      <x:c r="X1761" t="str"/>
      <x:c r="Y1761" t="str">
        <x:v>https://data.ny.gov/Economic-Development/Active-Corporations-Beginning-1800/n9v6-gdp6</x:v>
      </x:c>
    </x:row>
    <x:row r="1762">
      <x:c r="A1762" t="str">
        <x:v>DOS-6-094</x:v>
      </x:c>
      <x:c r="B1762" t="n">
        <x:v>6</x:v>
      </x:c>
      <x:c r="C1762" t="str">
        <x:v>130 LEE AVENUE SUITE #338, BROOKLYN, NY, 11211, US | 130 LEE AVENUE, SUITE #338, BROOKLYN, NY, 11211, US | 130 LEE AVENUE, SUITE 338, BROOKLYN, NY, 11211, US</x:v>
      </x:c>
      <x:c r="D1762" t="str">
        <x:v>1975 CRESTON AVE LLC</x:v>
      </x:c>
      <x:c r="E1762" t="str">
        <x:v>1975 CRESTON AVE LLC</x:v>
      </x:c>
      <x:c r="F1762" t="str">
        <x:v>Active name match</x:v>
      </x:c>
      <x:c r="G1762" t="n">
        <x:v>1</x:v>
      </x:c>
      <x:c r="H1762" t="n">
        <x:v>0</x:v>
      </x:c>
      <x:c r="I1762" t="str">
        <x:v>7496249</x:v>
      </x:c>
      <x:c r="J1762" t="str">
        <x:v>1975 CRESTON AVE LLC</x:v>
      </x:c>
      <x:c r="K1762" s="55" t="n">
        <x:v>45657</x:v>
      </x:c>
      <x:c r="L1762" t="str">
        <x:v>Albany</x:v>
      </x:c>
      <x:c r="M1762" t="str">
        <x:v>New York</x:v>
      </x:c>
      <x:c r="N1762" t="str">
        <x:v>DOMESTIC LIMITED LIABILITY COMPANY</x:v>
      </x:c>
      <x:c r="O1762" t="str">
        <x:v>USACORP INC</x:v>
      </x:c>
      <x:c r="P1762" t="str">
        <x:v>66 PARK AVE, ALBANY, NY, 12202</x:v>
      </x:c>
      <x:c r="Q1762" t="str"/>
      <x:c r="R1762" t="str"/>
      <x:c r="S1762" t="str">
        <x:v>USACORP INC</x:v>
      </x:c>
      <x:c r="T1762" t="str">
        <x:v>66 PARK AVE, ALBANY, NEW YORK, 12202</x:v>
      </x:c>
      <x:c r="U1762" t="str"/>
      <x:c r="V1762" t="str"/>
      <x:c r="W1762" t="str"/>
      <x:c r="X1762" t="str"/>
      <x:c r="Y1762" t="str">
        <x:v>https://data.ny.gov/Economic-Development/Active-Corporations-Beginning-1800/n9v6-gdp6</x:v>
      </x:c>
    </x:row>
    <x:row r="1763">
      <x:c r="A1763" t="str">
        <x:v>DOS-6-094</x:v>
      </x:c>
      <x:c r="B1763" t="n">
        <x:v>6</x:v>
      </x:c>
      <x:c r="C1763" t="str">
        <x:v>130 LEE AVENUE SUITE #338, BROOKLYN, NY, 11211, US | 130 LEE AVENUE, SUITE #338, BROOKLYN, NY, 11211, US | 130 LEE AVENUE, SUITE 338, BROOKLYN, NY, 11211, US</x:v>
      </x:c>
      <x:c r="D1763" t="str">
        <x:v>2639 DAVIDSON AVE LLC</x:v>
      </x:c>
      <x:c r="E1763" t="str">
        <x:v>2639 DAVIDSON AVE LLC</x:v>
      </x:c>
      <x:c r="F1763" t="str">
        <x:v>Active name match</x:v>
      </x:c>
      <x:c r="G1763" t="n">
        <x:v>1</x:v>
      </x:c>
      <x:c r="H1763" t="n">
        <x:v>0</x:v>
      </x:c>
      <x:c r="I1763" t="str">
        <x:v>7183397</x:v>
      </x:c>
      <x:c r="J1763" t="str">
        <x:v>2639 DAVIDSON AVE LLC</x:v>
      </x:c>
      <x:c r="K1763" s="55" t="n">
        <x:v>45245</x:v>
      </x:c>
      <x:c r="L1763" t="str">
        <x:v>Albany</x:v>
      </x:c>
      <x:c r="M1763" t="str">
        <x:v>New York</x:v>
      </x:c>
      <x:c r="N1763" t="str">
        <x:v>DOMESTIC LIMITED LIABILITY COMPANY</x:v>
      </x:c>
      <x:c r="O1763" t="str">
        <x:v>USACORP INC</x:v>
      </x:c>
      <x:c r="P1763" t="str">
        <x:v>66 Park Ave, ALBANY, NY, 12202</x:v>
      </x:c>
      <x:c r="Q1763" t="str"/>
      <x:c r="R1763" t="str"/>
      <x:c r="S1763" t="str">
        <x:v>USACORP INC</x:v>
      </x:c>
      <x:c r="T1763" t="str">
        <x:v>66 PARK AVE,, ALBANY, NEW YORK, 12202</x:v>
      </x:c>
      <x:c r="U1763" t="str"/>
      <x:c r="V1763" t="str"/>
      <x:c r="W1763" t="str"/>
      <x:c r="X1763" t="str"/>
      <x:c r="Y1763" t="str">
        <x:v>https://data.ny.gov/Economic-Development/Active-Corporations-Beginning-1800/n9v6-gdp6</x:v>
      </x:c>
    </x:row>
    <x:row r="1764">
      <x:c r="A1764" t="str">
        <x:v>DOS-6-094</x:v>
      </x:c>
      <x:c r="B1764" t="n">
        <x:v>6</x:v>
      </x:c>
      <x:c r="C1764" t="str">
        <x:v>130 LEE AVENUE SUITE #338, BROOKLYN, NY, 11211, US | 130 LEE AVENUE, SUITE #338, BROOKLYN, NY, 11211, US | 130 LEE AVENUE, SUITE 338, BROOKLYN, NY, 11211, US</x:v>
      </x:c>
      <x:c r="D1764" t="str">
        <x:v>724 ELTON LLC</x:v>
      </x:c>
      <x:c r="E1764" t="str">
        <x:v>724 ELTON LLC</x:v>
      </x:c>
      <x:c r="F1764" t="str">
        <x:v>Active name match</x:v>
      </x:c>
      <x:c r="G1764" t="n">
        <x:v>1</x:v>
      </x:c>
      <x:c r="H1764" t="n">
        <x:v>1</x:v>
      </x:c>
      <x:c r="I1764" t="str">
        <x:v>6004093</x:v>
      </x:c>
      <x:c r="J1764" t="str">
        <x:v>724 ELTON LLC</x:v>
      </x:c>
      <x:c r="K1764" s="55" t="n">
        <x:v>44319</x:v>
      </x:c>
      <x:c r="L1764" t="str">
        <x:v>Rockland</x:v>
      </x:c>
      <x:c r="M1764" t="str"/>
      <x:c r="N1764" t="str">
        <x:v>DOMESTIC LIMITED LIABILITY COMPANY</x:v>
      </x:c>
      <x:c r="O1764" t="str">
        <x:v>724 ELTON LLC</x:v>
      </x:c>
      <x:c r="P1764" t="str">
        <x:v>130 LEE AVE STE 338, BROOKLYN, NY, 11211</x:v>
      </x:c>
      <x:c r="Q1764" t="str"/>
      <x:c r="R1764" t="str"/>
      <x:c r="S1764" t="str"/>
      <x:c r="T1764" t="str"/>
      <x:c r="U1764" t="str"/>
      <x:c r="V1764" t="str"/>
      <x:c r="W1764" t="str"/>
      <x:c r="X1764" t="str"/>
      <x:c r="Y1764" t="str">
        <x:v>https://data.ny.gov/Economic-Development/Active-Corporations-Beginning-1800/n9v6-gdp6</x:v>
      </x:c>
    </x:row>
    <x:row r="1765">
      <x:c r="A1765" t="str">
        <x:v>DOS-6-094</x:v>
      </x:c>
      <x:c r="B1765" t="n">
        <x:v>6</x:v>
      </x:c>
      <x:c r="C1765" t="str">
        <x:v>130 LEE AVENUE SUITE #338, BROOKLYN, NY, 11211, US | 130 LEE AVENUE, SUITE #338, BROOKLYN, NY, 11211, US | 130 LEE AVENUE, SUITE 338, BROOKLYN, NY, 11211, US</x:v>
      </x:c>
      <x:c r="D1765" t="str">
        <x:v>ZLB BRONX 1 LLC</x:v>
      </x:c>
      <x:c r="E1765" t="str">
        <x:v>ZLB BRONX 1 LLC</x:v>
      </x:c>
      <x:c r="F1765" t="str">
        <x:v>Active name match</x:v>
      </x:c>
      <x:c r="G1765" t="n">
        <x:v>1</x:v>
      </x:c>
      <x:c r="H1765" t="n">
        <x:v>0</x:v>
      </x:c>
      <x:c r="I1765" t="str">
        <x:v>5382463</x:v>
      </x:c>
      <x:c r="J1765" t="str">
        <x:v>ZLB BRONX 1 LLC</x:v>
      </x:c>
      <x:c r="K1765" s="55" t="n">
        <x:v>43307</x:v>
      </x:c>
      <x:c r="L1765" t="str">
        <x:v>Bronx</x:v>
      </x:c>
      <x:c r="M1765" t="str">
        <x:v>New York</x:v>
      </x:c>
      <x:c r="N1765" t="str">
        <x:v>DOMESTIC LIMITED LIABILITY COMPANY</x:v>
      </x:c>
      <x:c r="O1765" t="str">
        <x:v>ZLB BRONX 1 LLC</x:v>
      </x:c>
      <x:c r="P1765" t="str">
        <x:v>12 WEST 190TH ST #BSMT, BRONX, NY, 10468</x:v>
      </x:c>
      <x:c r="Q1765" t="str"/>
      <x:c r="R1765" t="str"/>
      <x:c r="S1765" t="str"/>
      <x:c r="T1765" t="str"/>
      <x:c r="U1765" t="str"/>
      <x:c r="V1765" t="str"/>
      <x:c r="W1765" t="str"/>
      <x:c r="X1765" t="str"/>
      <x:c r="Y1765" t="str">
        <x:v>https://data.ny.gov/Economic-Development/Active-Corporations-Beginning-1800/n9v6-gdp6</x:v>
      </x:c>
    </x:row>
    <x:row r="1766">
      <x:c r="A1766" t="str">
        <x:v>DOS-6-095</x:v>
      </x:c>
      <x:c r="B1766" t="n">
        <x:v>6</x:v>
      </x:c>
      <x:c r="C1766" t="str">
        <x:v>1385 BROADWAY, 16TH FLOOR, NEW YORK, NY, 10018, US</x:v>
      </x:c>
      <x:c r="D1766" t="str">
        <x:v>248 X ROAD LLC</x:v>
      </x:c>
      <x:c r="E1766" t="str">
        <x:v>248 X ROAD LLC</x:v>
      </x:c>
      <x:c r="F1766" t="str">
        <x:v>Address-corroborated active match</x:v>
      </x:c>
      <x:c r="G1766" t="n">
        <x:v>1</x:v>
      </x:c>
      <x:c r="H1766" t="n">
        <x:v>2</x:v>
      </x:c>
      <x:c r="I1766" t="str">
        <x:v>5486467</x:v>
      </x:c>
      <x:c r="J1766" t="str">
        <x:v>248 X ROAD LLC</x:v>
      </x:c>
      <x:c r="K1766" s="55" t="n">
        <x:v>43497</x:v>
      </x:c>
      <x:c r="L1766" t="str">
        <x:v>Albany</x:v>
      </x:c>
      <x:c r="M1766" t="str">
        <x:v>New York</x:v>
      </x:c>
      <x:c r="N1766" t="str">
        <x:v>DOMESTIC LIMITED LIABILITY COMPANY</x:v>
      </x:c>
      <x:c r="O1766" t="str">
        <x:v>248 X ROAD LLC</x:v>
      </x:c>
      <x:c r="P1766" t="str">
        <x:v>1385 BROADWAY, FLOOR 16, NEW YORK, NY, 10018</x:v>
      </x:c>
      <x:c r="Q1766" t="str"/>
      <x:c r="R1766" t="str"/>
      <x:c r="S1766" t="str"/>
      <x:c r="T1766" t="str"/>
      <x:c r="U1766" t="str"/>
      <x:c r="V1766" t="str"/>
      <x:c r="W1766" t="str"/>
      <x:c r="X1766" t="str"/>
      <x:c r="Y1766" t="str">
        <x:v>https://data.ny.gov/Economic-Development/Active-Corporations-Beginning-1800/n9v6-gdp6</x:v>
      </x:c>
    </x:row>
    <x:row r="1767">
      <x:c r="A1767" t="str">
        <x:v>DOS-6-095</x:v>
      </x:c>
      <x:c r="B1767" t="n">
        <x:v>6</x:v>
      </x:c>
      <x:c r="C1767" t="str">
        <x:v>1385 BROADWAY, 16TH FLOOR, NEW YORK, NY, 10018, US</x:v>
      </x:c>
      <x:c r="D1767" t="str">
        <x:v>ICER OF 255 WEST 121ST STREET LLC</x:v>
      </x:c>
      <x:c r="E1767" t="str">
        <x:v>ICER OF 255 WEST 121ST STREET LLC</x:v>
      </x:c>
      <x:c r="F1767" t="str">
        <x:v>Address-corroborated active match</x:v>
      </x:c>
      <x:c r="G1767" t="n">
        <x:v>1</x:v>
      </x:c>
      <x:c r="H1767" t="n">
        <x:v>2</x:v>
      </x:c>
      <x:c r="I1767" t="str">
        <x:v>4113180</x:v>
      </x:c>
      <x:c r="J1767" t="str">
        <x:v>ICER OF 255 WEST 121ST STREET LLC</x:v>
      </x:c>
      <x:c r="K1767" s="55" t="n">
        <x:v>40723</x:v>
      </x:c>
      <x:c r="L1767" t="str">
        <x:v>New York</x:v>
      </x:c>
      <x:c r="M1767" t="str">
        <x:v>New York</x:v>
      </x:c>
      <x:c r="N1767" t="str">
        <x:v>DOMESTIC LIMITED LIABILITY COMPANY</x:v>
      </x:c>
      <x:c r="O1767" t="str">
        <x:v>ICER OF 255 WEST 121ST STREET LLC</x:v>
      </x:c>
      <x:c r="P1767" t="str">
        <x:v>1385 BROADWAY 16TH FL., NEW YORK, NY, 10018</x:v>
      </x:c>
      <x:c r="Q1767" t="str"/>
      <x:c r="R1767" t="str"/>
      <x:c r="S1767" t="str"/>
      <x:c r="T1767" t="str"/>
      <x:c r="U1767" t="str"/>
      <x:c r="V1767" t="str"/>
      <x:c r="W1767" t="str"/>
      <x:c r="X1767" t="str"/>
      <x:c r="Y1767" t="str">
        <x:v>https://data.ny.gov/Economic-Development/Active-Corporations-Beginning-1800/n9v6-gdp6</x:v>
      </x:c>
    </x:row>
    <x:row r="1768">
      <x:c r="A1768" t="str">
        <x:v>DOS-6-095</x:v>
      </x:c>
      <x:c r="B1768" t="n">
        <x:v>6</x:v>
      </x:c>
      <x:c r="C1768" t="str">
        <x:v>1385 BROADWAY, 16TH FLOOR, NEW YORK, NY, 10018, US</x:v>
      </x:c>
      <x:c r="D1768" t="str">
        <x:v>ICER OF 415 WEST 150TH STREET LLC</x:v>
      </x:c>
      <x:c r="E1768" t="str">
        <x:v>ICER OF 415 WEST 150TH STREET LLC</x:v>
      </x:c>
      <x:c r="F1768" t="str">
        <x:v>Address-corroborated active match</x:v>
      </x:c>
      <x:c r="G1768" t="n">
        <x:v>1</x:v>
      </x:c>
      <x:c r="H1768" t="n">
        <x:v>2</x:v>
      </x:c>
      <x:c r="I1768" t="str">
        <x:v>4371613</x:v>
      </x:c>
      <x:c r="J1768" t="str">
        <x:v>ICER OF 415 WEST 150TH STREET LLC</x:v>
      </x:c>
      <x:c r="K1768" s="55" t="n">
        <x:v>41341</x:v>
      </x:c>
      <x:c r="L1768" t="str">
        <x:v>New York</x:v>
      </x:c>
      <x:c r="M1768" t="str">
        <x:v>New York</x:v>
      </x:c>
      <x:c r="N1768" t="str">
        <x:v>DOMESTIC LIMITED LIABILITY COMPANY</x:v>
      </x:c>
      <x:c r="O1768" t="str">
        <x:v>C/O ICER REAL ESTATE SERVICES LLC</x:v>
      </x:c>
      <x:c r="P1768" t="str">
        <x:v>1385 BROADWAY  16TH FLOOR, NEW YORK, NY, 10018</x:v>
      </x:c>
      <x:c r="Q1768" t="str"/>
      <x:c r="R1768" t="str"/>
      <x:c r="S1768" t="str"/>
      <x:c r="T1768" t="str"/>
      <x:c r="U1768" t="str"/>
      <x:c r="V1768" t="str"/>
      <x:c r="W1768" t="str"/>
      <x:c r="X1768" t="str"/>
      <x:c r="Y1768" t="str">
        <x:v>https://data.ny.gov/Economic-Development/Active-Corporations-Beginning-1800/n9v6-gdp6</x:v>
      </x:c>
    </x:row>
    <x:row r="1769">
      <x:c r="A1769" t="str">
        <x:v>DOS-6-095</x:v>
      </x:c>
      <x:c r="B1769" t="n">
        <x:v>6</x:v>
      </x:c>
      <x:c r="C1769" t="str">
        <x:v>1385 BROADWAY, 16TH FLOOR, NEW YORK, NY, 10018, US</x:v>
      </x:c>
      <x:c r="D1769" t="str">
        <x:v>LIONSON TOWER 32H LLC</x:v>
      </x:c>
      <x:c r="E1769" t="str">
        <x:v>LIONSON TOWER 32H LLC</x:v>
      </x:c>
      <x:c r="F1769" t="str">
        <x:v>Address-corroborated active match</x:v>
      </x:c>
      <x:c r="G1769" t="n">
        <x:v>1</x:v>
      </x:c>
      <x:c r="H1769" t="n">
        <x:v>2</x:v>
      </x:c>
      <x:c r="I1769" t="str">
        <x:v>5053783</x:v>
      </x:c>
      <x:c r="J1769" t="str">
        <x:v>LIONSON TOWER 32H LLC</x:v>
      </x:c>
      <x:c r="K1769" s="55" t="n">
        <x:v>42719</x:v>
      </x:c>
      <x:c r="L1769" t="str">
        <x:v>Greene</x:v>
      </x:c>
      <x:c r="M1769" t="str">
        <x:v>New York</x:v>
      </x:c>
      <x:c r="N1769" t="str">
        <x:v>DOMESTIC LIMITED LIABILITY COMPANY</x:v>
      </x:c>
      <x:c r="O1769" t="str">
        <x:v>LIONSON TOWER 32H LLC</x:v>
      </x:c>
      <x:c r="P1769" t="str">
        <x:v>1385 BROADWAY, 16 FLOOR, NEW YORK, NY, 10018</x:v>
      </x:c>
      <x:c r="Q1769" t="str"/>
      <x:c r="R1769" t="str"/>
      <x:c r="S1769" t="str"/>
      <x:c r="T1769" t="str"/>
      <x:c r="U1769" t="str"/>
      <x:c r="V1769" t="str"/>
      <x:c r="W1769" t="str"/>
      <x:c r="X1769" t="str"/>
      <x:c r="Y1769" t="str">
        <x:v>https://data.ny.gov/Economic-Development/Active-Corporations-Beginning-1800/n9v6-gdp6</x:v>
      </x:c>
    </x:row>
    <x:row r="1770">
      <x:c r="A1770" t="str">
        <x:v>DOS-6-095</x:v>
      </x:c>
      <x:c r="B1770" t="n">
        <x:v>6</x:v>
      </x:c>
      <x:c r="C1770" t="str">
        <x:v>1385 BROADWAY, 16TH FLOOR, NEW YORK, NY, 10018, US</x:v>
      </x:c>
      <x:c r="D1770" t="str">
        <x:v>TRUMP TOWER 62M LLC</x:v>
      </x:c>
      <x:c r="E1770" t="str">
        <x:v>TRUMP TOWER 62M LLC</x:v>
      </x:c>
      <x:c r="F1770" t="str">
        <x:v>Address-corroborated active match</x:v>
      </x:c>
      <x:c r="G1770" t="n">
        <x:v>1</x:v>
      </x:c>
      <x:c r="H1770" t="n">
        <x:v>2</x:v>
      </x:c>
      <x:c r="I1770" t="str">
        <x:v>6208856</x:v>
      </x:c>
      <x:c r="J1770" t="str">
        <x:v>TRUMP TOWER 62M LLC</x:v>
      </x:c>
      <x:c r="K1770" s="55" t="n">
        <x:v>44376</x:v>
      </x:c>
      <x:c r="L1770" t="str">
        <x:v>Albany</x:v>
      </x:c>
      <x:c r="M1770" t="str">
        <x:v>New York</x:v>
      </x:c>
      <x:c r="N1770" t="str">
        <x:v>DOMESTIC LIMITED LIABILITY COMPANY</x:v>
      </x:c>
      <x:c r="O1770" t="str">
        <x:v>THE LIMITED LIABILITY COMPANY</x:v>
      </x:c>
      <x:c r="P1770" t="str">
        <x:v>1385 Broadway, New York, NY, 10018</x:v>
      </x:c>
      <x:c r="Q1770" t="str"/>
      <x:c r="R1770" t="str"/>
      <x:c r="S1770" t="str"/>
      <x:c r="T1770" t="str"/>
      <x:c r="U1770" t="str"/>
      <x:c r="V1770" t="str"/>
      <x:c r="W1770" t="str"/>
      <x:c r="X1770" t="str"/>
      <x:c r="Y1770" t="str">
        <x:v>https://data.ny.gov/Economic-Development/Active-Corporations-Beginning-1800/n9v6-gdp6</x:v>
      </x:c>
    </x:row>
    <x:row r="1771">
      <x:c r="A1771" t="str">
        <x:v>DOS-6-095</x:v>
      </x:c>
      <x:c r="B1771" t="n">
        <x:v>6</x:v>
      </x:c>
      <x:c r="C1771" t="str">
        <x:v>1385 BROADWAY, 16TH FLOOR, NEW YORK, NY, 10018, US</x:v>
      </x:c>
      <x:c r="D1771" t="str">
        <x:v>WYCKOFF JEFFERSON LLC</x:v>
      </x:c>
      <x:c r="E1771" t="str">
        <x:v>WYCKOFF JEFFERSON, LLC</x:v>
      </x:c>
      <x:c r="F1771" t="str">
        <x:v>Address-corroborated active match</x:v>
      </x:c>
      <x:c r="G1771" t="n">
        <x:v>1</x:v>
      </x:c>
      <x:c r="H1771" t="n">
        <x:v>2</x:v>
      </x:c>
      <x:c r="I1771" t="str">
        <x:v>5984345</x:v>
      </x:c>
      <x:c r="J1771" t="str">
        <x:v>WYCKOFF JEFFERSON LLC</x:v>
      </x:c>
      <x:c r="K1771" s="55" t="n">
        <x:v>44294</x:v>
      </x:c>
      <x:c r="L1771" t="str">
        <x:v>Albany</x:v>
      </x:c>
      <x:c r="M1771" t="str">
        <x:v>New York</x:v>
      </x:c>
      <x:c r="N1771" t="str">
        <x:v>DOMESTIC LIMITED LIABILITY COMPANY</x:v>
      </x:c>
      <x:c r="O1771" t="str">
        <x:v>WYCKOFF JEFFERSON LLC</x:v>
      </x:c>
      <x:c r="P1771" t="str">
        <x:v>1385 BROADWAY, FLOOR 16, NEW YORK, NY, 10018</x:v>
      </x:c>
      <x:c r="Q1771" t="str"/>
      <x:c r="R1771" t="str"/>
      <x:c r="S1771" t="str"/>
      <x:c r="T1771" t="str"/>
      <x:c r="U1771" t="str"/>
      <x:c r="V1771" t="str"/>
      <x:c r="W1771" t="str"/>
      <x:c r="X1771" t="str"/>
      <x:c r="Y1771" t="str">
        <x:v>https://data.ny.gov/Economic-Development/Active-Corporations-Beginning-1800/n9v6-gdp6</x:v>
      </x:c>
    </x:row>
    <x:row r="1772">
      <x:c r="A1772" t="str">
        <x:v>DOS-6-096</x:v>
      </x:c>
      <x:c r="B1772" t="n">
        <x:v>6</x:v>
      </x:c>
      <x:c r="C1772" t="str">
        <x:v>1451 47TH STREET, BROOKLYN, NY, 11219, US</x:v>
      </x:c>
      <x:c r="D1772" t="str">
        <x:v>2144 ATLANTIC LLC</x:v>
      </x:c>
      <x:c r="E1772" t="str">
        <x:v>2144 ATLANTIC LLC</x:v>
      </x:c>
      <x:c r="F1772" t="str">
        <x:v>Address-corroborated active match</x:v>
      </x:c>
      <x:c r="G1772" t="n">
        <x:v>1</x:v>
      </x:c>
      <x:c r="H1772" t="n">
        <x:v>2</x:v>
      </x:c>
      <x:c r="I1772" t="str">
        <x:v>4970474</x:v>
      </x:c>
      <x:c r="J1772" t="str">
        <x:v>2144 ATLANTIC LLC</x:v>
      </x:c>
      <x:c r="K1772" s="55" t="n">
        <x:v>42550</x:v>
      </x:c>
      <x:c r="L1772" t="str">
        <x:v>Albany</x:v>
      </x:c>
      <x:c r="M1772" t="str">
        <x:v>New York</x:v>
      </x:c>
      <x:c r="N1772" t="str">
        <x:v>DOMESTIC LIMITED LIABILITY COMPANY</x:v>
      </x:c>
      <x:c r="O1772" t="str">
        <x:v>ASHER SUSSMAN</x:v>
      </x:c>
      <x:c r="P1772" t="str">
        <x:v>1451 47TH STREET, BROOKLYN, NY, 11219</x:v>
      </x:c>
      <x:c r="Q1772" t="str"/>
      <x:c r="R1772" t="str"/>
      <x:c r="S1772" t="str"/>
      <x:c r="T1772" t="str"/>
      <x:c r="U1772" t="str"/>
      <x:c r="V1772" t="str"/>
      <x:c r="W1772" t="str"/>
      <x:c r="X1772" t="str"/>
      <x:c r="Y1772" t="str">
        <x:v>https://data.ny.gov/Economic-Development/Active-Corporations-Beginning-1800/n9v6-gdp6</x:v>
      </x:c>
    </x:row>
    <x:row r="1773">
      <x:c r="A1773" t="str">
        <x:v>DOS-6-096</x:v>
      </x:c>
      <x:c r="B1773" t="n">
        <x:v>6</x:v>
      </x:c>
      <x:c r="C1773" t="str">
        <x:v>1451 47TH STREET, BROOKLYN, NY, 11219, US</x:v>
      </x:c>
      <x:c r="D1773" t="str">
        <x:v>871 BERGEN STREET LLC</x:v>
      </x:c>
      <x:c r="E1773" t="str">
        <x:v>871 BERGEN STREET LLC</x:v>
      </x:c>
      <x:c r="F1773" t="str">
        <x:v>Active name match</x:v>
      </x:c>
      <x:c r="G1773" t="n">
        <x:v>1</x:v>
      </x:c>
      <x:c r="H1773" t="n">
        <x:v>1</x:v>
      </x:c>
      <x:c r="I1773" t="str">
        <x:v>3284563</x:v>
      </x:c>
      <x:c r="J1773" t="str">
        <x:v>871 BERGEN STREET LLC</x:v>
      </x:c>
      <x:c r="K1773" s="55" t="n">
        <x:v>38678</x:v>
      </x:c>
      <x:c r="L1773" t="str">
        <x:v>Kings</x:v>
      </x:c>
      <x:c r="M1773" t="str">
        <x:v>New York</x:v>
      </x:c>
      <x:c r="N1773" t="str">
        <x:v>DOMESTIC LIMITED LIABILITY COMPANY</x:v>
      </x:c>
      <x:c r="O1773" t="str">
        <x:v>ASHER SUSSMAN</x:v>
      </x:c>
      <x:c r="P1773" t="str">
        <x:v>1648 61 STREET 2ND FLOOR, BROOKLYN, NY, 11219</x:v>
      </x:c>
      <x:c r="Q1773" t="str"/>
      <x:c r="R1773" t="str"/>
      <x:c r="S1773" t="str"/>
      <x:c r="T1773" t="str"/>
      <x:c r="U1773" t="str"/>
      <x:c r="V1773" t="str"/>
      <x:c r="W1773" t="str"/>
      <x:c r="X1773" t="str"/>
      <x:c r="Y1773" t="str">
        <x:v>https://data.ny.gov/Economic-Development/Active-Corporations-Beginning-1800/n9v6-gdp6</x:v>
      </x:c>
    </x:row>
    <x:row r="1774">
      <x:c r="A1774" t="str">
        <x:v>DOS-6-096</x:v>
      </x:c>
      <x:c r="B1774" t="n">
        <x:v>6</x:v>
      </x:c>
      <x:c r="C1774" t="str">
        <x:v>1451 47TH STREET, BROOKLYN, NY, 11219, US</x:v>
      </x:c>
      <x:c r="D1774" t="str">
        <x:v>ASUS HOLDINGS LLC</x:v>
      </x:c>
      <x:c r="E1774" t="str">
        <x:v>ASUS HOLDINGS LLC</x:v>
      </x:c>
      <x:c r="F1774" t="str">
        <x:v>Active name match</x:v>
      </x:c>
      <x:c r="G1774" t="n">
        <x:v>1</x:v>
      </x:c>
      <x:c r="H1774" t="n">
        <x:v>0</x:v>
      </x:c>
      <x:c r="I1774" t="str">
        <x:v>4742954</x:v>
      </x:c>
      <x:c r="J1774" t="str">
        <x:v>ASUS HOLDINGS LLC</x:v>
      </x:c>
      <x:c r="K1774" s="55" t="n">
        <x:v>42110</x:v>
      </x:c>
      <x:c r="L1774" t="str">
        <x:v>Albany</x:v>
      </x:c>
      <x:c r="M1774" t="str">
        <x:v>New York</x:v>
      </x:c>
      <x:c r="N1774" t="str">
        <x:v>DOMESTIC LIMITED LIABILITY COMPANY</x:v>
      </x:c>
      <x:c r="O1774" t="str">
        <x:v>REGISTERED AGENTS INC.</x:v>
      </x:c>
      <x:c r="P1774" t="str">
        <x:v>418 BROADWAY STE R, ALBANY, NY, 12207</x:v>
      </x:c>
      <x:c r="Q1774" t="str"/>
      <x:c r="R1774" t="str"/>
      <x:c r="S1774" t="str">
        <x:v>REGISTERED AGENTS INC.</x:v>
      </x:c>
      <x:c r="T1774" t="str">
        <x:v>418 BROADWAY, STE R, ALBANY, NEW YORK, 12207</x:v>
      </x:c>
      <x:c r="U1774" t="str"/>
      <x:c r="V1774" t="str"/>
      <x:c r="W1774" t="str"/>
      <x:c r="X1774" t="str"/>
      <x:c r="Y1774" t="str">
        <x:v>https://data.ny.gov/Economic-Development/Active-Corporations-Beginning-1800/n9v6-gdp6</x:v>
      </x:c>
    </x:row>
    <x:row r="1775">
      <x:c r="A1775" t="str">
        <x:v>DOS-6-096</x:v>
      </x:c>
      <x:c r="B1775" t="n">
        <x:v>6</x:v>
      </x:c>
      <x:c r="C1775" t="str">
        <x:v>1451 47TH STREET, BROOKLYN, NY, 11219, US</x:v>
      </x:c>
      <x:c r="D1775" t="str">
        <x:v>AVENUE D PROPERTIES LLC</x:v>
      </x:c>
      <x:c r="E1775" t="str">
        <x:v>AVENUE D PROPERTIES LLC</x:v>
      </x:c>
      <x:c r="F1775" t="str">
        <x:v>Active name match</x:v>
      </x:c>
      <x:c r="G1775" t="n">
        <x:v>1</x:v>
      </x:c>
      <x:c r="H1775" t="n">
        <x:v>0</x:v>
      </x:c>
      <x:c r="I1775" t="str">
        <x:v>4686395</x:v>
      </x:c>
      <x:c r="J1775" t="str">
        <x:v>AVENUE D PROPERTIES LLC</x:v>
      </x:c>
      <x:c r="K1775" s="55" t="n">
        <x:v>42003</x:v>
      </x:c>
      <x:c r="L1775" t="str">
        <x:v>Kings</x:v>
      </x:c>
      <x:c r="M1775" t="str">
        <x:v>New York</x:v>
      </x:c>
      <x:c r="N1775" t="str">
        <x:v>DOMESTIC LIMITED LIABILITY COMPANY</x:v>
      </x:c>
      <x:c r="O1775" t="str">
        <x:v>AVENUE D PROPERTIES LLC</x:v>
      </x:c>
      <x:c r="P1775" t="str">
        <x:v>1648, 61 STREET 2ND FLOOR, BROOKLYN, NY, 11204</x:v>
      </x:c>
      <x:c r="Q1775" t="str"/>
      <x:c r="R1775" t="str"/>
      <x:c r="S1775" t="str"/>
      <x:c r="T1775" t="str"/>
      <x:c r="U1775" t="str"/>
      <x:c r="V1775" t="str"/>
      <x:c r="W1775" t="str"/>
      <x:c r="X1775" t="str"/>
      <x:c r="Y1775" t="str">
        <x:v>https://data.ny.gov/Economic-Development/Active-Corporations-Beginning-1800/n9v6-gdp6</x:v>
      </x:c>
    </x:row>
    <x:row r="1776">
      <x:c r="A1776" t="str">
        <x:v>DOS-6-096</x:v>
      </x:c>
      <x:c r="B1776" t="n">
        <x:v>6</x:v>
      </x:c>
      <x:c r="C1776" t="str">
        <x:v>1451 47TH STREET, BROOKLYN, NY, 11219, US</x:v>
      </x:c>
      <x:c r="D1776" t="str">
        <x:v>E96 REALTY LLC</x:v>
      </x:c>
      <x:c r="E1776" t="str">
        <x:v>E96 REALTY LLC</x:v>
      </x:c>
      <x:c r="F1776" t="str">
        <x:v>Active name match</x:v>
      </x:c>
      <x:c r="G1776" t="n">
        <x:v>1</x:v>
      </x:c>
      <x:c r="H1776" t="n">
        <x:v>0</x:v>
      </x:c>
      <x:c r="I1776" t="str">
        <x:v>4950440</x:v>
      </x:c>
      <x:c r="J1776" t="str">
        <x:v>E96 REALTY LLC</x:v>
      </x:c>
      <x:c r="K1776" s="55" t="n">
        <x:v>42510</x:v>
      </x:c>
      <x:c r="L1776" t="str">
        <x:v>Kings</x:v>
      </x:c>
      <x:c r="M1776" t="str">
        <x:v>New York</x:v>
      </x:c>
      <x:c r="N1776" t="str">
        <x:v>DOMESTIC LIMITED LIABILITY COMPANY</x:v>
      </x:c>
      <x:c r="O1776" t="str">
        <x:v>E96 REALTY LLC</x:v>
      </x:c>
      <x:c r="P1776" t="str">
        <x:v>1648 61 STREET 2ND FLOOR, BROOKLYN, NY, 11204</x:v>
      </x:c>
      <x:c r="Q1776" t="str"/>
      <x:c r="R1776" t="str"/>
      <x:c r="S1776" t="str"/>
      <x:c r="T1776" t="str"/>
      <x:c r="U1776" t="str"/>
      <x:c r="V1776" t="str"/>
      <x:c r="W1776" t="str"/>
      <x:c r="X1776" t="str"/>
      <x:c r="Y1776" t="str">
        <x:v>https://data.ny.gov/Economic-Development/Active-Corporations-Beginning-1800/n9v6-gdp6</x:v>
      </x:c>
    </x:row>
    <x:row r="1777">
      <x:c r="A1777" t="str">
        <x:v>DOS-6-096</x:v>
      </x:c>
      <x:c r="B1777" t="n">
        <x:v>6</x:v>
      </x:c>
      <x:c r="C1777" t="str">
        <x:v>1451 47TH STREET, BROOKLYN, NY, 11219, US</x:v>
      </x:c>
      <x:c r="D1777" t="str">
        <x:v>HERZL REALTY LLC</x:v>
      </x:c>
      <x:c r="E1777" t="str">
        <x:v>HERZL REALTY LLC</x:v>
      </x:c>
      <x:c r="F1777" t="str">
        <x:v>Active name match</x:v>
      </x:c>
      <x:c r="G1777" t="n">
        <x:v>1</x:v>
      </x:c>
      <x:c r="H1777" t="n">
        <x:v>0</x:v>
      </x:c>
      <x:c r="I1777" t="str">
        <x:v>4901672</x:v>
      </x:c>
      <x:c r="J1777" t="str">
        <x:v>HERZL REALTY LLC</x:v>
      </x:c>
      <x:c r="K1777" s="55" t="n">
        <x:v>42424</x:v>
      </x:c>
      <x:c r="L1777" t="str">
        <x:v>Kings</x:v>
      </x:c>
      <x:c r="M1777" t="str">
        <x:v>New York</x:v>
      </x:c>
      <x:c r="N1777" t="str">
        <x:v>DOMESTIC LIMITED LIABILITY COMPANY</x:v>
      </x:c>
      <x:c r="O1777" t="str">
        <x:v>HERZL REALTY LLC</x:v>
      </x:c>
      <x:c r="P1777" t="str">
        <x:v>1648, 61 STREET 2ND FLOOR, BROOKLYN, NY, 11204</x:v>
      </x:c>
      <x:c r="Q1777" t="str"/>
      <x:c r="R1777" t="str"/>
      <x:c r="S1777" t="str"/>
      <x:c r="T1777" t="str"/>
      <x:c r="U1777" t="str"/>
      <x:c r="V1777" t="str"/>
      <x:c r="W1777" t="str"/>
      <x:c r="X1777" t="str"/>
      <x:c r="Y1777" t="str">
        <x:v>https://data.ny.gov/Economic-Development/Active-Corporations-Beginning-1800/n9v6-gdp6</x:v>
      </x:c>
    </x:row>
    <x:row r="1778">
      <x:c r="A1778" t="str">
        <x:v>DOS-6-097</x:v>
      </x:c>
      <x:c r="B1778" t="n">
        <x:v>6</x:v>
      </x:c>
      <x:c r="C1778" t="str">
        <x:v>151-08 6TH ROAD, WHITESTONE, NY, 11357, US</x:v>
      </x:c>
      <x:c r="D1778" t="str">
        <x:v>47TH AVENUE WOODSIDE LLC</x:v>
      </x:c>
      <x:c r="E1778" t="str">
        <x:v>47TH AVENUE WOODSIDE LLC</x:v>
      </x:c>
      <x:c r="F1778" t="str">
        <x:v>Active name match</x:v>
      </x:c>
      <x:c r="G1778" t="n">
        <x:v>1</x:v>
      </x:c>
      <x:c r="H1778" t="n">
        <x:v>1</x:v>
      </x:c>
      <x:c r="I1778" t="str">
        <x:v>4756739</x:v>
      </x:c>
      <x:c r="J1778" t="str">
        <x:v>47TH AVENUE WOODSIDE, LLC</x:v>
      </x:c>
      <x:c r="K1778" s="55" t="n">
        <x:v>42135</x:v>
      </x:c>
      <x:c r="L1778" t="str">
        <x:v>Queens</x:v>
      </x:c>
      <x:c r="M1778" t="str">
        <x:v>New York</x:v>
      </x:c>
      <x:c r="N1778" t="str">
        <x:v>DOMESTIC LIMITED LIABILITY COMPANY</x:v>
      </x:c>
      <x:c r="O1778" t="str">
        <x:v>47TH AVENUE WOODSIDE, LLC</x:v>
      </x:c>
      <x:c r="P1778" t="str">
        <x:v>151-08 6TH RD., WHITESTONE, NY, 11357</x:v>
      </x:c>
      <x:c r="Q1778" t="str"/>
      <x:c r="R1778" t="str"/>
      <x:c r="S1778" t="str"/>
      <x:c r="T1778" t="str"/>
      <x:c r="U1778" t="str"/>
      <x:c r="V1778" t="str"/>
      <x:c r="W1778" t="str"/>
      <x:c r="X1778" t="str"/>
      <x:c r="Y1778" t="str">
        <x:v>https://data.ny.gov/Economic-Development/Active-Corporations-Beginning-1800/n9v6-gdp6</x:v>
      </x:c>
    </x:row>
    <x:row r="1779">
      <x:c r="A1779" t="str">
        <x:v>DOS-6-097</x:v>
      </x:c>
      <x:c r="B1779" t="n">
        <x:v>6</x:v>
      </x:c>
      <x:c r="C1779" t="str">
        <x:v>151-08 6TH ROAD, WHITESTONE, NY, 11357, US</x:v>
      </x:c>
      <x:c r="D1779" t="str">
        <x:v>AGIG LLC</x:v>
      </x:c>
      <x:c r="E1779" t="str">
        <x:v>AGIG LLC</x:v>
      </x:c>
      <x:c r="F1779" t="str">
        <x:v>Address-corroborated active match</x:v>
      </x:c>
      <x:c r="G1779" t="n">
        <x:v>1</x:v>
      </x:c>
      <x:c r="H1779" t="n">
        <x:v>2</x:v>
      </x:c>
      <x:c r="I1779" t="str">
        <x:v>5546037</x:v>
      </x:c>
      <x:c r="J1779" t="str">
        <x:v>AGIG LLC</x:v>
      </x:c>
      <x:c r="K1779" s="55" t="n">
        <x:v>43588</x:v>
      </x:c>
      <x:c r="L1779" t="str">
        <x:v>Queens</x:v>
      </x:c>
      <x:c r="M1779" t="str">
        <x:v>New York</x:v>
      </x:c>
      <x:c r="N1779" t="str">
        <x:v>DOMESTIC LIMITED LIABILITY COMPANY</x:v>
      </x:c>
      <x:c r="O1779" t="str">
        <x:v>AGIG LLC</x:v>
      </x:c>
      <x:c r="P1779" t="str">
        <x:v>151-08 6TH ROAD, WHITESTONE, NY, 11357</x:v>
      </x:c>
      <x:c r="Q1779" t="str"/>
      <x:c r="R1779" t="str"/>
      <x:c r="S1779" t="str"/>
      <x:c r="T1779" t="str"/>
      <x:c r="U1779" t="str"/>
      <x:c r="V1779" t="str"/>
      <x:c r="W1779" t="str"/>
      <x:c r="X1779" t="str"/>
      <x:c r="Y1779" t="str">
        <x:v>https://data.ny.gov/Economic-Development/Active-Corporations-Beginning-1800/n9v6-gdp6</x:v>
      </x:c>
    </x:row>
    <x:row r="1780">
      <x:c r="A1780" t="str">
        <x:v>DOS-6-097</x:v>
      </x:c>
      <x:c r="B1780" t="n">
        <x:v>6</x:v>
      </x:c>
      <x:c r="C1780" t="str">
        <x:v>151-08 6TH ROAD, WHITESTONE, NY, 11357, US</x:v>
      </x:c>
      <x:c r="D1780" t="str">
        <x:v>ANTHONY AND SONS PROPERTIES LLC</x:v>
      </x:c>
      <x:c r="E1780" t="str">
        <x:v>ANTHONY AND SONS PROPERTIES LLC</x:v>
      </x:c>
      <x:c r="F1780" t="str">
        <x:v>Active name match</x:v>
      </x:c>
      <x:c r="G1780" t="n">
        <x:v>1</x:v>
      </x:c>
      <x:c r="H1780" t="n">
        <x:v>0</x:v>
      </x:c>
      <x:c r="I1780" t="str">
        <x:v>5438696</x:v>
      </x:c>
      <x:c r="J1780" t="str">
        <x:v>ANTHONY AND SONS PROPERTIES LLC</x:v>
      </x:c>
      <x:c r="K1780" s="55" t="n">
        <x:v>43410</x:v>
      </x:c>
      <x:c r="L1780" t="str">
        <x:v>Albany</x:v>
      </x:c>
      <x:c r="M1780" t="str">
        <x:v>New York</x:v>
      </x:c>
      <x:c r="N1780" t="str">
        <x:v>DOMESTIC LIMITED LIABILITY COMPANY</x:v>
      </x:c>
      <x:c r="O1780" t="str">
        <x:v>REGISTERED AGENTS INC.</x:v>
      </x:c>
      <x:c r="P1780" t="str">
        <x:v>90 STATE STREET, STE 700 OFFICE, ALBANY, NY, 12207</x:v>
      </x:c>
      <x:c r="Q1780" t="str"/>
      <x:c r="R1780" t="str"/>
      <x:c r="S1780" t="str"/>
      <x:c r="T1780" t="str"/>
      <x:c r="U1780" t="str"/>
      <x:c r="V1780" t="str"/>
      <x:c r="W1780" t="str"/>
      <x:c r="X1780" t="str"/>
      <x:c r="Y1780" t="str">
        <x:v>https://data.ny.gov/Economic-Development/Active-Corporations-Beginning-1800/n9v6-gdp6</x:v>
      </x:c>
    </x:row>
    <x:row r="1781">
      <x:c r="A1781" t="str">
        <x:v>DOS-6-097</x:v>
      </x:c>
      <x:c r="B1781" t="n">
        <x:v>6</x:v>
      </x:c>
      <x:c r="C1781" t="str">
        <x:v>151-08 6TH ROAD, WHITESTONE, NY, 11357, US</x:v>
      </x:c>
      <x:c r="D1781" t="str">
        <x:v>FOUR GRACI SEASONS LLC</x:v>
      </x:c>
      <x:c r="E1781" t="str">
        <x:v>FOUR GRACI SEASONS LLC</x:v>
      </x:c>
      <x:c r="F1781" t="str">
        <x:v>Address-corroborated active match</x:v>
      </x:c>
      <x:c r="G1781" t="n">
        <x:v>1</x:v>
      </x:c>
      <x:c r="H1781" t="n">
        <x:v>2</x:v>
      </x:c>
      <x:c r="I1781" t="str">
        <x:v>7537897</x:v>
      </x:c>
      <x:c r="J1781" t="str">
        <x:v>FOUR GRACI SEASONS LLC</x:v>
      </x:c>
      <x:c r="K1781" s="55" t="n">
        <x:v>45707</x:v>
      </x:c>
      <x:c r="L1781" t="str">
        <x:v>Queens</x:v>
      </x:c>
      <x:c r="M1781" t="str">
        <x:v>New York</x:v>
      </x:c>
      <x:c r="N1781" t="str">
        <x:v>DOMESTIC LIMITED LIABILITY COMPANY</x:v>
      </x:c>
      <x:c r="O1781" t="str">
        <x:v>FOUR GRACI SEASONS LLC</x:v>
      </x:c>
      <x:c r="P1781" t="str">
        <x:v>151-08 6th Road, Whitestone, NY, 11357</x:v>
      </x:c>
      <x:c r="Q1781" t="str"/>
      <x:c r="R1781" t="str"/>
      <x:c r="S1781" t="str"/>
      <x:c r="T1781" t="str"/>
      <x:c r="U1781" t="str"/>
      <x:c r="V1781" t="str"/>
      <x:c r="W1781" t="str"/>
      <x:c r="X1781" t="str"/>
      <x:c r="Y1781" t="str">
        <x:v>https://data.ny.gov/Economic-Development/Active-Corporations-Beginning-1800/n9v6-gdp6</x:v>
      </x:c>
    </x:row>
    <x:row r="1782">
      <x:c r="A1782" t="str">
        <x:v>DOS-6-097</x:v>
      </x:c>
      <x:c r="B1782" t="n">
        <x:v>6</x:v>
      </x:c>
      <x:c r="C1782" t="str">
        <x:v>151-08 6TH ROAD, WHITESTONE, NY, 11357, US</x:v>
      </x:c>
      <x:c r="D1782" t="str">
        <x:v>GRACIOUS GARDENS LLC</x:v>
      </x:c>
      <x:c r="E1782" t="str">
        <x:v>GRACIOUS GARDENS LLC</x:v>
      </x:c>
      <x:c r="F1782" t="str">
        <x:v>Address-corroborated active match</x:v>
      </x:c>
      <x:c r="G1782" t="n">
        <x:v>1</x:v>
      </x:c>
      <x:c r="H1782" t="n">
        <x:v>2</x:v>
      </x:c>
      <x:c r="I1782" t="str">
        <x:v>6632279</x:v>
      </x:c>
      <x:c r="J1782" t="str">
        <x:v>GRACIOUS GARDENS LLC</x:v>
      </x:c>
      <x:c r="K1782" s="55" t="n">
        <x:v>44866</x:v>
      </x:c>
      <x:c r="L1782" t="str">
        <x:v>Queens</x:v>
      </x:c>
      <x:c r="M1782" t="str">
        <x:v>New York</x:v>
      </x:c>
      <x:c r="N1782" t="str">
        <x:v>DOMESTIC LIMITED LIABILITY COMPANY</x:v>
      </x:c>
      <x:c r="O1782" t="str">
        <x:v>THE LIMITED LIABILITY COMPANY</x:v>
      </x:c>
      <x:c r="P1782" t="str">
        <x:v>151-08 6th Road, Whitestone, NY, 11357</x:v>
      </x:c>
      <x:c r="Q1782" t="str"/>
      <x:c r="R1782" t="str"/>
      <x:c r="S1782" t="str"/>
      <x:c r="T1782" t="str"/>
      <x:c r="U1782" t="str"/>
      <x:c r="V1782" t="str"/>
      <x:c r="W1782" t="str"/>
      <x:c r="X1782" t="str"/>
      <x:c r="Y1782" t="str">
        <x:v>https://data.ny.gov/Economic-Development/Active-Corporations-Beginning-1800/n9v6-gdp6</x:v>
      </x:c>
    </x:row>
    <x:row r="1783">
      <x:c r="A1783" t="str">
        <x:v>DOS-6-097</x:v>
      </x:c>
      <x:c r="B1783" t="n">
        <x:v>6</x:v>
      </x:c>
      <x:c r="C1783" t="str">
        <x:v>151-08 6TH ROAD, WHITESTONE, NY, 11357, US</x:v>
      </x:c>
      <x:c r="D1783" t="str">
        <x:v>TINY TREASURES NURSERY LLC</x:v>
      </x:c>
      <x:c r="E1783" t="str">
        <x:v>TINY TREASURES NURSERY, LLC</x:v>
      </x:c>
      <x:c r="F1783" t="str">
        <x:v>Active name match</x:v>
      </x:c>
      <x:c r="G1783" t="n">
        <x:v>1</x:v>
      </x:c>
      <x:c r="H1783" t="n">
        <x:v>0</x:v>
      </x:c>
      <x:c r="I1783" t="str">
        <x:v>3101716</x:v>
      </x:c>
      <x:c r="J1783" t="str">
        <x:v>TINY TREASURES NURSERY, LLC</x:v>
      </x:c>
      <x:c r="K1783" s="55" t="n">
        <x:v>38244</x:v>
      </x:c>
      <x:c r="L1783" t="str">
        <x:v>Queens</x:v>
      </x:c>
      <x:c r="M1783" t="str">
        <x:v>New York</x:v>
      </x:c>
      <x:c r="N1783" t="str">
        <x:v>DOMESTIC LIMITED LIABILITY COMPANY</x:v>
      </x:c>
      <x:c r="O1783" t="str">
        <x:v>TINY TREASURES NURSERY, LLC</x:v>
      </x:c>
      <x:c r="P1783" t="str">
        <x:v>171-11 32 AVENUE, FLUSHING, NY, 11358</x:v>
      </x:c>
      <x:c r="Q1783" t="str"/>
      <x:c r="R1783" t="str"/>
      <x:c r="S1783" t="str"/>
      <x:c r="T1783" t="str"/>
      <x:c r="U1783" t="str"/>
      <x:c r="V1783" t="str"/>
      <x:c r="W1783" t="str"/>
      <x:c r="X1783" t="str"/>
      <x:c r="Y1783" t="str">
        <x:v>https://data.ny.gov/Economic-Development/Active-Corporations-Beginning-1800/n9v6-gdp6</x:v>
      </x:c>
    </x:row>
    <x:row r="1784">
      <x:c r="A1784" t="str">
        <x:v>DOS-6-098</x:v>
      </x:c>
      <x:c r="B1784" t="n">
        <x:v>6</x:v>
      </x:c>
      <x:c r="C1784" t="str">
        <x:v>1555 48TH STREET, BROOKLYN, NY, 11219, US</x:v>
      </x:c>
      <x:c r="D1784" t="str">
        <x:v>1155 38TH STREET LLC</x:v>
      </x:c>
      <x:c r="E1784" t="str">
        <x:v>1155 38TH STREET LLC</x:v>
      </x:c>
      <x:c r="F1784" t="str">
        <x:v>Active name match</x:v>
      </x:c>
      <x:c r="G1784" t="n">
        <x:v>1</x:v>
      </x:c>
      <x:c r="H1784" t="n">
        <x:v>0</x:v>
      </x:c>
      <x:c r="I1784" t="str">
        <x:v>4936953</x:v>
      </x:c>
      <x:c r="J1784" t="str">
        <x:v>1155 38TH STREET LLC</x:v>
      </x:c>
      <x:c r="K1784" s="55" t="n">
        <x:v>42487</x:v>
      </x:c>
      <x:c r="L1784" t="str">
        <x:v>Kings</x:v>
      </x:c>
      <x:c r="M1784" t="str">
        <x:v>New York</x:v>
      </x:c>
      <x:c r="N1784" t="str">
        <x:v>DOMESTIC LIMITED LIABILITY COMPANY</x:v>
      </x:c>
      <x:c r="O1784" t="str">
        <x:v>C/O MAX MARKUS KATZ, P.C.</x:v>
      </x:c>
      <x:c r="P1784" t="str">
        <x:v>363 SEVENTH AVENUE, NEW YORK, NY, 10001</x:v>
      </x:c>
      <x:c r="Q1784" t="str"/>
      <x:c r="R1784" t="str"/>
      <x:c r="S1784" t="str"/>
      <x:c r="T1784" t="str"/>
      <x:c r="U1784" t="str"/>
      <x:c r="V1784" t="str"/>
      <x:c r="W1784" t="str"/>
      <x:c r="X1784" t="str"/>
      <x:c r="Y1784" t="str">
        <x:v>https://data.ny.gov/Economic-Development/Active-Corporations-Beginning-1800/n9v6-gdp6</x:v>
      </x:c>
    </x:row>
    <x:row r="1785">
      <x:c r="A1785" t="str">
        <x:v>DOS-6-098</x:v>
      </x:c>
      <x:c r="B1785" t="n">
        <x:v>6</x:v>
      </x:c>
      <x:c r="C1785" t="str">
        <x:v>1555 48TH STREET, BROOKLYN, NY, 11219, US</x:v>
      </x:c>
      <x:c r="D1785" t="str">
        <x:v>1159 38TH STREET LLC</x:v>
      </x:c>
      <x:c r="E1785" t="str">
        <x:v>1159 38TH STREET LLC</x:v>
      </x:c>
      <x:c r="F1785" t="str">
        <x:v>Active name match</x:v>
      </x:c>
      <x:c r="G1785" t="n">
        <x:v>1</x:v>
      </x:c>
      <x:c r="H1785" t="n">
        <x:v>0</x:v>
      </x:c>
      <x:c r="I1785" t="str">
        <x:v>4936956</x:v>
      </x:c>
      <x:c r="J1785" t="str">
        <x:v>1159 38TH STREET LLC</x:v>
      </x:c>
      <x:c r="K1785" s="55" t="n">
        <x:v>42487</x:v>
      </x:c>
      <x:c r="L1785" t="str">
        <x:v>Kings</x:v>
      </x:c>
      <x:c r="M1785" t="str">
        <x:v>New York</x:v>
      </x:c>
      <x:c r="N1785" t="str">
        <x:v>DOMESTIC LIMITED LIABILITY COMPANY</x:v>
      </x:c>
      <x:c r="O1785" t="str">
        <x:v>C/O MAX MARKUS KATZ, P.C.</x:v>
      </x:c>
      <x:c r="P1785" t="str">
        <x:v>363 SEVENTH AVENUE, NEW YORK, NY, 10001</x:v>
      </x:c>
      <x:c r="Q1785" t="str"/>
      <x:c r="R1785" t="str"/>
      <x:c r="S1785" t="str"/>
      <x:c r="T1785" t="str"/>
      <x:c r="U1785" t="str"/>
      <x:c r="V1785" t="str"/>
      <x:c r="W1785" t="str"/>
      <x:c r="X1785" t="str"/>
      <x:c r="Y1785" t="str">
        <x:v>https://data.ny.gov/Economic-Development/Active-Corporations-Beginning-1800/n9v6-gdp6</x:v>
      </x:c>
    </x:row>
    <x:row r="1786">
      <x:c r="A1786" t="str">
        <x:v>DOS-6-098</x:v>
      </x:c>
      <x:c r="B1786" t="n">
        <x:v>6</x:v>
      </x:c>
      <x:c r="C1786" t="str">
        <x:v>1555 48TH STREET, BROOKLYN, NY, 11219, US</x:v>
      </x:c>
      <x:c r="D1786" t="str">
        <x:v>1555 48 ST LLC</x:v>
      </x:c>
      <x:c r="E1786" t="str">
        <x:v>1555 48 ST. LLC</x:v>
      </x:c>
      <x:c r="F1786" t="str">
        <x:v>Address-corroborated active match</x:v>
      </x:c>
      <x:c r="G1786" t="n">
        <x:v>1</x:v>
      </x:c>
      <x:c r="H1786" t="n">
        <x:v>2</x:v>
      </x:c>
      <x:c r="I1786" t="str">
        <x:v>4500006</x:v>
      </x:c>
      <x:c r="J1786" t="str">
        <x:v>1555 48 ST. LLC</x:v>
      </x:c>
      <x:c r="K1786" s="55" t="n">
        <x:v>41620</x:v>
      </x:c>
      <x:c r="L1786" t="str">
        <x:v>Kings</x:v>
      </x:c>
      <x:c r="M1786" t="str">
        <x:v>New York</x:v>
      </x:c>
      <x:c r="N1786" t="str">
        <x:v>DOMESTIC LIMITED LIABILITY COMPANY</x:v>
      </x:c>
      <x:c r="O1786" t="str">
        <x:v>ABE FRIEDMAN</x:v>
      </x:c>
      <x:c r="P1786" t="str">
        <x:v>1555 48TH STREET, BROOKLYN, NY, 112193475</x:v>
      </x:c>
      <x:c r="Q1786" t="str"/>
      <x:c r="R1786" t="str"/>
      <x:c r="S1786" t="str"/>
      <x:c r="T1786" t="str"/>
      <x:c r="U1786" t="str"/>
      <x:c r="V1786" t="str"/>
      <x:c r="W1786" t="str"/>
      <x:c r="X1786" t="str"/>
      <x:c r="Y1786" t="str">
        <x:v>https://data.ny.gov/Economic-Development/Active-Corporations-Beginning-1800/n9v6-gdp6</x:v>
      </x:c>
    </x:row>
    <x:row r="1787">
      <x:c r="A1787" t="str">
        <x:v>DOS-6-098</x:v>
      </x:c>
      <x:c r="B1787" t="n">
        <x:v>6</x:v>
      </x:c>
      <x:c r="C1787" t="str">
        <x:v>1555 48TH STREET, BROOKLYN, NY, 11219, US</x:v>
      </x:c>
      <x:c r="D1787" t="str">
        <x:v>4822 8TH AVENUE LLC</x:v>
      </x:c>
      <x:c r="E1787" t="str">
        <x:v>4822 8TH AVENUE LLC</x:v>
      </x:c>
      <x:c r="F1787" t="str">
        <x:v>Active name match</x:v>
      </x:c>
      <x:c r="G1787" t="n">
        <x:v>1</x:v>
      </x:c>
      <x:c r="H1787" t="n">
        <x:v>0</x:v>
      </x:c>
      <x:c r="I1787" t="str">
        <x:v>5376585</x:v>
      </x:c>
      <x:c r="J1787" t="str">
        <x:v>4822 8TH AVENUE LLC</x:v>
      </x:c>
      <x:c r="K1787" s="55" t="n">
        <x:v>43298</x:v>
      </x:c>
      <x:c r="L1787" t="str">
        <x:v>Kings</x:v>
      </x:c>
      <x:c r="M1787" t="str">
        <x:v>New York</x:v>
      </x:c>
      <x:c r="N1787" t="str">
        <x:v>DOMESTIC LIMITED LIABILITY COMPANY</x:v>
      </x:c>
      <x:c r="O1787" t="str">
        <x:v>C/O MAX MARKUS KATZ, P.C.</x:v>
      </x:c>
      <x:c r="P1787" t="str">
        <x:v>363 SEVENTH AVENUE, NEW YORK, NY, 10001</x:v>
      </x:c>
      <x:c r="Q1787" t="str"/>
      <x:c r="R1787" t="str"/>
      <x:c r="S1787" t="str"/>
      <x:c r="T1787" t="str"/>
      <x:c r="U1787" t="str"/>
      <x:c r="V1787" t="str"/>
      <x:c r="W1787" t="str"/>
      <x:c r="X1787" t="str"/>
      <x:c r="Y1787" t="str">
        <x:v>https://data.ny.gov/Economic-Development/Active-Corporations-Beginning-1800/n9v6-gdp6</x:v>
      </x:c>
    </x:row>
    <x:row r="1788">
      <x:c r="A1788" t="str">
        <x:v>DOS-6-098</x:v>
      </x:c>
      <x:c r="B1788" t="n">
        <x:v>6</x:v>
      </x:c>
      <x:c r="C1788" t="str">
        <x:v>1555 48TH STREET, BROOKLYN, NY, 11219, US</x:v>
      </x:c>
      <x:c r="D1788" t="str">
        <x:v>914 MACDONALD AVENUE LLC</x:v>
      </x:c>
      <x:c r="E1788" t="str">
        <x:v>914 MACDONALD AVENUE LLC</x:v>
      </x:c>
      <x:c r="F1788" t="str">
        <x:v>No active DOS match</x:v>
      </x:c>
      <x:c r="G1788" t="n">
        <x:v>0</x:v>
      </x:c>
      <x:c r="H1788" t="n">
        <x:v>0</x:v>
      </x:c>
      <x:c r="I1788" t="str"/>
      <x:c r="J1788" t="str"/>
      <x:c r="K1788" s="55" t="str"/>
      <x:c r="L1788" t="str"/>
      <x:c r="M1788" t="str"/>
      <x:c r="N1788" t="str"/>
      <x:c r="O1788" t="str"/>
      <x:c r="P1788" t="str"/>
      <x:c r="Q1788" t="str"/>
      <x:c r="R1788" t="str"/>
      <x:c r="S1788" t="str"/>
      <x:c r="T1788" t="str"/>
      <x:c r="U1788" t="str"/>
      <x:c r="V1788" t="str"/>
      <x:c r="W1788" t="str"/>
      <x:c r="X1788" t="str"/>
      <x:c r="Y1788" t="str">
        <x:v>https://data.ny.gov/Economic-Development/Active-Corporations-Beginning-1800/n9v6-gdp6</x:v>
      </x:c>
    </x:row>
    <x:row r="1789">
      <x:c r="A1789" t="str">
        <x:v>DOS-6-098</x:v>
      </x:c>
      <x:c r="B1789" t="n">
        <x:v>6</x:v>
      </x:c>
      <x:c r="C1789" t="str">
        <x:v>1555 48TH STREET, BROOKLYN, NY, 11219, US</x:v>
      </x:c>
      <x:c r="D1789" t="str">
        <x:v>976 MACDONALD AVENUE LLC</x:v>
      </x:c>
      <x:c r="E1789" t="str">
        <x:v>976 MACDONALD AVENUE LLC</x:v>
      </x:c>
      <x:c r="F1789" t="str">
        <x:v>Active name match</x:v>
      </x:c>
      <x:c r="G1789" t="n">
        <x:v>1</x:v>
      </x:c>
      <x:c r="H1789" t="n">
        <x:v>0</x:v>
      </x:c>
      <x:c r="I1789" t="str">
        <x:v>4998959</x:v>
      </x:c>
      <x:c r="J1789" t="str">
        <x:v>976 MACDONALD AVENUE LLC</x:v>
      </x:c>
      <x:c r="K1789" s="55" t="n">
        <x:v>42607</x:v>
      </x:c>
      <x:c r="L1789" t="str">
        <x:v>Kings</x:v>
      </x:c>
      <x:c r="M1789" t="str">
        <x:v>New York</x:v>
      </x:c>
      <x:c r="N1789" t="str">
        <x:v>DOMESTIC LIMITED LIABILITY COMPANY</x:v>
      </x:c>
      <x:c r="O1789" t="str">
        <x:v>MAX MARKUS KATZ, P.C.</x:v>
      </x:c>
      <x:c r="P1789" t="str">
        <x:v>363 SEVENTH AVENUE, NEW YORK, NY, 10001</x:v>
      </x:c>
      <x:c r="Q1789" t="str"/>
      <x:c r="R1789" t="str"/>
      <x:c r="S1789" t="str"/>
      <x:c r="T1789" t="str"/>
      <x:c r="U1789" t="str"/>
      <x:c r="V1789" t="str"/>
      <x:c r="W1789" t="str"/>
      <x:c r="X1789" t="str"/>
      <x:c r="Y1789" t="str">
        <x:v>https://data.ny.gov/Economic-Development/Active-Corporations-Beginning-1800/n9v6-gdp6</x:v>
      </x:c>
    </x:row>
    <x:row r="1790">
      <x:c r="A1790" t="str">
        <x:v>DOS-6-099</x:v>
      </x:c>
      <x:c r="B1790" t="n">
        <x:v>6</x:v>
      </x:c>
      <x:c r="C1790" t="str">
        <x:v>164-01 JAMAICA AVENUE, JAMAICA, NY, 11432, US</x:v>
      </x:c>
      <x:c r="D1790" t="str">
        <x:v>2265 EAST TREMONT REALTY LLC</x:v>
      </x:c>
      <x:c r="E1790" t="str">
        <x:v>2265 EAST TREMONT REALTY, LLC</x:v>
      </x:c>
      <x:c r="F1790" t="str">
        <x:v>Address-corroborated active match</x:v>
      </x:c>
      <x:c r="G1790" t="n">
        <x:v>1</x:v>
      </x:c>
      <x:c r="H1790" t="n">
        <x:v>2</x:v>
      </x:c>
      <x:c r="I1790" t="str">
        <x:v>4052956</x:v>
      </x:c>
      <x:c r="J1790" t="str">
        <x:v>2265 EAST TREMONT REALTY, LLC</x:v>
      </x:c>
      <x:c r="K1790" s="55" t="n">
        <x:v>40583</x:v>
      </x:c>
      <x:c r="L1790" t="str">
        <x:v>Queens</x:v>
      </x:c>
      <x:c r="M1790" t="str">
        <x:v>New York</x:v>
      </x:c>
      <x:c r="N1790" t="str">
        <x:v>DOMESTIC LIMITED LIABILITY COMPANY</x:v>
      </x:c>
      <x:c r="O1790" t="str">
        <x:v>2265 EAST TREMONT REALTY, LLC</x:v>
      </x:c>
      <x:c r="P1790" t="str">
        <x:v>164-01 JAMAICA AVENUE, JAMAICA, NY, 11432</x:v>
      </x:c>
      <x:c r="Q1790" t="str"/>
      <x:c r="R1790" t="str"/>
      <x:c r="S1790" t="str"/>
      <x:c r="T1790" t="str"/>
      <x:c r="U1790" t="str"/>
      <x:c r="V1790" t="str"/>
      <x:c r="W1790" t="str"/>
      <x:c r="X1790" t="str"/>
      <x:c r="Y1790" t="str">
        <x:v>https://data.ny.gov/Economic-Development/Active-Corporations-Beginning-1800/n9v6-gdp6</x:v>
      </x:c>
    </x:row>
    <x:row r="1791">
      <x:c r="A1791" t="str">
        <x:v>DOS-6-099</x:v>
      </x:c>
      <x:c r="B1791" t="n">
        <x:v>6</x:v>
      </x:c>
      <x:c r="C1791" t="str">
        <x:v>164-01 JAMAICA AVENUE, JAMAICA, NY, 11432, US</x:v>
      </x:c>
      <x:c r="D1791" t="str">
        <x:v>EAST 59 TRADING LLC</x:v>
      </x:c>
      <x:c r="E1791" t="str">
        <x:v>EAST 59 TRADING LLC</x:v>
      </x:c>
      <x:c r="F1791" t="str">
        <x:v>Active name match</x:v>
      </x:c>
      <x:c r="G1791" t="n">
        <x:v>1</x:v>
      </x:c>
      <x:c r="H1791" t="n">
        <x:v>1</x:v>
      </x:c>
      <x:c r="I1791" t="str">
        <x:v>4782541</x:v>
      </x:c>
      <x:c r="J1791" t="str">
        <x:v>EAST 59 TRADING LLC</x:v>
      </x:c>
      <x:c r="K1791" s="55" t="n">
        <x:v>42186</x:v>
      </x:c>
      <x:c r="L1791" t="str">
        <x:v>Queens</x:v>
      </x:c>
      <x:c r="M1791" t="str">
        <x:v>New York</x:v>
      </x:c>
      <x:c r="N1791" t="str">
        <x:v>DOMESTIC LIMITED LIABILITY COMPANY</x:v>
      </x:c>
      <x:c r="O1791" t="str">
        <x:v>EAST 59 TRADING LLC</x:v>
      </x:c>
      <x:c r="P1791" t="str">
        <x:v>G2B 164-01 JAMAICA AVENUE, JAMAICA, NY, 11432</x:v>
      </x:c>
      <x:c r="Q1791" t="str"/>
      <x:c r="R1791" t="str"/>
      <x:c r="S1791" t="str"/>
      <x:c r="T1791" t="str"/>
      <x:c r="U1791" t="str"/>
      <x:c r="V1791" t="str"/>
      <x:c r="W1791" t="str"/>
      <x:c r="X1791" t="str"/>
      <x:c r="Y1791" t="str">
        <x:v>https://data.ny.gov/Economic-Development/Active-Corporations-Beginning-1800/n9v6-gdp6</x:v>
      </x:c>
    </x:row>
    <x:row r="1792">
      <x:c r="A1792" t="str">
        <x:v>DOS-6-099</x:v>
      </x:c>
      <x:c r="B1792" t="n">
        <x:v>6</x:v>
      </x:c>
      <x:c r="C1792" t="str">
        <x:v>164-01 JAMAICA AVENUE, JAMAICA, NY, 11432, US</x:v>
      </x:c>
      <x:c r="D1792" t="str">
        <x:v>K1162 TRADING LLC</x:v>
      </x:c>
      <x:c r="E1792" t="str">
        <x:v>K1162 TRADING, LLC</x:v>
      </x:c>
      <x:c r="F1792" t="str">
        <x:v>Address-corroborated active match</x:v>
      </x:c>
      <x:c r="G1792" t="n">
        <x:v>1</x:v>
      </x:c>
      <x:c r="H1792" t="n">
        <x:v>2</x:v>
      </x:c>
      <x:c r="I1792" t="str">
        <x:v>3176986</x:v>
      </x:c>
      <x:c r="J1792" t="str">
        <x:v>K1162 TRADING, LLC</x:v>
      </x:c>
      <x:c r="K1792" s="55" t="n">
        <x:v>38426</x:v>
      </x:c>
      <x:c r="L1792" t="str">
        <x:v>Queens</x:v>
      </x:c>
      <x:c r="M1792" t="str">
        <x:v>New York</x:v>
      </x:c>
      <x:c r="N1792" t="str">
        <x:v>DOMESTIC LIMITED LIABILITY COMPANY</x:v>
      </x:c>
      <x:c r="O1792" t="str">
        <x:v>K1162 TRADING, LLC</x:v>
      </x:c>
      <x:c r="P1792" t="str">
        <x:v>164-01 JAMAICA AVENUE, JAMAICA, NY, 11432</x:v>
      </x:c>
      <x:c r="Q1792" t="str"/>
      <x:c r="R1792" t="str"/>
      <x:c r="S1792" t="str"/>
      <x:c r="T1792" t="str"/>
      <x:c r="U1792" t="str"/>
      <x:c r="V1792" t="str"/>
      <x:c r="W1792" t="str"/>
      <x:c r="X1792" t="str"/>
      <x:c r="Y1792" t="str">
        <x:v>https://data.ny.gov/Economic-Development/Active-Corporations-Beginning-1800/n9v6-gdp6</x:v>
      </x:c>
    </x:row>
    <x:row r="1793">
      <x:c r="A1793" t="str">
        <x:v>DOS-6-099</x:v>
      </x:c>
      <x:c r="B1793" t="n">
        <x:v>6</x:v>
      </x:c>
      <x:c r="C1793" t="str">
        <x:v>164-01 JAMAICA AVENUE, JAMAICA, NY, 11432, US</x:v>
      </x:c>
      <x:c r="D1793" t="str">
        <x:v>T2239 TRADING LLC</x:v>
      </x:c>
      <x:c r="E1793" t="str">
        <x:v>T2239 TRADING LLC</x:v>
      </x:c>
      <x:c r="F1793" t="str">
        <x:v>Address-corroborated active match</x:v>
      </x:c>
      <x:c r="G1793" t="n">
        <x:v>1</x:v>
      </x:c>
      <x:c r="H1793" t="n">
        <x:v>2</x:v>
      </x:c>
      <x:c r="I1793" t="str">
        <x:v>3176817</x:v>
      </x:c>
      <x:c r="J1793" t="str">
        <x:v>T2239 TRADING, LLC</x:v>
      </x:c>
      <x:c r="K1793" s="55" t="n">
        <x:v>38426</x:v>
      </x:c>
      <x:c r="L1793" t="str">
        <x:v>Queens</x:v>
      </x:c>
      <x:c r="M1793" t="str">
        <x:v>New York</x:v>
      </x:c>
      <x:c r="N1793" t="str">
        <x:v>DOMESTIC LIMITED LIABILITY COMPANY</x:v>
      </x:c>
      <x:c r="O1793" t="str">
        <x:v>T2239 TRADING, LLC</x:v>
      </x:c>
      <x:c r="P1793" t="str">
        <x:v>164-01 JAMAICA AVENUE, JAMAICA, NY, 11432</x:v>
      </x:c>
      <x:c r="Q1793" t="str"/>
      <x:c r="R1793" t="str"/>
      <x:c r="S1793" t="str"/>
      <x:c r="T1793" t="str"/>
      <x:c r="U1793" t="str"/>
      <x:c r="V1793" t="str"/>
      <x:c r="W1793" t="str"/>
      <x:c r="X1793" t="str"/>
      <x:c r="Y1793" t="str">
        <x:v>https://data.ny.gov/Economic-Development/Active-Corporations-Beginning-1800/n9v6-gdp6</x:v>
      </x:c>
    </x:row>
    <x:row r="1794">
      <x:c r="A1794" t="str">
        <x:v>DOS-6-099</x:v>
      </x:c>
      <x:c r="B1794" t="n">
        <x:v>6</x:v>
      </x:c>
      <x:c r="C1794" t="str">
        <x:v>164-01 JAMAICA AVENUE, JAMAICA, NY, 11432, US</x:v>
      </x:c>
      <x:c r="D1794" t="str">
        <x:v>T4812 TRADING LLC</x:v>
      </x:c>
      <x:c r="E1794" t="str">
        <x:v>T4812 TRADING LLC</x:v>
      </x:c>
      <x:c r="F1794" t="str">
        <x:v>Address-corroborated active match</x:v>
      </x:c>
      <x:c r="G1794" t="n">
        <x:v>1</x:v>
      </x:c>
      <x:c r="H1794" t="n">
        <x:v>2</x:v>
      </x:c>
      <x:c r="I1794" t="str">
        <x:v>3176640</x:v>
      </x:c>
      <x:c r="J1794" t="str">
        <x:v>T4812 TRADING, LLC</x:v>
      </x:c>
      <x:c r="K1794" s="55" t="n">
        <x:v>38425</x:v>
      </x:c>
      <x:c r="L1794" t="str">
        <x:v>Queens</x:v>
      </x:c>
      <x:c r="M1794" t="str">
        <x:v>New York</x:v>
      </x:c>
      <x:c r="N1794" t="str">
        <x:v>DOMESTIC LIMITED LIABILITY COMPANY</x:v>
      </x:c>
      <x:c r="O1794" t="str">
        <x:v>T4812 TRADING, LLC</x:v>
      </x:c>
      <x:c r="P1794" t="str">
        <x:v>164-01 JAMAICA AVENUE, JAMAICA, NY, 11432</x:v>
      </x:c>
      <x:c r="Q1794" t="str"/>
      <x:c r="R1794" t="str"/>
      <x:c r="S1794" t="str"/>
      <x:c r="T1794" t="str"/>
      <x:c r="U1794" t="str"/>
      <x:c r="V1794" t="str"/>
      <x:c r="W1794" t="str"/>
      <x:c r="X1794" t="str"/>
      <x:c r="Y1794" t="str">
        <x:v>https://data.ny.gov/Economic-Development/Active-Corporations-Beginning-1800/n9v6-gdp6</x:v>
      </x:c>
    </x:row>
    <x:row r="1795">
      <x:c r="A1795" t="str">
        <x:v>DOS-6-099</x:v>
      </x:c>
      <x:c r="B1795" t="n">
        <x:v>6</x:v>
      </x:c>
      <x:c r="C1795" t="str">
        <x:v>164-01 JAMAICA AVENUE, JAMAICA, NY, 11432, US</x:v>
      </x:c>
      <x:c r="D1795" t="str">
        <x:v>T85 TRADING LLC</x:v>
      </x:c>
      <x:c r="E1795" t="str">
        <x:v>T85 TRADING, LLC</x:v>
      </x:c>
      <x:c r="F1795" t="str">
        <x:v>Address-corroborated active match</x:v>
      </x:c>
      <x:c r="G1795" t="n">
        <x:v>1</x:v>
      </x:c>
      <x:c r="H1795" t="n">
        <x:v>2</x:v>
      </x:c>
      <x:c r="I1795" t="str">
        <x:v>3176803</x:v>
      </x:c>
      <x:c r="J1795" t="str">
        <x:v>T85 TRADING, LLC</x:v>
      </x:c>
      <x:c r="K1795" s="55" t="n">
        <x:v>38426</x:v>
      </x:c>
      <x:c r="L1795" t="str">
        <x:v>Queens</x:v>
      </x:c>
      <x:c r="M1795" t="str">
        <x:v>New York</x:v>
      </x:c>
      <x:c r="N1795" t="str">
        <x:v>DOMESTIC LIMITED LIABILITY COMPANY</x:v>
      </x:c>
      <x:c r="O1795" t="str">
        <x:v>T85 TRADING, LLC</x:v>
      </x:c>
      <x:c r="P1795" t="str">
        <x:v>164-01 JAMAICA AVENUE, JAMAICA, NY, 11432</x:v>
      </x:c>
      <x:c r="Q1795" t="str"/>
      <x:c r="R1795" t="str"/>
      <x:c r="S1795" t="str"/>
      <x:c r="T1795" t="str"/>
      <x:c r="U1795" t="str"/>
      <x:c r="V1795" t="str"/>
      <x:c r="W1795" t="str"/>
      <x:c r="X1795" t="str"/>
      <x:c r="Y1795" t="str">
        <x:v>https://data.ny.gov/Economic-Development/Active-Corporations-Beginning-1800/n9v6-gdp6</x:v>
      </x:c>
    </x:row>
    <x:row r="1796">
      <x:c r="A1796" t="str">
        <x:v>DOS-6-100</x:v>
      </x:c>
      <x:c r="B1796" t="n">
        <x:v>6</x:v>
      </x:c>
      <x:c r="C1796" t="str">
        <x:v>1850 83RD STREET, BROOKLYN, NY, 11214, US</x:v>
      </x:c>
      <x:c r="D1796" t="str">
        <x:v>140 BEACH HOUSE LLC</x:v>
      </x:c>
      <x:c r="E1796" t="str">
        <x:v>140 BEACH HOUSE LLC</x:v>
      </x:c>
      <x:c r="F1796" t="str">
        <x:v>Address-corroborated active match</x:v>
      </x:c>
      <x:c r="G1796" t="n">
        <x:v>1</x:v>
      </x:c>
      <x:c r="H1796" t="n">
        <x:v>2</x:v>
      </x:c>
      <x:c r="I1796" t="str">
        <x:v>6634446</x:v>
      </x:c>
      <x:c r="J1796" t="str">
        <x:v>140 BEACH HOUSE LLC</x:v>
      </x:c>
      <x:c r="K1796" s="55" t="n">
        <x:v>44868</x:v>
      </x:c>
      <x:c r="L1796" t="str">
        <x:v>Kings</x:v>
      </x:c>
      <x:c r="M1796" t="str">
        <x:v>New York</x:v>
      </x:c>
      <x:c r="N1796" t="str">
        <x:v>DOMESTIC LIMITED LIABILITY COMPANY</x:v>
      </x:c>
      <x:c r="O1796" t="str">
        <x:v>140 BEACH HOUSE LLC</x:v>
      </x:c>
      <x:c r="P1796" t="str">
        <x:v>1850 83RD STREET, BROOKLYN, NY, 11214</x:v>
      </x:c>
      <x:c r="Q1796" t="str"/>
      <x:c r="R1796" t="str"/>
      <x:c r="S1796" t="str"/>
      <x:c r="T1796" t="str"/>
      <x:c r="U1796" t="str"/>
      <x:c r="V1796" t="str"/>
      <x:c r="W1796" t="str"/>
      <x:c r="X1796" t="str"/>
      <x:c r="Y1796" t="str">
        <x:v>https://data.ny.gov/Economic-Development/Active-Corporations-Beginning-1800/n9v6-gdp6</x:v>
      </x:c>
    </x:row>
    <x:row r="1797">
      <x:c r="A1797" t="str">
        <x:v>DOS-6-100</x:v>
      </x:c>
      <x:c r="B1797" t="n">
        <x:v>6</x:v>
      </x:c>
      <x:c r="C1797" t="str">
        <x:v>1850 83RD STREET, BROOKLYN, NY, 11214, US</x:v>
      </x:c>
      <x:c r="D1797" t="str">
        <x:v>179 19TH STREET LLC</x:v>
      </x:c>
      <x:c r="E1797" t="str">
        <x:v>179 19TH STREET LLC</x:v>
      </x:c>
      <x:c r="F1797" t="str">
        <x:v>Address-corroborated active match</x:v>
      </x:c>
      <x:c r="G1797" t="n">
        <x:v>1</x:v>
      </x:c>
      <x:c r="H1797" t="n">
        <x:v>2</x:v>
      </x:c>
      <x:c r="I1797" t="str">
        <x:v>6693017</x:v>
      </x:c>
      <x:c r="J1797" t="str">
        <x:v>179 19TH STREET LLC</x:v>
      </x:c>
      <x:c r="K1797" s="55" t="n">
        <x:v>44935</x:v>
      </x:c>
      <x:c r="L1797" t="str">
        <x:v>Kings</x:v>
      </x:c>
      <x:c r="M1797" t="str">
        <x:v>New York</x:v>
      </x:c>
      <x:c r="N1797" t="str">
        <x:v>DOMESTIC LIMITED LIABILITY COMPANY</x:v>
      </x:c>
      <x:c r="O1797" t="str">
        <x:v>179 19TH STREET LLC</x:v>
      </x:c>
      <x:c r="P1797" t="str">
        <x:v>1850 83RD STREET, BROOKLYN, NY, 11214</x:v>
      </x:c>
      <x:c r="Q1797" t="str"/>
      <x:c r="R1797" t="str"/>
      <x:c r="S1797" t="str"/>
      <x:c r="T1797" t="str"/>
      <x:c r="U1797" t="str"/>
      <x:c r="V1797" t="str"/>
      <x:c r="W1797" t="str"/>
      <x:c r="X1797" t="str"/>
      <x:c r="Y1797" t="str">
        <x:v>https://data.ny.gov/Economic-Development/Active-Corporations-Beginning-1800/n9v6-gdp6</x:v>
      </x:c>
    </x:row>
    <x:row r="1798">
      <x:c r="A1798" t="str">
        <x:v>DOS-6-100</x:v>
      </x:c>
      <x:c r="B1798" t="n">
        <x:v>6</x:v>
      </x:c>
      <x:c r="C1798" t="str">
        <x:v>1850 83RD STREET, BROOKLYN, NY, 11214, US</x:v>
      </x:c>
      <x:c r="D1798" t="str">
        <x:v>1850 83RD ST LLC</x:v>
      </x:c>
      <x:c r="E1798" t="str">
        <x:v>1850 83RD ST LLC</x:v>
      </x:c>
      <x:c r="F1798" t="str">
        <x:v>Address-corroborated active match</x:v>
      </x:c>
      <x:c r="G1798" t="n">
        <x:v>1</x:v>
      </x:c>
      <x:c r="H1798" t="n">
        <x:v>2</x:v>
      </x:c>
      <x:c r="I1798" t="str">
        <x:v>7498130</x:v>
      </x:c>
      <x:c r="J1798" t="str">
        <x:v>1850 83RD ST LLC</x:v>
      </x:c>
      <x:c r="K1798" s="55" t="n">
        <x:v>45660</x:v>
      </x:c>
      <x:c r="L1798" t="str">
        <x:v>Kings</x:v>
      </x:c>
      <x:c r="M1798" t="str">
        <x:v>New York</x:v>
      </x:c>
      <x:c r="N1798" t="str">
        <x:v>DOMESTIC LIMITED LIABILITY COMPANY</x:v>
      </x:c>
      <x:c r="O1798" t="str">
        <x:v>1850 83RD ST LLC</x:v>
      </x:c>
      <x:c r="P1798" t="str">
        <x:v>1850 83RD STREET, BROOKLYN, NY, 11214</x:v>
      </x:c>
      <x:c r="Q1798" t="str"/>
      <x:c r="R1798" t="str"/>
      <x:c r="S1798" t="str"/>
      <x:c r="T1798" t="str"/>
      <x:c r="U1798" t="str"/>
      <x:c r="V1798" t="str"/>
      <x:c r="W1798" t="str"/>
      <x:c r="X1798" t="str"/>
      <x:c r="Y1798" t="str">
        <x:v>https://data.ny.gov/Economic-Development/Active-Corporations-Beginning-1800/n9v6-gdp6</x:v>
      </x:c>
    </x:row>
    <x:row r="1799">
      <x:c r="A1799" t="str">
        <x:v>DOS-6-100</x:v>
      </x:c>
      <x:c r="B1799" t="n">
        <x:v>6</x:v>
      </x:c>
      <x:c r="C1799" t="str">
        <x:v>1850 83RD STREET, BROOKLYN, NY, 11214, US</x:v>
      </x:c>
      <x:c r="D1799" t="str">
        <x:v>285 18TH STREET LLC</x:v>
      </x:c>
      <x:c r="E1799" t="str">
        <x:v>285 18TH STREET LLC</x:v>
      </x:c>
      <x:c r="F1799" t="str">
        <x:v>Address-corroborated active match</x:v>
      </x:c>
      <x:c r="G1799" t="n">
        <x:v>1</x:v>
      </x:c>
      <x:c r="H1799" t="n">
        <x:v>2</x:v>
      </x:c>
      <x:c r="I1799" t="str">
        <x:v>7246060</x:v>
      </x:c>
      <x:c r="J1799" t="str">
        <x:v>285 18TH STREET LLC</x:v>
      </x:c>
      <x:c r="K1799" s="55" t="n">
        <x:v>45327</x:v>
      </x:c>
      <x:c r="L1799" t="str">
        <x:v>Albany</x:v>
      </x:c>
      <x:c r="M1799" t="str">
        <x:v>New York</x:v>
      </x:c>
      <x:c r="N1799" t="str">
        <x:v>DOMESTIC LIMITED LIABILITY COMPANY</x:v>
      </x:c>
      <x:c r="O1799" t="str">
        <x:v>285 18TH STREET LLC</x:v>
      </x:c>
      <x:c r="P1799" t="str">
        <x:v>1850 83RD STREET, BROOKLYN, NY, 11214</x:v>
      </x:c>
      <x:c r="Q1799" t="str"/>
      <x:c r="R1799" t="str"/>
      <x:c r="S1799" t="str"/>
      <x:c r="T1799" t="str"/>
      <x:c r="U1799" t="str"/>
      <x:c r="V1799" t="str"/>
      <x:c r="W1799" t="str"/>
      <x:c r="X1799" t="str"/>
      <x:c r="Y1799" t="str">
        <x:v>https://data.ny.gov/Economic-Development/Active-Corporations-Beginning-1800/n9v6-gdp6</x:v>
      </x:c>
    </x:row>
    <x:row r="1800">
      <x:c r="A1800" t="str">
        <x:v>DOS-6-100</x:v>
      </x:c>
      <x:c r="B1800" t="n">
        <x:v>6</x:v>
      </x:c>
      <x:c r="C1800" t="str">
        <x:v>1850 83RD STREET, BROOKLYN, NY, 11214, US</x:v>
      </x:c>
      <x:c r="D1800" t="str">
        <x:v>325 21ST ST LLC</x:v>
      </x:c>
      <x:c r="E1800" t="str">
        <x:v>325 21ST ST LLC</x:v>
      </x:c>
      <x:c r="F1800" t="str">
        <x:v>Address-corroborated active match</x:v>
      </x:c>
      <x:c r="G1800" t="n">
        <x:v>1</x:v>
      </x:c>
      <x:c r="H1800" t="n">
        <x:v>2</x:v>
      </x:c>
      <x:c r="I1800" t="str">
        <x:v>7403371</x:v>
      </x:c>
      <x:c r="J1800" t="str">
        <x:v>325 21ST ST LLC</x:v>
      </x:c>
      <x:c r="K1800" s="55" t="n">
        <x:v>45526</x:v>
      </x:c>
      <x:c r="L1800" t="str">
        <x:v>Albany</x:v>
      </x:c>
      <x:c r="M1800" t="str">
        <x:v>New York</x:v>
      </x:c>
      <x:c r="N1800" t="str">
        <x:v>DOMESTIC LIMITED LIABILITY COMPANY</x:v>
      </x:c>
      <x:c r="O1800" t="str">
        <x:v>325 21ST ST LLC</x:v>
      </x:c>
      <x:c r="P1800" t="str">
        <x:v>1850 83RD STREET, BROOKLYN, NY, 11214</x:v>
      </x:c>
      <x:c r="Q1800" t="str"/>
      <x:c r="R1800" t="str"/>
      <x:c r="S1800" t="str"/>
      <x:c r="T1800" t="str"/>
      <x:c r="U1800" t="str"/>
      <x:c r="V1800" t="str"/>
      <x:c r="W1800" t="str"/>
      <x:c r="X1800" t="str"/>
      <x:c r="Y1800" t="str">
        <x:v>https://data.ny.gov/Economic-Development/Active-Corporations-Beginning-1800/n9v6-gdp6</x:v>
      </x:c>
    </x:row>
    <x:row r="1801">
      <x:c r="A1801" t="str">
        <x:v>DOS-6-100</x:v>
      </x:c>
      <x:c r="B1801" t="n">
        <x:v>6</x:v>
      </x:c>
      <x:c r="C1801" t="str">
        <x:v>1850 83RD STREET, BROOKLYN, NY, 11214, US</x:v>
      </x:c>
      <x:c r="D1801" t="str">
        <x:v>333 21ST STREET LLC</x:v>
      </x:c>
      <x:c r="E1801" t="str">
        <x:v>333 21ST STREET LLC</x:v>
      </x:c>
      <x:c r="F1801" t="str">
        <x:v>Address-corroborated active match</x:v>
      </x:c>
      <x:c r="G1801" t="n">
        <x:v>1</x:v>
      </x:c>
      <x:c r="H1801" t="n">
        <x:v>2</x:v>
      </x:c>
      <x:c r="I1801" t="str">
        <x:v>6634442</x:v>
      </x:c>
      <x:c r="J1801" t="str">
        <x:v>333 21ST STREET LLC</x:v>
      </x:c>
      <x:c r="K1801" s="55" t="n">
        <x:v>44868</x:v>
      </x:c>
      <x:c r="L1801" t="str">
        <x:v>Kings</x:v>
      </x:c>
      <x:c r="M1801" t="str">
        <x:v>New York</x:v>
      </x:c>
      <x:c r="N1801" t="str">
        <x:v>DOMESTIC LIMITED LIABILITY COMPANY</x:v>
      </x:c>
      <x:c r="O1801" t="str">
        <x:v>333 21ST STREET LLC</x:v>
      </x:c>
      <x:c r="P1801" t="str">
        <x:v>1850 83RD STREET, BROOKLYN, NY, 11214</x:v>
      </x:c>
      <x:c r="Q1801" t="str"/>
      <x:c r="R1801" t="str"/>
      <x:c r="S1801" t="str"/>
      <x:c r="T1801" t="str"/>
      <x:c r="U1801" t="str"/>
      <x:c r="V1801" t="str"/>
      <x:c r="W1801" t="str"/>
      <x:c r="X1801" t="str"/>
      <x:c r="Y1801" t="str">
        <x:v>https://data.ny.gov/Economic-Development/Active-Corporations-Beginning-1800/n9v6-gdp6</x:v>
      </x:c>
    </x:row>
  </x:sheetData>
  <x:conditionalFormatting sqref="F2:F1801">
    <x:cfRule type="containsText" dxfId="3" priority="1" operator="containsText" text="Address-corroborated"/>
    <x:cfRule type="containsText" dxfId="4" priority="2" operator="containsText" text="No active"/>
  </x:conditionalFormatting>
  <x:pageMargins left="0.7" right="0.7" top="0.75" bottom="0.75" header="0.3" footer="0.3"/>
  <x:tableParts count="1">
    <x:tablePart xmlns:r="http://schemas.openxmlformats.org/officeDocument/2006/relationships" r:id="Re011fe7825d0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2" customHeight="1">
      <x:c r="A1" s="38" t="str">
        <x:v>Methodology and Field Guidance</x:v>
      </x:c>
      <x:c r="B1" s="39"/>
      <x:c r="C1" s="39"/>
      <x:c r="D1" s="39"/>
      <x:c r="E1" s="39"/>
      <x:c r="F1" s="39"/>
    </x:row>
    <x:row r="3" ht="30" customHeight="1">
      <x:c r="A3" s="13" t="str">
        <x:v>Topic</x:v>
      </x:c>
      <x:c r="B3" s="14" t="str">
        <x:v>Explanation</x:v>
      </x:c>
    </x:row>
    <x:row r="4" ht="36" customHeight="1">
      <x:c r="A4" s="61" t="str">
        <x:v>Population</x:v>
      </x:c>
      <x:c r="B4" s="62" t="str">
        <x:v>High-confidence ACRIS shared deed-party mailing-address clusters containing 3, 4, 5, or 6 distinct LLC names.</x:v>
      </x:c>
    </x:row>
    <x:row r="5" ht="36" customHeight="1">
      <x:c r="A5" s="61" t="str">
        <x:v>Sampling</x:v>
      </x:c>
      <x:c r="B5" s="62" t="str">
        <x:v>100 clusters were selected from each tier. Within a tier, higher ACRIS name-match scores, more BBLs, and more property records ranked first.</x:v>
      </x:c>
    </x:row>
    <x:row r="6" ht="36" customHeight="1">
      <x:c r="A6" s="61" t="str">
        <x:v>DOS match</x:v>
      </x:c>
      <x:c r="B6" s="62" t="str">
        <x:v>LLC names were matched to the official Active Corporations dataset. The dataset excludes inactive entities.</x:v>
      </x:c>
    </x:row>
    <x:row r="7" ht="36" customHeight="1">
      <x:c r="A7" s="61" t="str">
        <x:v>Address corroboration</x:v>
      </x:c>
      <x:c r="B7" s="62" t="str">
        <x:v>A stronger signal is recorded when an LLC's DOS service-of-process street and ZIP agree with the ACRIS shared mailing address.</x:v>
      </x:c>
    </x:row>
    <x:row r="8" ht="36" customHeight="1">
      <x:c r="A8" s="61" t="str">
        <x:v>Named addressee</x:v>
      </x:c>
      <x:c r="B8" s="62" t="str">
        <x:v>A person-like DOS process name is used as the recommended addressee only when it appears for at least two LLCs in the same cluster.</x:v>
      </x:c>
    </x:row>
    <x:row r="9" ht="36" customHeight="1">
      <x:c r="A9" s="61" t="str">
        <x:v>Registered agents</x:v>
      </x:c>
      <x:c r="B9" s="62" t="str">
        <x:v>Registered-agent and formation-service names are evidence about administration, not proof of beneficial ownership.</x:v>
      </x:c>
    </x:row>
    <x:row r="10" ht="36" customHeight="1">
      <x:c r="A10" s="61" t="str">
        <x:v>Email and phone</x:v>
      </x:c>
      <x:c r="B10" s="62" t="str">
        <x:v>The official dataset has no email or phone columns. Those fields remain blank in DOS Entity Matches.</x:v>
      </x:c>
    </x:row>
    <x:row r="11" ht="36" customHeight="1">
      <x:c r="A11" s="61" t="str">
        <x:v>Legal interpretation</x:v>
      </x:c>
      <x:c r="B11" s="62" t="str">
        <x:v>These are research and marketing leads. Shared addresses and repeated names are not proof that the same person beneficially owns every LLC.</x:v>
      </x:c>
    </x:row>
    <x:row r="12" ht="36" customHeight="1">
      <x:c r="A12" s="61" t="str">
        <x:v>Refresh</x:v>
      </x:c>
      <x:c r="B12" s="62" t="str">
        <x:v>NY DOS states that the dataset is updated monthly. Re-run the enrichment before a later campaign.</x:v>
      </x:c>
    </x:row>
    <x:row r="13">
      <x:c r="A13" s="63"/>
      <x:c r="B13" s="64"/>
    </x:row>
    <x:row r="14" ht="30" customHeight="1">
      <x:c r="A14" s="13" t="str">
        <x:v>Source</x:v>
      </x:c>
      <x:c r="B14" s="14" t="str">
        <x:v>URL</x:v>
      </x:c>
    </x:row>
    <x:row r="15">
      <x:c r="A15" s="63" t="str">
        <x:v>NY DOS Active Corporations dataset</x:v>
      </x:c>
      <x:c r="B15" s="65" t="str">
        <x:v>https://data.ny.gov/Economic-Development/Active-Corporations-Beginning-1800/n9v6-gdp6</x:v>
      </x:c>
    </x:row>
    <x:row r="16">
      <x:c r="A16" s="63" t="str">
        <x:v>Dataset API metadata</x:v>
      </x:c>
      <x:c r="B16" s="65" t="str">
        <x:v>https://data.ny.gov/api/views/n9v6-gdp6</x:v>
      </x:c>
    </x:row>
    <x:row r="17">
      <x:c r="A17" s="66" t="str">
        <x:v>Socrata app-token documentation</x:v>
      </x:c>
      <x:c r="B17" s="67" t="str">
        <x:v>https://dev.socrata.com/docs/app-tokens.html</x:v>
      </x:c>
    </x:row>
  </x:sheetData>
  <x:mergeCells>
    <x:mergeCell ref="A1:B1"/>
  </x:mergeCells>
  <x:pageMargins left="0.7" right="0.7" top="0.75" bottom="0.75" header="0.3" footer="0.3"/>
</x:worksheet>
</file>